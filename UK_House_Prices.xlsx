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rtgage" sheetId="3" state="visible" r:id="rId3"/>
    <sheet xmlns:r="http://schemas.openxmlformats.org/officeDocument/2006/relationships" name="Annual" sheetId="4" state="visible" r:id="rId4"/>
    <sheet xmlns:r="http://schemas.openxmlformats.org/officeDocument/2006/relationships" name="Decades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CPI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Raw_Nationwide" sheetId="9" state="visible" r:id="rId9"/>
    <sheet xmlns:r="http://schemas.openxmlformats.org/officeDocument/2006/relationships" name="Raw_CPI" sheetId="10" state="visible" r:id="rId10"/>
  </sheets>
  <definedNames>
    <definedName name="CPI_Year">CPI!$A$6:$A$70</definedName>
    <definedName name="CPI_Index">CPI!$D$6:$D$70</definedName>
    <definedName name="Q_Date">Quarterly!$A$5:$A$294</definedName>
    <definedName name="Q_Year">Quarterly!$B$5:$B$294</definedName>
    <definedName name="Q_Label">Quarterly!$D$5:$D$294</definedName>
    <definedName name="Q_Price">Quarterly!$E$5:$E$294</definedName>
    <definedName name="Q_Real">Quarterly!$H$5:$H$294</definedName>
    <definedName name="Q_Fall">Quarterly!$N$5:$N$294</definedName>
    <definedName name="Q_Diff">Quarterly!$L$5:$L$294</definedName>
    <definedName name="A_Year">Annual!$A$5:$A$69</definedName>
    <definedName name="A_Price">Annual!$B$5:$B$69</definedName>
    <definedName name="A_Real">Annual!$C$5:$C$69</definedName>
    <definedName name="BaseYear">Dashboard!$C$5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yyyy-mm-dd"/>
    <numFmt numFmtId="166" formatCode="0.0%;-0.0%;&quot;-&quot;"/>
    <numFmt numFmtId="167" formatCode="0.0"/>
    <numFmt numFmtId="168" formatCode="mmm yyyy"/>
    <numFmt numFmtId="169" formatCode="£#,##0;(£#,##0);&quot;-&quot;"/>
    <numFmt numFmtId="170" formatCode="0.00;-0.00;&quot;-&quot;"/>
    <numFmt numFmtId="171" formatCode="0.0&quot;x&quot;"/>
    <numFmt numFmtId="172" formatCode="0.000%"/>
    <numFmt numFmtId="173" formatCode="£#,##0.00;(£#,##0.00);&quot;-&quot;"/>
    <numFmt numFmtId="174" formatCode="0%;-0%;&quot;-&quot;"/>
  </numFmts>
  <fonts count="14">
    <font>
      <name val="Calibri"/>
      <family val="2"/>
      <color theme="1"/>
      <sz val="11"/>
      <scheme val="minor"/>
    </font>
    <font>
      <name val="Arial"/>
      <b val="1"/>
      <color rgb="0013201B"/>
      <sz val="18"/>
    </font>
    <font>
      <name val="Arial"/>
      <color rgb="006B7570"/>
      <sz val="10"/>
    </font>
    <font>
      <name val="Arial"/>
      <b val="1"/>
      <color rgb="0013201B"/>
      <sz val="10"/>
    </font>
    <font>
      <name val="Arial"/>
      <b val="1"/>
      <color rgb="000F766E"/>
      <sz val="12"/>
    </font>
    <font>
      <name val="Arial"/>
      <color rgb="0013201B"/>
      <sz val="10"/>
    </font>
    <font>
      <name val="Arial"/>
      <b val="1"/>
      <color rgb="00FFFFFF"/>
      <sz val="10"/>
    </font>
    <font>
      <name val="Arial"/>
      <b val="1"/>
      <color rgb="0013201B"/>
      <sz val="13"/>
    </font>
    <font>
      <name val="Arial"/>
      <color rgb="00008000"/>
      <sz val="10"/>
    </font>
    <font>
      <name val="Arial"/>
      <b val="1"/>
      <color rgb="000000FF"/>
      <sz val="10"/>
    </font>
    <font>
      <name val="Arial"/>
      <b val="1"/>
      <color rgb="0016845F"/>
      <sz val="10"/>
    </font>
    <font>
      <name val="Arial"/>
      <b val="1"/>
      <color rgb="006B7570"/>
      <sz val="10"/>
    </font>
    <font>
      <name val="Arial"/>
      <b val="1"/>
      <color rgb="0013201B"/>
      <sz val="20"/>
    </font>
    <font>
      <name val="Arial"/>
      <b val="1"/>
      <color rgb="00C2410C"/>
      <sz val="10"/>
    </font>
  </fonts>
  <fills count="5">
    <fill>
      <patternFill/>
    </fill>
    <fill>
      <patternFill patternType="gray125"/>
    </fill>
    <fill>
      <patternFill patternType="solid">
        <fgColor rgb="0013201B"/>
      </patternFill>
    </fill>
    <fill>
      <patternFill patternType="solid">
        <fgColor rgb="00FFF2CC"/>
      </patternFill>
    </fill>
    <fill>
      <patternFill patternType="solid">
        <fgColor rgb="00F3F5F4"/>
      </patternFill>
    </fill>
  </fills>
  <borders count="2">
    <border>
      <left/>
      <right/>
      <top/>
      <bottom/>
      <diagonal/>
    </border>
    <border>
      <left style="thin">
        <color rgb="00D5DAD7"/>
      </left>
      <right style="thin">
        <color rgb="00D5DAD7"/>
      </right>
      <top style="thin">
        <color rgb="00D5DAD7"/>
      </top>
      <bottom style="thin">
        <color rgb="00D5DAD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0" fontId="9" fillId="3" borderId="1" applyAlignment="1" pivotButton="0" quotePrefix="0" xfId="0">
      <alignment horizontal="center"/>
    </xf>
    <xf numFmtId="0" fontId="10" fillId="0" borderId="0" pivotButton="0" quotePrefix="0" xfId="0"/>
    <xf numFmtId="0" fontId="11" fillId="4" borderId="0" pivotButton="0" quotePrefix="0" xfId="0"/>
    <xf numFmtId="0" fontId="0" fillId="4" borderId="0" pivotButton="0" quotePrefix="0" xfId="0"/>
    <xf numFmtId="169" fontId="12" fillId="4" borderId="0" pivotButton="0" quotePrefix="0" xfId="0"/>
    <xf numFmtId="171" fontId="12" fillId="4" borderId="0" pivotButton="0" quotePrefix="0" xfId="0"/>
    <xf numFmtId="0" fontId="2" fillId="4" borderId="0" pivotButton="0" quotePrefix="0" xfId="0"/>
    <xf numFmtId="166" fontId="12" fillId="4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166" fontId="13" fillId="0" borderId="1" pivotButton="0" quotePrefix="0" xfId="0"/>
    <xf numFmtId="0" fontId="6" fillId="2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pivotButton="0" quotePrefix="0" xfId="0"/>
    <xf numFmtId="174" fontId="6" fillId="2" borderId="0" applyAlignment="1" pivotButton="0" quotePrefix="0" xfId="0">
      <alignment horizontal="center"/>
    </xf>
    <xf numFmtId="166" fontId="9" fillId="3" borderId="1" applyAlignment="1" pivotButton="0" quotePrefix="0" xfId="0">
      <alignment horizontal="center"/>
    </xf>
    <xf numFmtId="169" fontId="5" fillId="0" borderId="1" pivotButton="0" quotePrefix="0" xfId="0"/>
    <xf numFmtId="169" fontId="5" fillId="0" borderId="1" applyAlignment="1" pivotButton="0" quotePrefix="0" xfId="0">
      <alignment horizontal="right"/>
    </xf>
    <xf numFmtId="172" fontId="5" fillId="0" borderId="1" applyAlignment="1" pivotButton="0" quotePrefix="0" xfId="0">
      <alignment horizontal="right"/>
    </xf>
    <xf numFmtId="173" fontId="3" fillId="0" borderId="1" applyAlignment="1" pivotButton="0" quotePrefix="0" xfId="0">
      <alignment horizontal="right"/>
    </xf>
    <xf numFmtId="173" fontId="5" fillId="0" borderId="1" applyAlignment="1" pivotButton="0" quotePrefix="0" xfId="0">
      <alignment horizontal="right"/>
    </xf>
    <xf numFmtId="166" fontId="5" fillId="0" borderId="1" pivotButton="0" quotePrefix="0" xfId="0"/>
    <xf numFmtId="0" fontId="7" fillId="0" borderId="0" pivotButton="0" quotePrefix="0" xfId="0"/>
    <xf numFmtId="166" fontId="8" fillId="0" borderId="1" pivotButton="0" quotePrefix="0" xfId="0"/>
    <xf numFmtId="171" fontId="5" fillId="0" borderId="1" pivotButton="0" quotePrefix="0" xfId="0"/>
    <xf numFmtId="168" fontId="8" fillId="0" borderId="0" pivotButton="0" quotePrefix="0" xfId="0"/>
    <xf numFmtId="169" fontId="8" fillId="0" borderId="0" pivotButton="0" quotePrefix="0" xfId="0"/>
    <xf numFmtId="167" fontId="5" fillId="0" borderId="0" pivotButton="0" quotePrefix="0" xfId="0"/>
    <xf numFmtId="169" fontId="5" fillId="0" borderId="0" pivotButton="0" quotePrefix="0" xfId="0"/>
    <xf numFmtId="166" fontId="5" fillId="0" borderId="0" pivotButton="0" quotePrefix="0" xfId="0"/>
    <xf numFmtId="166" fontId="8" fillId="0" borderId="0" pivotButton="0" quotePrefix="0" xfId="0"/>
    <xf numFmtId="170" fontId="5" fillId="0" borderId="0" pivotButton="0" quotePrefix="0" xfId="0"/>
    <xf numFmtId="167" fontId="5" fillId="0" borderId="1" pivotButton="0" quotePrefix="0" xfId="0"/>
    <xf numFmtId="0" fontId="5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C2410C"/>
      </font>
    </dxf>
    <dxf>
      <font>
        <name val="Arial"/>
        <b val="1"/>
        <color rgb="0016845F"/>
      </font>
    </dxf>
    <dxf>
      <font>
        <name val="Arial"/>
        <b val="1"/>
        <color rgb="00FFFFFF"/>
      </font>
      <fill>
        <patternFill patternType="solid">
          <fgColor rgb="00C2410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price: cash and in base-year pounds</a:t>
            </a:r>
          </a:p>
        </rich>
      </tx>
    </title>
    <plotArea>
      <lineChart>
        <grouping val="standard"/>
        <ser>
          <idx val="0"/>
          <order val="0"/>
          <tx>
            <strRef>
              <f>'Annual'!B4</f>
            </strRef>
          </tx>
          <spPr>
            <a:ln xmlns:a="http://schemas.openxmlformats.org/drawingml/2006/main" w="22000">
              <a:solidFill>
                <a:srgbClr val="B6BE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'Annual'!$A$5:$A$69</f>
            </numRef>
          </cat>
          <val>
            <numRef>
              <f>'Annual'!$B$5:$B$69</f>
            </numRef>
          </val>
          <smooth val="0"/>
        </ser>
        <ser>
          <idx val="1"/>
          <order val="1"/>
          <tx>
            <strRef>
              <f>'Annual'!C4</f>
            </strRef>
          </tx>
          <spPr>
            <a:ln xmlns:a="http://schemas.openxmlformats.org/drawingml/2006/main" w="28000">
              <a:solidFill>
                <a:srgbClr val="0F76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'Annual'!$A$5:$A$69</f>
            </numRef>
          </cat>
          <val>
            <numRef>
              <f>'Annual'!$C$5:$C$69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£</a:t>
                </a:r>
              </a:p>
            </rich>
          </tx>
        </title>
        <numFmt formatCode="£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growth by decade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'Decades'!G4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'Decades'!$A$5:$A$11</f>
            </numRef>
          </cat>
          <val>
            <numRef>
              <f>'Decades'!$G$5:$G$11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 price against its previous peak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2000">
              <a:solidFill>
                <a:srgbClr val="C2410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'Quarterly'!$D$33:$D$292</f>
            </numRef>
          </cat>
          <val>
            <numRef>
              <f>'Quarterly'!$N$33:$N$292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4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QAB</author>
  </authors>
  <commentList>
    <comment ref="C5" authorId="0" shapeId="0">
      <text>
        <t>Every real price in the workbook is restated in this year's pounds.</t>
      </text>
    </comment>
  </commentList>
</comments>
</file>

<file path=xl/comments/comment2.xml><?xml version="1.0" encoding="utf-8"?>
<comments xmlns="http://schemas.openxmlformats.org/spreadsheetml/2006/main">
  <authors>
    <author>QAB</author>
  </authors>
  <commentList>
    <comment ref="C7" authorId="0" shapeId="0">
      <text>
        <t>An assumption for illustration, not a historical rate. Enter the rate you want to test; both default to 5% so the comparison isolates the price.</t>
      </text>
    </comment>
  </commentList>
</comments>
</file>

<file path=xl/comments/comment3.xml><?xml version="1.0" encoding="utf-8"?>
<comments xmlns="http://schemas.openxmlformats.org/spreadsheetml/2006/main">
  <authors>
    <author>QAB</author>
  </authors>
  <commentList>
    <comment ref="C5" authorId="0" shapeId="0">
      <text>
        <t>Starting point of the chained index. Any value works: only ratios are used.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43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39</row>
      <rowOff>0</rowOff>
    </from>
    <ext cx="106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Annual" displayName="tblAnnual" ref="A4:G69" headerRowCount="1">
  <autoFilter ref="A4:G69"/>
  <tableColumns count="7">
    <tableColumn id="1" name="Year"/>
    <tableColumn id="2" name="Average price (£)"/>
    <tableColumn id="3" name="Real price (base-year £)"/>
    <tableColumn id="4" name="Inflation"/>
    <tableColumn id="5" name="Cash growth"/>
    <tableColumn id="6" name="Real growth"/>
    <tableColumn id="7" name="Real price vs 1960"/>
  </tableColumns>
  <tableStyleInfo name="TableStyleLight1" showRowStripes="1"/>
</table>
</file>

<file path=xl/tables/table2.xml><?xml version="1.0" encoding="utf-8"?>
<table xmlns="http://schemas.openxmlformats.org/spreadsheetml/2006/main" id="2" name="tblQuarterly" displayName="tblQuarterly" ref="A4:N294" headerRowCount="1">
  <autoFilter ref="A4:N294"/>
  <tableColumns count="14">
    <tableColumn id="1" name="Date"/>
    <tableColumn id="2" name="Year"/>
    <tableColumn id="3" name="Quarter"/>
    <tableColumn id="4" name="Label"/>
    <tableColumn id="5" name="Average price, all houses (£)"/>
    <tableColumn id="6" name="Average price, new houses (£)"/>
    <tableColumn id="7" name="Price index (base = 100)"/>
    <tableColumn id="8" name="Real price (base-year £)"/>
    <tableColumn id="9" name="Change on a year earlier"/>
    <tableColumn id="10" name="Real change on a year earlier"/>
    <tableColumn id="11" name="Nationwide's published change"/>
    <tableColumn id="12" name="Our change minus published (pp)"/>
    <tableColumn id="13" name="Highest real price so far (£)"/>
    <tableColumn id="14" name="Real fall from peak"/>
  </tableColumns>
  <tableStyleInfo name="TableStyleLight1" showRowStripes="1"/>
</table>
</file>

<file path=xl/tables/table3.xml><?xml version="1.0" encoding="utf-8"?>
<table xmlns="http://schemas.openxmlformats.org/spreadsheetml/2006/main" id="3" name="tblCPI" displayName="tblCPI" ref="A4:E70" headerRowCount="1">
  <autoFilter ref="A4:E70"/>
  <tableColumns count="5">
    <tableColumn id="1" name="Year"/>
    <tableColumn id="2" name="Inflation (World Bank, %)"/>
    <tableColumn id="3" name="Price index (1959 = 100)"/>
    <tableColumn id="4" name="Index (base year = 100)"/>
    <tableColumn id="5" name="Rows foun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2">
      <c r="B2" s="1" t="inlineStr">
        <is>
          <t>Are UK houses really more expensive?</t>
        </is>
      </c>
    </row>
    <row r="3">
      <c r="B3" s="2" t="inlineStr">
        <is>
          <t>Nationwide average house prices since 1953, in cash and after inflation. Every number is a live formula over the raw data.</t>
        </is>
      </c>
    </row>
    <row r="5">
      <c r="B5" s="3" t="inlineStr">
        <is>
          <t>How to use</t>
        </is>
      </c>
      <c r="C5" s="4" t="inlineStr"/>
    </row>
    <row r="6">
      <c r="B6" s="5" t="inlineStr">
        <is>
          <t>Dashboard</t>
        </is>
      </c>
      <c r="C6" s="4" t="inlineStr">
        <is>
          <t>Pick a base year (yellow cell). Every real price in the workbook is restated in that year's pounds.</t>
        </is>
      </c>
    </row>
    <row r="7">
      <c r="B7" s="5" t="inlineStr">
        <is>
          <t>Mortgage</t>
        </is>
      </c>
      <c r="C7" s="4" t="inlineStr">
        <is>
          <t>Compare the monthly cost of the average house in two quarters. Change the deposit, term and interest rates (yellow cells).</t>
        </is>
      </c>
    </row>
    <row r="8">
      <c r="B8" s="5" t="inlineStr">
        <is>
          <t>Colour code</t>
        </is>
      </c>
      <c r="C8" s="4" t="inlineStr">
        <is>
          <t>Blue text in a yellow cell: an input you can change. Black: a formula. Green: a value pulled from another sheet.</t>
        </is>
      </c>
    </row>
    <row r="9">
      <c r="B9" s="6" t="inlineStr"/>
      <c r="C9" s="4" t="inlineStr"/>
    </row>
    <row r="10">
      <c r="B10" s="3" t="inlineStr">
        <is>
          <t>Sheet map</t>
        </is>
      </c>
      <c r="C10" s="4" t="inlineStr"/>
    </row>
    <row r="11">
      <c r="B11" s="5" t="inlineStr">
        <is>
          <t>Dashboard</t>
        </is>
      </c>
      <c r="C11" s="4" t="inlineStr">
        <is>
          <t>Headline figures, charts and the biggest real-terms falls.</t>
        </is>
      </c>
    </row>
    <row r="12">
      <c r="B12" s="5" t="inlineStr">
        <is>
          <t>Mortgage</t>
        </is>
      </c>
      <c r="C12" s="4" t="inlineStr">
        <is>
          <t>Monthly repayment then vs now, and a rate x deposit sensitivity grid (PMT).</t>
        </is>
      </c>
    </row>
    <row r="13">
      <c r="B13" s="5" t="inlineStr">
        <is>
          <t>Annual</t>
        </is>
      </c>
      <c r="C13" s="4" t="inlineStr">
        <is>
          <t>One row per year: average price in cash and in base-year pounds, inflation, growth.</t>
        </is>
      </c>
    </row>
    <row r="14">
      <c r="B14" s="5" t="inlineStr">
        <is>
          <t>Decades</t>
        </is>
      </c>
      <c r="C14" s="4" t="inlineStr">
        <is>
          <t>Growth per decade, in cash and real terms, with compound annual rates.</t>
        </is>
      </c>
    </row>
    <row r="15">
      <c r="B15" s="5" t="inlineStr">
        <is>
          <t>Quarterly</t>
        </is>
      </c>
      <c r="C15" s="4" t="inlineStr">
        <is>
          <t>One row per Nationwide quarter: real price, year-on-year change, running real peak and fall from peak.</t>
        </is>
      </c>
    </row>
    <row r="16">
      <c r="B16" s="5" t="inlineStr">
        <is>
          <t>CPI</t>
        </is>
      </c>
      <c r="C16" s="4" t="inlineStr">
        <is>
          <t>UK inflation each year from the World Bank, chained into a price index and rebased to the base year.</t>
        </is>
      </c>
    </row>
    <row r="17">
      <c r="B17" s="5" t="inlineStr">
        <is>
          <t>Checks</t>
        </is>
      </c>
      <c r="C17" s="4" t="inlineStr">
        <is>
          <t>Reconciliation tests. The Dashboard shows whether they all pass.</t>
        </is>
      </c>
    </row>
    <row r="18">
      <c r="B18" s="5" t="inlineStr">
        <is>
          <t>Raw_Nationwide</t>
        </is>
      </c>
      <c r="C18" s="4" t="inlineStr">
        <is>
          <t>Nationwide house price series exactly as published (datasets/house-prices-uk).</t>
        </is>
      </c>
    </row>
    <row r="19">
      <c r="B19" s="5" t="inlineStr">
        <is>
          <t>Raw_CPI</t>
        </is>
      </c>
      <c r="C19" s="4" t="inlineStr">
        <is>
          <t>World Bank consumer price data for every country, exactly as published (datasets/cpi).</t>
        </is>
      </c>
    </row>
    <row r="20">
      <c r="B20" s="6" t="inlineStr"/>
      <c r="C20" s="4" t="inlineStr"/>
    </row>
    <row r="21">
      <c r="B21" s="3" t="inlineStr">
        <is>
          <t>Sources</t>
        </is>
      </c>
      <c r="C21" s="4" t="inlineStr"/>
    </row>
    <row r="22">
      <c r="B22" s="5" t="inlineStr">
        <is>
          <t>House prices</t>
        </is>
      </c>
      <c r="C22" s="4" t="inlineStr">
        <is>
          <t>Nationwide Building Society, UK house prices since 1952 (quarterly average price, all houses and new houses), via github.com/datasets/house-prices-uk (ODC PDDL 1.0).</t>
        </is>
      </c>
    </row>
    <row r="23">
      <c r="B23" s="5" t="inlineStr">
        <is>
          <t>Inflation</t>
        </is>
      </c>
      <c r="C23" s="4" t="inlineStr">
        <is>
          <t>World Bank, consumer prices for the United Kingdom, via github.com/datasets/cpi (ODC PDDL 1.0).</t>
        </is>
      </c>
    </row>
    <row r="24">
      <c r="B24" s="6" t="inlineStr"/>
      <c r="C24" s="4" t="inlineStr"/>
    </row>
    <row r="25">
      <c r="B25" s="3" t="inlineStr">
        <is>
          <t>Notes and data quality</t>
        </is>
      </c>
      <c r="C25" s="4" t="inlineStr"/>
    </row>
    <row r="26">
      <c r="B26" s="5" t="inlineStr">
        <is>
          <t>CPI values</t>
        </is>
      </c>
      <c r="C26" s="4" t="inlineStr">
        <is>
          <t>The CPI file's metadata describes an index with 2005 = 100, but the values are annual % changes (UK 1975 = 24.2, 2024 = 3.3). The workbook treats them as annual inflation and chains them into an index (1959 = 100).</t>
        </is>
      </c>
    </row>
    <row r="27">
      <c r="B27" s="5" t="inlineStr">
        <is>
          <t>Annual deflator</t>
        </is>
      </c>
      <c r="C27" s="4" t="inlineStr">
        <is>
          <t>Inflation is annual, so every quarter in a year is deflated by that year's average price level.</t>
        </is>
      </c>
    </row>
    <row r="28">
      <c r="B28" s="5" t="inlineStr">
        <is>
          <t>Coverage</t>
        </is>
      </c>
      <c r="C28" s="4" t="inlineStr">
        <is>
          <t>Real prices run from 1960 to 2024, the years with inflation data. Quarters after 2024 show cash prices only.</t>
        </is>
      </c>
    </row>
    <row r="29">
      <c r="B29" s="5" t="inlineStr">
        <is>
          <t>Methodology</t>
        </is>
      </c>
      <c r="C29" s="4" t="inlineStr">
        <is>
          <t>Nationwide's method changed over time: simple averages to 1959, floor-area weighting 1960-73, a regression-based mix adjustment from 1983. Long-run comparisons are approximate.</t>
        </is>
      </c>
    </row>
    <row r="30">
      <c r="B30" s="5" t="inlineStr">
        <is>
          <t>Quarter labels</t>
        </is>
      </c>
      <c r="C30" s="4" t="inlineStr">
        <is>
          <t>Nationwide dates its quarters in February, May, August and November; these are labelled Q1 to Q4.</t>
        </is>
      </c>
    </row>
    <row r="31">
      <c r="B31" s="5" t="inlineStr">
        <is>
          <t>Not included</t>
        </is>
      </c>
      <c r="C31" s="4" t="inlineStr">
        <is>
          <t>Earnings, so this is not an affordability ratio; and actual mortgage rates, which you enter yourself on the Mortgage sheet.</t>
        </is>
      </c>
    </row>
    <row r="33">
      <c r="B33" s="2" t="inlineStr">
        <is>
          <t>Built by Qais Adeniji-Bello · github.com/QaisBello/uk-house-prices-excel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B2:I20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3" customWidth="1" min="4" max="4"/>
    <col width="26" customWidth="1" min="5" max="5"/>
    <col width="18" customWidth="1" min="6" max="6"/>
    <col width="3" customWidth="1" min="7" max="7"/>
    <col width="26" customWidth="1" min="8" max="8"/>
    <col width="18" customWidth="1" min="9" max="9"/>
    <col width="3" customWidth="1" min="10" max="10"/>
    <col width="14" customWidth="1" min="11" max="11"/>
  </cols>
  <sheetData>
    <row r="2">
      <c r="B2" s="1" t="inlineStr">
        <is>
          <t>Are UK houses really more expensive?</t>
        </is>
      </c>
    </row>
    <row r="3">
      <c r="B3" s="2" t="inlineStr">
        <is>
          <t>Nationwide average house price, 1953-2025, in cash and in base-year pounds (after inflation).</t>
        </is>
      </c>
    </row>
    <row r="5">
      <c r="B5" s="7" t="inlineStr">
        <is>
          <t>Base year (pick a year)</t>
        </is>
      </c>
      <c r="C5" s="8" t="n">
        <v>2024</v>
      </c>
      <c r="E5" s="7" t="inlineStr">
        <is>
          <t>Checks</t>
        </is>
      </c>
      <c r="F5" s="9">
        <f>IF(COUNTIF(Checks!C:C,"FAIL")=0,"All "&amp;COUNTIF(Checks!C:C,"PASS")&amp;" pass","FAILURES: see Checks")</f>
        <v/>
      </c>
    </row>
    <row r="7">
      <c r="B7" s="10" t="inlineStr">
        <is>
          <t>Latest average price</t>
        </is>
      </c>
      <c r="C7" s="11" t="n"/>
      <c r="E7" s="10" t="inlineStr">
        <is>
          <t>Cash price, 1960 to latest</t>
        </is>
      </c>
      <c r="F7" s="11" t="n"/>
      <c r="H7" s="10" t="inlineStr">
        <is>
          <t>Real price, 1960 to 2024</t>
        </is>
      </c>
      <c r="I7" s="11" t="n"/>
    </row>
    <row r="8" ht="30" customHeight="1">
      <c r="B8" s="12">
        <f>INDEX(Q_Price,MATCH(9.99E+307,Q_Price))</f>
        <v/>
      </c>
      <c r="E8" s="13">
        <f>INDEX(Q_Price,MATCH(9.99E+307,Q_Price))/INDEX(A_Price,1)</f>
        <v/>
      </c>
      <c r="H8" s="13">
        <f>INDEX(A_Real,MATCH(2024,A_Year,0))/INDEX(A_Real,1)</f>
        <v/>
      </c>
    </row>
    <row r="9">
      <c r="B9" s="14">
        <f>"Nationwide, "&amp;INDEX(Q_Label,MATCH(9.99E+307,Q_Price))</f>
        <v/>
      </c>
      <c r="E9" s="14">
        <f>"from "&amp;TEXT(INDEX(A_Price,1),"£#,##0")&amp;" (1960 average)"</f>
        <v/>
      </c>
      <c r="H9" s="14">
        <f>"in "&amp;BaseYear&amp;" pounds: "&amp;TEXT(INDEX(A_Real,1),"£#,##0")&amp;" to "&amp;TEXT(INDEX(A_Real,ROWS(A_Real)),"£#,##0")</f>
        <v/>
      </c>
    </row>
    <row r="11">
      <c r="B11" s="10" t="inlineStr">
        <is>
          <t>Real growth a year</t>
        </is>
      </c>
      <c r="C11" s="11" t="n"/>
      <c r="E11" s="10" t="inlineStr">
        <is>
          <t>Inflation a year</t>
        </is>
      </c>
      <c r="F11" s="11" t="n"/>
      <c r="H11" s="10" t="inlineStr">
        <is>
          <t>Biggest real fall from a peak</t>
        </is>
      </c>
      <c r="I11" s="11" t="n"/>
    </row>
    <row r="12" ht="30" customHeight="1">
      <c r="B12" s="15">
        <f>(INDEX(A_Real,ROWS(A_Real))/INDEX(A_Real,1))^(1/(2024-1960))-1</f>
        <v/>
      </c>
      <c r="E12" s="15">
        <f>(INDEX(CPI!$C:$C,MATCH(2024,CPI!$A:$A,0))/INDEX(CPI!$C:$C,MATCH(1960,CPI!$A:$A,0)))^(1/(2024-1960))-1</f>
        <v/>
      </c>
      <c r="H12" s="15">
        <f>MIN(Q_Fall)</f>
        <v/>
      </c>
    </row>
    <row r="13">
      <c r="B13" s="14">
        <f>"compound, 1960-2024, above inflation"</f>
        <v/>
      </c>
      <c r="E13" s="14">
        <f>"World Bank, UK, same period"</f>
        <v/>
      </c>
      <c r="H13" s="14">
        <f>"trough "&amp;INDEX(Q_Label,MATCH(MIN(Q_Fall),Q_Fall,0))</f>
        <v/>
      </c>
    </row>
    <row r="15">
      <c r="B15" s="16" t="inlineStr">
        <is>
          <t>The big real-terms falls</t>
        </is>
      </c>
    </row>
    <row r="16" ht="30" customHeight="1">
      <c r="B16" s="17" t="inlineStr">
        <is>
          <t>Episode</t>
        </is>
      </c>
      <c r="C16" s="17" t="inlineStr">
        <is>
          <t>Real fall from peak</t>
        </is>
      </c>
      <c r="E16" s="17" t="inlineStr">
        <is>
          <t>Trough</t>
        </is>
      </c>
    </row>
    <row r="17">
      <c r="B17" s="18" t="inlineStr">
        <is>
          <t>1970s oil shock (1973-1979)</t>
        </is>
      </c>
      <c r="C17" s="19">
        <f>_xlfn.MINIFS(Q_Fall,Q_Year,"&gt;=1973",Q_Year,"&lt;=1979")</f>
        <v/>
      </c>
      <c r="D17" s="18" t="n"/>
      <c r="E17" s="18">
        <f>INDEX(Q_Label,MATCH(C17,Q_Fall,0))</f>
        <v/>
      </c>
    </row>
    <row r="18">
      <c r="B18" s="18" t="inlineStr">
        <is>
          <t>Early-1990s crash (1989-1996)</t>
        </is>
      </c>
      <c r="C18" s="19">
        <f>_xlfn.MINIFS(Q_Fall,Q_Year,"&gt;=1989",Q_Year,"&lt;=1996")</f>
        <v/>
      </c>
      <c r="D18" s="18" t="n"/>
      <c r="E18" s="18">
        <f>INDEX(Q_Label,MATCH(C18,Q_Fall,0))</f>
        <v/>
      </c>
    </row>
    <row r="19">
      <c r="B19" s="18" t="inlineStr">
        <is>
          <t>Financial crisis (2007-2013)</t>
        </is>
      </c>
      <c r="C19" s="19">
        <f>_xlfn.MINIFS(Q_Fall,Q_Year,"&gt;=2007",Q_Year,"&lt;=2013")</f>
        <v/>
      </c>
      <c r="D19" s="18" t="n"/>
      <c r="E19" s="18">
        <f>INDEX(Q_Label,MATCH(C19,Q_Fall,0))</f>
        <v/>
      </c>
    </row>
    <row r="20">
      <c r="B20" s="2" t="inlineStr">
        <is>
          <t>Fall from peak: real price against the highest real price reached before it. Cash prices fell far less in each episode, because inflation did part of the work.</t>
        </is>
      </c>
    </row>
  </sheetData>
  <mergeCells count="16">
    <mergeCell ref="E9:F9"/>
    <mergeCell ref="B13:C13"/>
    <mergeCell ref="E12:F12"/>
    <mergeCell ref="H12:I12"/>
    <mergeCell ref="H13:I13"/>
    <mergeCell ref="C17:D17"/>
    <mergeCell ref="C16:D16"/>
    <mergeCell ref="H9:I9"/>
    <mergeCell ref="C19:D19"/>
    <mergeCell ref="E13:F13"/>
    <mergeCell ref="H8:I8"/>
    <mergeCell ref="B9:C9"/>
    <mergeCell ref="B8:C8"/>
    <mergeCell ref="C18:D18"/>
    <mergeCell ref="E8:F8"/>
    <mergeCell ref="B12:C12"/>
  </mergeCells>
  <conditionalFormatting sqref="F5">
    <cfRule type="expression" priority="1" dxfId="0">
      <formula>COUNTIF(Checks!C:C,"FAIL")&gt;0</formula>
    </cfRule>
  </conditionalFormatting>
  <dataValidations count="1">
    <dataValidation sqref="C5" showDropDown="0" showInputMessage="0" showErrorMessage="0" allowBlank="0" error="Pick a year from 1960 to 2024." type="list">
      <formula1>=CPI!$A$6:$A$70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B2:K22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3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What did the average house cost a month?</t>
        </is>
      </c>
    </row>
    <row r="3">
      <c r="B3" s="2" t="inlineStr">
        <is>
          <t>Repayment mortgage on the average Nationwide house in two quarters. Yellow cells are yours to change.</t>
        </is>
      </c>
    </row>
    <row r="5">
      <c r="B5" s="20" t="inlineStr"/>
      <c r="C5" s="20" t="inlineStr">
        <is>
          <t>Then</t>
        </is>
      </c>
      <c r="D5" s="20" t="inlineStr">
        <is>
          <t>Now</t>
        </is>
      </c>
      <c r="F5" s="7" t="inlineStr">
        <is>
          <t>Monthly repayment on the 'Now' house: rate x deposit</t>
        </is>
      </c>
    </row>
    <row r="6">
      <c r="B6" s="21" t="inlineStr">
        <is>
          <t>Quarter</t>
        </is>
      </c>
      <c r="C6" s="8" t="inlineStr">
        <is>
          <t>2007 Q3</t>
        </is>
      </c>
      <c r="D6" s="8" t="inlineStr">
        <is>
          <t>2024 Q4</t>
        </is>
      </c>
      <c r="F6" s="22" t="inlineStr">
        <is>
          <t>Rate \ deposit</t>
        </is>
      </c>
      <c r="G6" s="23" t="n">
        <v>0.05</v>
      </c>
      <c r="H6" s="23" t="n">
        <v>0.1</v>
      </c>
      <c r="I6" s="23" t="n">
        <v>0.15</v>
      </c>
      <c r="J6" s="23" t="n">
        <v>0.2</v>
      </c>
      <c r="K6" s="23" t="n">
        <v>0.25</v>
      </c>
    </row>
    <row r="7">
      <c r="B7" s="21" t="inlineStr">
        <is>
          <t>Mortgage rate (your assumption)</t>
        </is>
      </c>
      <c r="C7" s="24" t="n">
        <v>0.05</v>
      </c>
      <c r="D7" s="24" t="n">
        <v>0.05</v>
      </c>
      <c r="F7" s="24" t="n">
        <v>0.02</v>
      </c>
      <c r="G7" s="25">
        <f>PMT($F7/12,$D$9*12,-$D$10*(1-G$6))</f>
        <v/>
      </c>
      <c r="H7" s="25">
        <f>PMT($F7/12,$D$9*12,-$D$10*(1-H$6))</f>
        <v/>
      </c>
      <c r="I7" s="25">
        <f>PMT($F7/12,$D$9*12,-$D$10*(1-I$6))</f>
        <v/>
      </c>
      <c r="J7" s="25">
        <f>PMT($F7/12,$D$9*12,-$D$10*(1-J$6))</f>
        <v/>
      </c>
      <c r="K7" s="25">
        <f>PMT($F7/12,$D$9*12,-$D$10*(1-K$6))</f>
        <v/>
      </c>
    </row>
    <row r="8">
      <c r="B8" s="21" t="inlineStr">
        <is>
          <t>Deposit</t>
        </is>
      </c>
      <c r="C8" s="24" t="n">
        <v>0.1</v>
      </c>
      <c r="D8" s="24" t="n">
        <v>0.1</v>
      </c>
      <c r="F8" s="24" t="n">
        <v>0.03</v>
      </c>
      <c r="G8" s="25">
        <f>PMT($F8/12,$D$9*12,-$D$10*(1-G$6))</f>
        <v/>
      </c>
      <c r="H8" s="25">
        <f>PMT($F8/12,$D$9*12,-$D$10*(1-H$6))</f>
        <v/>
      </c>
      <c r="I8" s="25">
        <f>PMT($F8/12,$D$9*12,-$D$10*(1-I$6))</f>
        <v/>
      </c>
      <c r="J8" s="25">
        <f>PMT($F8/12,$D$9*12,-$D$10*(1-J$6))</f>
        <v/>
      </c>
      <c r="K8" s="25">
        <f>PMT($F8/12,$D$9*12,-$D$10*(1-K$6))</f>
        <v/>
      </c>
    </row>
    <row r="9">
      <c r="B9" s="21" t="inlineStr">
        <is>
          <t>Term (years)</t>
        </is>
      </c>
      <c r="C9" s="8" t="n">
        <v>25</v>
      </c>
      <c r="D9" s="8" t="n">
        <v>25</v>
      </c>
      <c r="F9" s="24" t="n">
        <v>0.04</v>
      </c>
      <c r="G9" s="25">
        <f>PMT($F9/12,$D$9*12,-$D$10*(1-G$6))</f>
        <v/>
      </c>
      <c r="H9" s="25">
        <f>PMT($F9/12,$D$9*12,-$D$10*(1-H$6))</f>
        <v/>
      </c>
      <c r="I9" s="25">
        <f>PMT($F9/12,$D$9*12,-$D$10*(1-I$6))</f>
        <v/>
      </c>
      <c r="J9" s="25">
        <f>PMT($F9/12,$D$9*12,-$D$10*(1-J$6))</f>
        <v/>
      </c>
      <c r="K9" s="25">
        <f>PMT($F9/12,$D$9*12,-$D$10*(1-K$6))</f>
        <v/>
      </c>
    </row>
    <row r="10">
      <c r="B10" s="21" t="inlineStr">
        <is>
          <t>Average house price (£)</t>
        </is>
      </c>
      <c r="C10" s="26">
        <f>INDEX(Q_Price,MATCH(C6,Q_Label,0))</f>
        <v/>
      </c>
      <c r="D10" s="26">
        <f>INDEX(Q_Price,MATCH(D6,Q_Label,0))</f>
        <v/>
      </c>
      <c r="F10" s="24" t="n">
        <v>0.05</v>
      </c>
      <c r="G10" s="25">
        <f>PMT($F10/12,$D$9*12,-$D$10*(1-G$6))</f>
        <v/>
      </c>
      <c r="H10" s="25">
        <f>PMT($F10/12,$D$9*12,-$D$10*(1-H$6))</f>
        <v/>
      </c>
      <c r="I10" s="25">
        <f>PMT($F10/12,$D$9*12,-$D$10*(1-I$6))</f>
        <v/>
      </c>
      <c r="J10" s="25">
        <f>PMT($F10/12,$D$9*12,-$D$10*(1-J$6))</f>
        <v/>
      </c>
      <c r="K10" s="25">
        <f>PMT($F10/12,$D$9*12,-$D$10*(1-K$6))</f>
        <v/>
      </c>
    </row>
    <row r="11">
      <c r="B11" s="21" t="inlineStr">
        <is>
          <t>Deposit (£)</t>
        </is>
      </c>
      <c r="C11" s="26">
        <f>C10*C8</f>
        <v/>
      </c>
      <c r="D11" s="26">
        <f>D10*D8</f>
        <v/>
      </c>
      <c r="F11" s="24" t="n">
        <v>0.06</v>
      </c>
      <c r="G11" s="25">
        <f>PMT($F11/12,$D$9*12,-$D$10*(1-G$6))</f>
        <v/>
      </c>
      <c r="H11" s="25">
        <f>PMT($F11/12,$D$9*12,-$D$10*(1-H$6))</f>
        <v/>
      </c>
      <c r="I11" s="25">
        <f>PMT($F11/12,$D$9*12,-$D$10*(1-I$6))</f>
        <v/>
      </c>
      <c r="J11" s="25">
        <f>PMT($F11/12,$D$9*12,-$D$10*(1-J$6))</f>
        <v/>
      </c>
      <c r="K11" s="25">
        <f>PMT($F11/12,$D$9*12,-$D$10*(1-K$6))</f>
        <v/>
      </c>
    </row>
    <row r="12">
      <c r="B12" s="21" t="inlineStr">
        <is>
          <t>Loan (£)</t>
        </is>
      </c>
      <c r="C12" s="26">
        <f>C10-C11</f>
        <v/>
      </c>
      <c r="D12" s="26">
        <f>D10-D11</f>
        <v/>
      </c>
      <c r="F12" s="24" t="n">
        <v>0.07000000000000001</v>
      </c>
      <c r="G12" s="25">
        <f>PMT($F12/12,$D$9*12,-$D$10*(1-G$6))</f>
        <v/>
      </c>
      <c r="H12" s="25">
        <f>PMT($F12/12,$D$9*12,-$D$10*(1-H$6))</f>
        <v/>
      </c>
      <c r="I12" s="25">
        <f>PMT($F12/12,$D$9*12,-$D$10*(1-I$6))</f>
        <v/>
      </c>
      <c r="J12" s="25">
        <f>PMT($F12/12,$D$9*12,-$D$10*(1-J$6))</f>
        <v/>
      </c>
      <c r="K12" s="25">
        <f>PMT($F12/12,$D$9*12,-$D$10*(1-K$6))</f>
        <v/>
      </c>
    </row>
    <row r="13">
      <c r="B13" s="21" t="inlineStr">
        <is>
          <t>Monthly rate</t>
        </is>
      </c>
      <c r="C13" s="27">
        <f>C7/12</f>
        <v/>
      </c>
      <c r="D13" s="27">
        <f>D7/12</f>
        <v/>
      </c>
      <c r="F13" s="24" t="n">
        <v>0.08</v>
      </c>
      <c r="G13" s="25">
        <f>PMT($F13/12,$D$9*12,-$D$10*(1-G$6))</f>
        <v/>
      </c>
      <c r="H13" s="25">
        <f>PMT($F13/12,$D$9*12,-$D$10*(1-H$6))</f>
        <v/>
      </c>
      <c r="I13" s="25">
        <f>PMT($F13/12,$D$9*12,-$D$10*(1-I$6))</f>
        <v/>
      </c>
      <c r="J13" s="25">
        <f>PMT($F13/12,$D$9*12,-$D$10*(1-J$6))</f>
        <v/>
      </c>
      <c r="K13" s="25">
        <f>PMT($F13/12,$D$9*12,-$D$10*(1-K$6))</f>
        <v/>
      </c>
    </row>
    <row r="14">
      <c r="B14" s="7" t="inlineStr">
        <is>
          <t>Monthly repayment (£)</t>
        </is>
      </c>
      <c r="C14" s="28">
        <f>PMT(C13,C9*12,-C12)</f>
        <v/>
      </c>
      <c r="D14" s="28">
        <f>PMT(D13,D9*12,-D12)</f>
        <v/>
      </c>
    </row>
    <row r="15">
      <c r="B15" s="21" t="inlineStr">
        <is>
          <t>Total repaid over the term (£)</t>
        </is>
      </c>
      <c r="C15" s="26">
        <f>C14*C9*12</f>
        <v/>
      </c>
      <c r="D15" s="26">
        <f>D14*D9*12</f>
        <v/>
      </c>
      <c r="F15" s="2" t="inlineStr">
        <is>
          <t>Term from cell D9. Rates in column F are editable.</t>
        </is>
      </c>
    </row>
    <row r="16">
      <c r="B16" s="21" t="inlineStr">
        <is>
          <t>Monthly repayment in base-year £</t>
        </is>
      </c>
      <c r="C16" s="29">
        <f>IFERROR(C14*100/INDEX(CPI_Index,MATCH(VALUE(LEFT(C6,4)),CPI_Year,0)),"no inflation data yet")</f>
        <v/>
      </c>
      <c r="D16" s="29">
        <f>IFERROR(D14*100/INDEX(CPI_Index,MATCH(VALUE(LEFT(D6,4)),CPI_Year,0)),"no inflation data yet")</f>
        <v/>
      </c>
    </row>
    <row r="17">
      <c r="B17" s="21" t="inlineStr">
        <is>
          <t>Deposit in base-year £</t>
        </is>
      </c>
      <c r="C17" s="26">
        <f>IFERROR(C11*100/INDEX(CPI_Index,MATCH(VALUE(LEFT(C6,4)),CPI_Year,0)),"no inflation data yet")</f>
        <v/>
      </c>
      <c r="D17" s="26">
        <f>IFERROR(D11*100/INDEX(CPI_Index,MATCH(VALUE(LEFT(D6,4)),CPI_Year,0)),"no inflation data yet")</f>
        <v/>
      </c>
    </row>
    <row r="18"/>
    <row r="19">
      <c r="B19" s="7" t="inlineStr">
        <is>
          <t>Change, then to now</t>
        </is>
      </c>
    </row>
    <row r="20">
      <c r="B20" s="18" t="inlineStr">
        <is>
          <t>Monthly repayment, cash</t>
        </is>
      </c>
      <c r="C20" s="30">
        <f>D14/C14-1</f>
        <v/>
      </c>
    </row>
    <row r="21">
      <c r="B21" s="18" t="inlineStr">
        <is>
          <t>Monthly repayment, real (base-year £)</t>
        </is>
      </c>
      <c r="C21" s="30">
        <f>IFERROR(D16/C16-1,"needs inflation data for both quarters")</f>
        <v/>
      </c>
    </row>
    <row r="22">
      <c r="B22" s="18" t="inlineStr">
        <is>
          <t>Deposit, real (base-year £)</t>
        </is>
      </c>
      <c r="C22" s="30">
        <f>IFERROR(D17/C17-1,"needs inflation data for both quarters")</f>
        <v/>
      </c>
    </row>
  </sheetData>
  <conditionalFormatting sqref="G7:K13">
    <cfRule type="colorScale" priority="1">
      <colorScale>
        <cfvo type="min"/>
        <cfvo type="max"/>
        <color rgb="00E6F2F0"/>
        <color rgb="00F4B183"/>
      </colorScale>
    </cfRule>
  </conditionalFormatting>
  <dataValidations count="4">
    <dataValidation sqref="C6:D6" showDropDown="0" showInputMessage="0" showErrorMessage="0" allowBlank="0" errorTitle="Quarter" error="Pick a quarter from the list, such as 2007 Q3." type="list">
      <formula1>=Quarterly!$D$33:$D$294</formula1>
    </dataValidation>
    <dataValidation sqref="C7:D7" showDropDown="0" showInputMessage="0" showErrorMessage="0" allowBlank="0" error="Enter a rate between 0.01% and 25%." type="decimal" operator="between">
      <formula1>0.0001</formula1>
      <formula2>0.25</formula2>
    </dataValidation>
    <dataValidation sqref="C8:D8" showDropDown="0" showInputMessage="0" showErrorMessage="0" allowBlank="0" error="Enter a deposit between 0% and 95%." type="decimal" operator="between">
      <formula1>0</formula1>
      <formula2>0.95</formula2>
    </dataValidation>
    <dataValidation sqref="C9:D9" showDropDown="0" showInputMessage="0" showErrorMessage="0" allowBlank="0" type="whole" operator="between">
      <formula1>5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1" customWidth="1" min="4" max="4"/>
    <col width="11" customWidth="1" min="5" max="5"/>
    <col width="11" customWidth="1" min="6" max="6"/>
    <col width="13" customWidth="1" min="7" max="7"/>
  </cols>
  <sheetData>
    <row r="1">
      <c r="A1" s="31" t="inlineStr">
        <is>
          <t>One row per year (average of the year's quarters)</t>
        </is>
      </c>
    </row>
    <row r="2">
      <c r="A2" s="2" t="inlineStr">
        <is>
          <t>Years with inflation data only, so cash and real prices can be compared.</t>
        </is>
      </c>
    </row>
    <row r="4" ht="30" customHeight="1">
      <c r="A4" s="17" t="inlineStr">
        <is>
          <t>Year</t>
        </is>
      </c>
      <c r="B4" s="17" t="inlineStr">
        <is>
          <t>Average price (£)</t>
        </is>
      </c>
      <c r="C4" s="17" t="inlineStr">
        <is>
          <t>Real price (base-year £)</t>
        </is>
      </c>
      <c r="D4" s="17" t="inlineStr">
        <is>
          <t>Inflation</t>
        </is>
      </c>
      <c r="E4" s="17" t="inlineStr">
        <is>
          <t>Cash growth</t>
        </is>
      </c>
      <c r="F4" s="17" t="inlineStr">
        <is>
          <t>Real growth</t>
        </is>
      </c>
      <c r="G4" s="17" t="inlineStr">
        <is>
          <t>Real price vs 1960</t>
        </is>
      </c>
    </row>
    <row r="5">
      <c r="A5" s="18" t="n">
        <v>1960</v>
      </c>
      <c r="B5" s="25">
        <f>AVERAGEIFS(Q_Price,Q_Year,A5)</f>
        <v/>
      </c>
      <c r="C5" s="25">
        <f>AVERAGEIFS(Q_Real,Q_Year,A5)</f>
        <v/>
      </c>
      <c r="D5" s="32">
        <f>INDEX(CPI!$B:$B,MATCH(A5,CPI!$A:$A,0))</f>
        <v/>
      </c>
      <c r="E5" s="30" t="n"/>
      <c r="F5" s="30" t="n"/>
      <c r="G5" s="33">
        <f>C5/$C$5</f>
        <v/>
      </c>
    </row>
    <row r="6">
      <c r="A6" s="18" t="n">
        <v>1961</v>
      </c>
      <c r="B6" s="25">
        <f>AVERAGEIFS(Q_Price,Q_Year,A6)</f>
        <v/>
      </c>
      <c r="C6" s="25">
        <f>AVERAGEIFS(Q_Real,Q_Year,A6)</f>
        <v/>
      </c>
      <c r="D6" s="32">
        <f>INDEX(CPI!$B:$B,MATCH(A6,CPI!$A:$A,0))</f>
        <v/>
      </c>
      <c r="E6" s="30">
        <f>B6/B5-1</f>
        <v/>
      </c>
      <c r="F6" s="30">
        <f>C6/C5-1</f>
        <v/>
      </c>
      <c r="G6" s="33">
        <f>C6/$C$5</f>
        <v/>
      </c>
    </row>
    <row r="7">
      <c r="A7" s="18" t="n">
        <v>1962</v>
      </c>
      <c r="B7" s="25">
        <f>AVERAGEIFS(Q_Price,Q_Year,A7)</f>
        <v/>
      </c>
      <c r="C7" s="25">
        <f>AVERAGEIFS(Q_Real,Q_Year,A7)</f>
        <v/>
      </c>
      <c r="D7" s="32">
        <f>INDEX(CPI!$B:$B,MATCH(A7,CPI!$A:$A,0))</f>
        <v/>
      </c>
      <c r="E7" s="30">
        <f>B7/B6-1</f>
        <v/>
      </c>
      <c r="F7" s="30">
        <f>C7/C6-1</f>
        <v/>
      </c>
      <c r="G7" s="33">
        <f>C7/$C$5</f>
        <v/>
      </c>
    </row>
    <row r="8">
      <c r="A8" s="18" t="n">
        <v>1963</v>
      </c>
      <c r="B8" s="25">
        <f>AVERAGEIFS(Q_Price,Q_Year,A8)</f>
        <v/>
      </c>
      <c r="C8" s="25">
        <f>AVERAGEIFS(Q_Real,Q_Year,A8)</f>
        <v/>
      </c>
      <c r="D8" s="32">
        <f>INDEX(CPI!$B:$B,MATCH(A8,CPI!$A:$A,0))</f>
        <v/>
      </c>
      <c r="E8" s="30">
        <f>B8/B7-1</f>
        <v/>
      </c>
      <c r="F8" s="30">
        <f>C8/C7-1</f>
        <v/>
      </c>
      <c r="G8" s="33">
        <f>C8/$C$5</f>
        <v/>
      </c>
    </row>
    <row r="9">
      <c r="A9" s="18" t="n">
        <v>1964</v>
      </c>
      <c r="B9" s="25">
        <f>AVERAGEIFS(Q_Price,Q_Year,A9)</f>
        <v/>
      </c>
      <c r="C9" s="25">
        <f>AVERAGEIFS(Q_Real,Q_Year,A9)</f>
        <v/>
      </c>
      <c r="D9" s="32">
        <f>INDEX(CPI!$B:$B,MATCH(A9,CPI!$A:$A,0))</f>
        <v/>
      </c>
      <c r="E9" s="30">
        <f>B9/B8-1</f>
        <v/>
      </c>
      <c r="F9" s="30">
        <f>C9/C8-1</f>
        <v/>
      </c>
      <c r="G9" s="33">
        <f>C9/$C$5</f>
        <v/>
      </c>
    </row>
    <row r="10">
      <c r="A10" s="18" t="n">
        <v>1965</v>
      </c>
      <c r="B10" s="25">
        <f>AVERAGEIFS(Q_Price,Q_Year,A10)</f>
        <v/>
      </c>
      <c r="C10" s="25">
        <f>AVERAGEIFS(Q_Real,Q_Year,A10)</f>
        <v/>
      </c>
      <c r="D10" s="32">
        <f>INDEX(CPI!$B:$B,MATCH(A10,CPI!$A:$A,0))</f>
        <v/>
      </c>
      <c r="E10" s="30">
        <f>B10/B9-1</f>
        <v/>
      </c>
      <c r="F10" s="30">
        <f>C10/C9-1</f>
        <v/>
      </c>
      <c r="G10" s="33">
        <f>C10/$C$5</f>
        <v/>
      </c>
    </row>
    <row r="11">
      <c r="A11" s="18" t="n">
        <v>1966</v>
      </c>
      <c r="B11" s="25">
        <f>AVERAGEIFS(Q_Price,Q_Year,A11)</f>
        <v/>
      </c>
      <c r="C11" s="25">
        <f>AVERAGEIFS(Q_Real,Q_Year,A11)</f>
        <v/>
      </c>
      <c r="D11" s="32">
        <f>INDEX(CPI!$B:$B,MATCH(A11,CPI!$A:$A,0))</f>
        <v/>
      </c>
      <c r="E11" s="30">
        <f>B11/B10-1</f>
        <v/>
      </c>
      <c r="F11" s="30">
        <f>C11/C10-1</f>
        <v/>
      </c>
      <c r="G11" s="33">
        <f>C11/$C$5</f>
        <v/>
      </c>
    </row>
    <row r="12">
      <c r="A12" s="18" t="n">
        <v>1967</v>
      </c>
      <c r="B12" s="25">
        <f>AVERAGEIFS(Q_Price,Q_Year,A12)</f>
        <v/>
      </c>
      <c r="C12" s="25">
        <f>AVERAGEIFS(Q_Real,Q_Year,A12)</f>
        <v/>
      </c>
      <c r="D12" s="32">
        <f>INDEX(CPI!$B:$B,MATCH(A12,CPI!$A:$A,0))</f>
        <v/>
      </c>
      <c r="E12" s="30">
        <f>B12/B11-1</f>
        <v/>
      </c>
      <c r="F12" s="30">
        <f>C12/C11-1</f>
        <v/>
      </c>
      <c r="G12" s="33">
        <f>C12/$C$5</f>
        <v/>
      </c>
    </row>
    <row r="13">
      <c r="A13" s="18" t="n">
        <v>1968</v>
      </c>
      <c r="B13" s="25">
        <f>AVERAGEIFS(Q_Price,Q_Year,A13)</f>
        <v/>
      </c>
      <c r="C13" s="25">
        <f>AVERAGEIFS(Q_Real,Q_Year,A13)</f>
        <v/>
      </c>
      <c r="D13" s="32">
        <f>INDEX(CPI!$B:$B,MATCH(A13,CPI!$A:$A,0))</f>
        <v/>
      </c>
      <c r="E13" s="30">
        <f>B13/B12-1</f>
        <v/>
      </c>
      <c r="F13" s="30">
        <f>C13/C12-1</f>
        <v/>
      </c>
      <c r="G13" s="33">
        <f>C13/$C$5</f>
        <v/>
      </c>
    </row>
    <row r="14">
      <c r="A14" s="18" t="n">
        <v>1969</v>
      </c>
      <c r="B14" s="25">
        <f>AVERAGEIFS(Q_Price,Q_Year,A14)</f>
        <v/>
      </c>
      <c r="C14" s="25">
        <f>AVERAGEIFS(Q_Real,Q_Year,A14)</f>
        <v/>
      </c>
      <c r="D14" s="32">
        <f>INDEX(CPI!$B:$B,MATCH(A14,CPI!$A:$A,0))</f>
        <v/>
      </c>
      <c r="E14" s="30">
        <f>B14/B13-1</f>
        <v/>
      </c>
      <c r="F14" s="30">
        <f>C14/C13-1</f>
        <v/>
      </c>
      <c r="G14" s="33">
        <f>C14/$C$5</f>
        <v/>
      </c>
    </row>
    <row r="15">
      <c r="A15" s="18" t="n">
        <v>1970</v>
      </c>
      <c r="B15" s="25">
        <f>AVERAGEIFS(Q_Price,Q_Year,A15)</f>
        <v/>
      </c>
      <c r="C15" s="25">
        <f>AVERAGEIFS(Q_Real,Q_Year,A15)</f>
        <v/>
      </c>
      <c r="D15" s="32">
        <f>INDEX(CPI!$B:$B,MATCH(A15,CPI!$A:$A,0))</f>
        <v/>
      </c>
      <c r="E15" s="30">
        <f>B15/B14-1</f>
        <v/>
      </c>
      <c r="F15" s="30">
        <f>C15/C14-1</f>
        <v/>
      </c>
      <c r="G15" s="33">
        <f>C15/$C$5</f>
        <v/>
      </c>
    </row>
    <row r="16">
      <c r="A16" s="18" t="n">
        <v>1971</v>
      </c>
      <c r="B16" s="25">
        <f>AVERAGEIFS(Q_Price,Q_Year,A16)</f>
        <v/>
      </c>
      <c r="C16" s="25">
        <f>AVERAGEIFS(Q_Real,Q_Year,A16)</f>
        <v/>
      </c>
      <c r="D16" s="32">
        <f>INDEX(CPI!$B:$B,MATCH(A16,CPI!$A:$A,0))</f>
        <v/>
      </c>
      <c r="E16" s="30">
        <f>B16/B15-1</f>
        <v/>
      </c>
      <c r="F16" s="30">
        <f>C16/C15-1</f>
        <v/>
      </c>
      <c r="G16" s="33">
        <f>C16/$C$5</f>
        <v/>
      </c>
    </row>
    <row r="17">
      <c r="A17" s="18" t="n">
        <v>1972</v>
      </c>
      <c r="B17" s="25">
        <f>AVERAGEIFS(Q_Price,Q_Year,A17)</f>
        <v/>
      </c>
      <c r="C17" s="25">
        <f>AVERAGEIFS(Q_Real,Q_Year,A17)</f>
        <v/>
      </c>
      <c r="D17" s="32">
        <f>INDEX(CPI!$B:$B,MATCH(A17,CPI!$A:$A,0))</f>
        <v/>
      </c>
      <c r="E17" s="30">
        <f>B17/B16-1</f>
        <v/>
      </c>
      <c r="F17" s="30">
        <f>C17/C16-1</f>
        <v/>
      </c>
      <c r="G17" s="33">
        <f>C17/$C$5</f>
        <v/>
      </c>
    </row>
    <row r="18">
      <c r="A18" s="18" t="n">
        <v>1973</v>
      </c>
      <c r="B18" s="25">
        <f>AVERAGEIFS(Q_Price,Q_Year,A18)</f>
        <v/>
      </c>
      <c r="C18" s="25">
        <f>AVERAGEIFS(Q_Real,Q_Year,A18)</f>
        <v/>
      </c>
      <c r="D18" s="32">
        <f>INDEX(CPI!$B:$B,MATCH(A18,CPI!$A:$A,0))</f>
        <v/>
      </c>
      <c r="E18" s="30">
        <f>B18/B17-1</f>
        <v/>
      </c>
      <c r="F18" s="30">
        <f>C18/C17-1</f>
        <v/>
      </c>
      <c r="G18" s="33">
        <f>C18/$C$5</f>
        <v/>
      </c>
    </row>
    <row r="19">
      <c r="A19" s="18" t="n">
        <v>1974</v>
      </c>
      <c r="B19" s="25">
        <f>AVERAGEIFS(Q_Price,Q_Year,A19)</f>
        <v/>
      </c>
      <c r="C19" s="25">
        <f>AVERAGEIFS(Q_Real,Q_Year,A19)</f>
        <v/>
      </c>
      <c r="D19" s="32">
        <f>INDEX(CPI!$B:$B,MATCH(A19,CPI!$A:$A,0))</f>
        <v/>
      </c>
      <c r="E19" s="30">
        <f>B19/B18-1</f>
        <v/>
      </c>
      <c r="F19" s="30">
        <f>C19/C18-1</f>
        <v/>
      </c>
      <c r="G19" s="33">
        <f>C19/$C$5</f>
        <v/>
      </c>
    </row>
    <row r="20">
      <c r="A20" s="18" t="n">
        <v>1975</v>
      </c>
      <c r="B20" s="25">
        <f>AVERAGEIFS(Q_Price,Q_Year,A20)</f>
        <v/>
      </c>
      <c r="C20" s="25">
        <f>AVERAGEIFS(Q_Real,Q_Year,A20)</f>
        <v/>
      </c>
      <c r="D20" s="32">
        <f>INDEX(CPI!$B:$B,MATCH(A20,CPI!$A:$A,0))</f>
        <v/>
      </c>
      <c r="E20" s="30">
        <f>B20/B19-1</f>
        <v/>
      </c>
      <c r="F20" s="30">
        <f>C20/C19-1</f>
        <v/>
      </c>
      <c r="G20" s="33">
        <f>C20/$C$5</f>
        <v/>
      </c>
    </row>
    <row r="21">
      <c r="A21" s="18" t="n">
        <v>1976</v>
      </c>
      <c r="B21" s="25">
        <f>AVERAGEIFS(Q_Price,Q_Year,A21)</f>
        <v/>
      </c>
      <c r="C21" s="25">
        <f>AVERAGEIFS(Q_Real,Q_Year,A21)</f>
        <v/>
      </c>
      <c r="D21" s="32">
        <f>INDEX(CPI!$B:$B,MATCH(A21,CPI!$A:$A,0))</f>
        <v/>
      </c>
      <c r="E21" s="30">
        <f>B21/B20-1</f>
        <v/>
      </c>
      <c r="F21" s="30">
        <f>C21/C20-1</f>
        <v/>
      </c>
      <c r="G21" s="33">
        <f>C21/$C$5</f>
        <v/>
      </c>
    </row>
    <row r="22">
      <c r="A22" s="18" t="n">
        <v>1977</v>
      </c>
      <c r="B22" s="25">
        <f>AVERAGEIFS(Q_Price,Q_Year,A22)</f>
        <v/>
      </c>
      <c r="C22" s="25">
        <f>AVERAGEIFS(Q_Real,Q_Year,A22)</f>
        <v/>
      </c>
      <c r="D22" s="32">
        <f>INDEX(CPI!$B:$B,MATCH(A22,CPI!$A:$A,0))</f>
        <v/>
      </c>
      <c r="E22" s="30">
        <f>B22/B21-1</f>
        <v/>
      </c>
      <c r="F22" s="30">
        <f>C22/C21-1</f>
        <v/>
      </c>
      <c r="G22" s="33">
        <f>C22/$C$5</f>
        <v/>
      </c>
    </row>
    <row r="23">
      <c r="A23" s="18" t="n">
        <v>1978</v>
      </c>
      <c r="B23" s="25">
        <f>AVERAGEIFS(Q_Price,Q_Year,A23)</f>
        <v/>
      </c>
      <c r="C23" s="25">
        <f>AVERAGEIFS(Q_Real,Q_Year,A23)</f>
        <v/>
      </c>
      <c r="D23" s="32">
        <f>INDEX(CPI!$B:$B,MATCH(A23,CPI!$A:$A,0))</f>
        <v/>
      </c>
      <c r="E23" s="30">
        <f>B23/B22-1</f>
        <v/>
      </c>
      <c r="F23" s="30">
        <f>C23/C22-1</f>
        <v/>
      </c>
      <c r="G23" s="33">
        <f>C23/$C$5</f>
        <v/>
      </c>
    </row>
    <row r="24">
      <c r="A24" s="18" t="n">
        <v>1979</v>
      </c>
      <c r="B24" s="25">
        <f>AVERAGEIFS(Q_Price,Q_Year,A24)</f>
        <v/>
      </c>
      <c r="C24" s="25">
        <f>AVERAGEIFS(Q_Real,Q_Year,A24)</f>
        <v/>
      </c>
      <c r="D24" s="32">
        <f>INDEX(CPI!$B:$B,MATCH(A24,CPI!$A:$A,0))</f>
        <v/>
      </c>
      <c r="E24" s="30">
        <f>B24/B23-1</f>
        <v/>
      </c>
      <c r="F24" s="30">
        <f>C24/C23-1</f>
        <v/>
      </c>
      <c r="G24" s="33">
        <f>C24/$C$5</f>
        <v/>
      </c>
    </row>
    <row r="25">
      <c r="A25" s="18" t="n">
        <v>1980</v>
      </c>
      <c r="B25" s="25">
        <f>AVERAGEIFS(Q_Price,Q_Year,A25)</f>
        <v/>
      </c>
      <c r="C25" s="25">
        <f>AVERAGEIFS(Q_Real,Q_Year,A25)</f>
        <v/>
      </c>
      <c r="D25" s="32">
        <f>INDEX(CPI!$B:$B,MATCH(A25,CPI!$A:$A,0))</f>
        <v/>
      </c>
      <c r="E25" s="30">
        <f>B25/B24-1</f>
        <v/>
      </c>
      <c r="F25" s="30">
        <f>C25/C24-1</f>
        <v/>
      </c>
      <c r="G25" s="33">
        <f>C25/$C$5</f>
        <v/>
      </c>
    </row>
    <row r="26">
      <c r="A26" s="18" t="n">
        <v>1981</v>
      </c>
      <c r="B26" s="25">
        <f>AVERAGEIFS(Q_Price,Q_Year,A26)</f>
        <v/>
      </c>
      <c r="C26" s="25">
        <f>AVERAGEIFS(Q_Real,Q_Year,A26)</f>
        <v/>
      </c>
      <c r="D26" s="32">
        <f>INDEX(CPI!$B:$B,MATCH(A26,CPI!$A:$A,0))</f>
        <v/>
      </c>
      <c r="E26" s="30">
        <f>B26/B25-1</f>
        <v/>
      </c>
      <c r="F26" s="30">
        <f>C26/C25-1</f>
        <v/>
      </c>
      <c r="G26" s="33">
        <f>C26/$C$5</f>
        <v/>
      </c>
    </row>
    <row r="27">
      <c r="A27" s="18" t="n">
        <v>1982</v>
      </c>
      <c r="B27" s="25">
        <f>AVERAGEIFS(Q_Price,Q_Year,A27)</f>
        <v/>
      </c>
      <c r="C27" s="25">
        <f>AVERAGEIFS(Q_Real,Q_Year,A27)</f>
        <v/>
      </c>
      <c r="D27" s="32">
        <f>INDEX(CPI!$B:$B,MATCH(A27,CPI!$A:$A,0))</f>
        <v/>
      </c>
      <c r="E27" s="30">
        <f>B27/B26-1</f>
        <v/>
      </c>
      <c r="F27" s="30">
        <f>C27/C26-1</f>
        <v/>
      </c>
      <c r="G27" s="33">
        <f>C27/$C$5</f>
        <v/>
      </c>
    </row>
    <row r="28">
      <c r="A28" s="18" t="n">
        <v>1983</v>
      </c>
      <c r="B28" s="25">
        <f>AVERAGEIFS(Q_Price,Q_Year,A28)</f>
        <v/>
      </c>
      <c r="C28" s="25">
        <f>AVERAGEIFS(Q_Real,Q_Year,A28)</f>
        <v/>
      </c>
      <c r="D28" s="32">
        <f>INDEX(CPI!$B:$B,MATCH(A28,CPI!$A:$A,0))</f>
        <v/>
      </c>
      <c r="E28" s="30">
        <f>B28/B27-1</f>
        <v/>
      </c>
      <c r="F28" s="30">
        <f>C28/C27-1</f>
        <v/>
      </c>
      <c r="G28" s="33">
        <f>C28/$C$5</f>
        <v/>
      </c>
    </row>
    <row r="29">
      <c r="A29" s="18" t="n">
        <v>1984</v>
      </c>
      <c r="B29" s="25">
        <f>AVERAGEIFS(Q_Price,Q_Year,A29)</f>
        <v/>
      </c>
      <c r="C29" s="25">
        <f>AVERAGEIFS(Q_Real,Q_Year,A29)</f>
        <v/>
      </c>
      <c r="D29" s="32">
        <f>INDEX(CPI!$B:$B,MATCH(A29,CPI!$A:$A,0))</f>
        <v/>
      </c>
      <c r="E29" s="30">
        <f>B29/B28-1</f>
        <v/>
      </c>
      <c r="F29" s="30">
        <f>C29/C28-1</f>
        <v/>
      </c>
      <c r="G29" s="33">
        <f>C29/$C$5</f>
        <v/>
      </c>
    </row>
    <row r="30">
      <c r="A30" s="18" t="n">
        <v>1985</v>
      </c>
      <c r="B30" s="25">
        <f>AVERAGEIFS(Q_Price,Q_Year,A30)</f>
        <v/>
      </c>
      <c r="C30" s="25">
        <f>AVERAGEIFS(Q_Real,Q_Year,A30)</f>
        <v/>
      </c>
      <c r="D30" s="32">
        <f>INDEX(CPI!$B:$B,MATCH(A30,CPI!$A:$A,0))</f>
        <v/>
      </c>
      <c r="E30" s="30">
        <f>B30/B29-1</f>
        <v/>
      </c>
      <c r="F30" s="30">
        <f>C30/C29-1</f>
        <v/>
      </c>
      <c r="G30" s="33">
        <f>C30/$C$5</f>
        <v/>
      </c>
    </row>
    <row r="31">
      <c r="A31" s="18" t="n">
        <v>1986</v>
      </c>
      <c r="B31" s="25">
        <f>AVERAGEIFS(Q_Price,Q_Year,A31)</f>
        <v/>
      </c>
      <c r="C31" s="25">
        <f>AVERAGEIFS(Q_Real,Q_Year,A31)</f>
        <v/>
      </c>
      <c r="D31" s="32">
        <f>INDEX(CPI!$B:$B,MATCH(A31,CPI!$A:$A,0))</f>
        <v/>
      </c>
      <c r="E31" s="30">
        <f>B31/B30-1</f>
        <v/>
      </c>
      <c r="F31" s="30">
        <f>C31/C30-1</f>
        <v/>
      </c>
      <c r="G31" s="33">
        <f>C31/$C$5</f>
        <v/>
      </c>
    </row>
    <row r="32">
      <c r="A32" s="18" t="n">
        <v>1987</v>
      </c>
      <c r="B32" s="25">
        <f>AVERAGEIFS(Q_Price,Q_Year,A32)</f>
        <v/>
      </c>
      <c r="C32" s="25">
        <f>AVERAGEIFS(Q_Real,Q_Year,A32)</f>
        <v/>
      </c>
      <c r="D32" s="32">
        <f>INDEX(CPI!$B:$B,MATCH(A32,CPI!$A:$A,0))</f>
        <v/>
      </c>
      <c r="E32" s="30">
        <f>B32/B31-1</f>
        <v/>
      </c>
      <c r="F32" s="30">
        <f>C32/C31-1</f>
        <v/>
      </c>
      <c r="G32" s="33">
        <f>C32/$C$5</f>
        <v/>
      </c>
    </row>
    <row r="33">
      <c r="A33" s="18" t="n">
        <v>1988</v>
      </c>
      <c r="B33" s="25">
        <f>AVERAGEIFS(Q_Price,Q_Year,A33)</f>
        <v/>
      </c>
      <c r="C33" s="25">
        <f>AVERAGEIFS(Q_Real,Q_Year,A33)</f>
        <v/>
      </c>
      <c r="D33" s="32">
        <f>INDEX(CPI!$B:$B,MATCH(A33,CPI!$A:$A,0))</f>
        <v/>
      </c>
      <c r="E33" s="30">
        <f>B33/B32-1</f>
        <v/>
      </c>
      <c r="F33" s="30">
        <f>C33/C32-1</f>
        <v/>
      </c>
      <c r="G33" s="33">
        <f>C33/$C$5</f>
        <v/>
      </c>
    </row>
    <row r="34">
      <c r="A34" s="18" t="n">
        <v>1989</v>
      </c>
      <c r="B34" s="25">
        <f>AVERAGEIFS(Q_Price,Q_Year,A34)</f>
        <v/>
      </c>
      <c r="C34" s="25">
        <f>AVERAGEIFS(Q_Real,Q_Year,A34)</f>
        <v/>
      </c>
      <c r="D34" s="32">
        <f>INDEX(CPI!$B:$B,MATCH(A34,CPI!$A:$A,0))</f>
        <v/>
      </c>
      <c r="E34" s="30">
        <f>B34/B33-1</f>
        <v/>
      </c>
      <c r="F34" s="30">
        <f>C34/C33-1</f>
        <v/>
      </c>
      <c r="G34" s="33">
        <f>C34/$C$5</f>
        <v/>
      </c>
    </row>
    <row r="35">
      <c r="A35" s="18" t="n">
        <v>1990</v>
      </c>
      <c r="B35" s="25">
        <f>AVERAGEIFS(Q_Price,Q_Year,A35)</f>
        <v/>
      </c>
      <c r="C35" s="25">
        <f>AVERAGEIFS(Q_Real,Q_Year,A35)</f>
        <v/>
      </c>
      <c r="D35" s="32">
        <f>INDEX(CPI!$B:$B,MATCH(A35,CPI!$A:$A,0))</f>
        <v/>
      </c>
      <c r="E35" s="30">
        <f>B35/B34-1</f>
        <v/>
      </c>
      <c r="F35" s="30">
        <f>C35/C34-1</f>
        <v/>
      </c>
      <c r="G35" s="33">
        <f>C35/$C$5</f>
        <v/>
      </c>
    </row>
    <row r="36">
      <c r="A36" s="18" t="n">
        <v>1991</v>
      </c>
      <c r="B36" s="25">
        <f>AVERAGEIFS(Q_Price,Q_Year,A36)</f>
        <v/>
      </c>
      <c r="C36" s="25">
        <f>AVERAGEIFS(Q_Real,Q_Year,A36)</f>
        <v/>
      </c>
      <c r="D36" s="32">
        <f>INDEX(CPI!$B:$B,MATCH(A36,CPI!$A:$A,0))</f>
        <v/>
      </c>
      <c r="E36" s="30">
        <f>B36/B35-1</f>
        <v/>
      </c>
      <c r="F36" s="30">
        <f>C36/C35-1</f>
        <v/>
      </c>
      <c r="G36" s="33">
        <f>C36/$C$5</f>
        <v/>
      </c>
    </row>
    <row r="37">
      <c r="A37" s="18" t="n">
        <v>1992</v>
      </c>
      <c r="B37" s="25">
        <f>AVERAGEIFS(Q_Price,Q_Year,A37)</f>
        <v/>
      </c>
      <c r="C37" s="25">
        <f>AVERAGEIFS(Q_Real,Q_Year,A37)</f>
        <v/>
      </c>
      <c r="D37" s="32">
        <f>INDEX(CPI!$B:$B,MATCH(A37,CPI!$A:$A,0))</f>
        <v/>
      </c>
      <c r="E37" s="30">
        <f>B37/B36-1</f>
        <v/>
      </c>
      <c r="F37" s="30">
        <f>C37/C36-1</f>
        <v/>
      </c>
      <c r="G37" s="33">
        <f>C37/$C$5</f>
        <v/>
      </c>
    </row>
    <row r="38">
      <c r="A38" s="18" t="n">
        <v>1993</v>
      </c>
      <c r="B38" s="25">
        <f>AVERAGEIFS(Q_Price,Q_Year,A38)</f>
        <v/>
      </c>
      <c r="C38" s="25">
        <f>AVERAGEIFS(Q_Real,Q_Year,A38)</f>
        <v/>
      </c>
      <c r="D38" s="32">
        <f>INDEX(CPI!$B:$B,MATCH(A38,CPI!$A:$A,0))</f>
        <v/>
      </c>
      <c r="E38" s="30">
        <f>B38/B37-1</f>
        <v/>
      </c>
      <c r="F38" s="30">
        <f>C38/C37-1</f>
        <v/>
      </c>
      <c r="G38" s="33">
        <f>C38/$C$5</f>
        <v/>
      </c>
    </row>
    <row r="39">
      <c r="A39" s="18" t="n">
        <v>1994</v>
      </c>
      <c r="B39" s="25">
        <f>AVERAGEIFS(Q_Price,Q_Year,A39)</f>
        <v/>
      </c>
      <c r="C39" s="25">
        <f>AVERAGEIFS(Q_Real,Q_Year,A39)</f>
        <v/>
      </c>
      <c r="D39" s="32">
        <f>INDEX(CPI!$B:$B,MATCH(A39,CPI!$A:$A,0))</f>
        <v/>
      </c>
      <c r="E39" s="30">
        <f>B39/B38-1</f>
        <v/>
      </c>
      <c r="F39" s="30">
        <f>C39/C38-1</f>
        <v/>
      </c>
      <c r="G39" s="33">
        <f>C39/$C$5</f>
        <v/>
      </c>
    </row>
    <row r="40">
      <c r="A40" s="18" t="n">
        <v>1995</v>
      </c>
      <c r="B40" s="25">
        <f>AVERAGEIFS(Q_Price,Q_Year,A40)</f>
        <v/>
      </c>
      <c r="C40" s="25">
        <f>AVERAGEIFS(Q_Real,Q_Year,A40)</f>
        <v/>
      </c>
      <c r="D40" s="32">
        <f>INDEX(CPI!$B:$B,MATCH(A40,CPI!$A:$A,0))</f>
        <v/>
      </c>
      <c r="E40" s="30">
        <f>B40/B39-1</f>
        <v/>
      </c>
      <c r="F40" s="30">
        <f>C40/C39-1</f>
        <v/>
      </c>
      <c r="G40" s="33">
        <f>C40/$C$5</f>
        <v/>
      </c>
    </row>
    <row r="41">
      <c r="A41" s="18" t="n">
        <v>1996</v>
      </c>
      <c r="B41" s="25">
        <f>AVERAGEIFS(Q_Price,Q_Year,A41)</f>
        <v/>
      </c>
      <c r="C41" s="25">
        <f>AVERAGEIFS(Q_Real,Q_Year,A41)</f>
        <v/>
      </c>
      <c r="D41" s="32">
        <f>INDEX(CPI!$B:$B,MATCH(A41,CPI!$A:$A,0))</f>
        <v/>
      </c>
      <c r="E41" s="30">
        <f>B41/B40-1</f>
        <v/>
      </c>
      <c r="F41" s="30">
        <f>C41/C40-1</f>
        <v/>
      </c>
      <c r="G41" s="33">
        <f>C41/$C$5</f>
        <v/>
      </c>
    </row>
    <row r="42">
      <c r="A42" s="18" t="n">
        <v>1997</v>
      </c>
      <c r="B42" s="25">
        <f>AVERAGEIFS(Q_Price,Q_Year,A42)</f>
        <v/>
      </c>
      <c r="C42" s="25">
        <f>AVERAGEIFS(Q_Real,Q_Year,A42)</f>
        <v/>
      </c>
      <c r="D42" s="32">
        <f>INDEX(CPI!$B:$B,MATCH(A42,CPI!$A:$A,0))</f>
        <v/>
      </c>
      <c r="E42" s="30">
        <f>B42/B41-1</f>
        <v/>
      </c>
      <c r="F42" s="30">
        <f>C42/C41-1</f>
        <v/>
      </c>
      <c r="G42" s="33">
        <f>C42/$C$5</f>
        <v/>
      </c>
    </row>
    <row r="43">
      <c r="A43" s="18" t="n">
        <v>1998</v>
      </c>
      <c r="B43" s="25">
        <f>AVERAGEIFS(Q_Price,Q_Year,A43)</f>
        <v/>
      </c>
      <c r="C43" s="25">
        <f>AVERAGEIFS(Q_Real,Q_Year,A43)</f>
        <v/>
      </c>
      <c r="D43" s="32">
        <f>INDEX(CPI!$B:$B,MATCH(A43,CPI!$A:$A,0))</f>
        <v/>
      </c>
      <c r="E43" s="30">
        <f>B43/B42-1</f>
        <v/>
      </c>
      <c r="F43" s="30">
        <f>C43/C42-1</f>
        <v/>
      </c>
      <c r="G43" s="33">
        <f>C43/$C$5</f>
        <v/>
      </c>
    </row>
    <row r="44">
      <c r="A44" s="18" t="n">
        <v>1999</v>
      </c>
      <c r="B44" s="25">
        <f>AVERAGEIFS(Q_Price,Q_Year,A44)</f>
        <v/>
      </c>
      <c r="C44" s="25">
        <f>AVERAGEIFS(Q_Real,Q_Year,A44)</f>
        <v/>
      </c>
      <c r="D44" s="32">
        <f>INDEX(CPI!$B:$B,MATCH(A44,CPI!$A:$A,0))</f>
        <v/>
      </c>
      <c r="E44" s="30">
        <f>B44/B43-1</f>
        <v/>
      </c>
      <c r="F44" s="30">
        <f>C44/C43-1</f>
        <v/>
      </c>
      <c r="G44" s="33">
        <f>C44/$C$5</f>
        <v/>
      </c>
    </row>
    <row r="45">
      <c r="A45" s="18" t="n">
        <v>2000</v>
      </c>
      <c r="B45" s="25">
        <f>AVERAGEIFS(Q_Price,Q_Year,A45)</f>
        <v/>
      </c>
      <c r="C45" s="25">
        <f>AVERAGEIFS(Q_Real,Q_Year,A45)</f>
        <v/>
      </c>
      <c r="D45" s="32">
        <f>INDEX(CPI!$B:$B,MATCH(A45,CPI!$A:$A,0))</f>
        <v/>
      </c>
      <c r="E45" s="30">
        <f>B45/B44-1</f>
        <v/>
      </c>
      <c r="F45" s="30">
        <f>C45/C44-1</f>
        <v/>
      </c>
      <c r="G45" s="33">
        <f>C45/$C$5</f>
        <v/>
      </c>
    </row>
    <row r="46">
      <c r="A46" s="18" t="n">
        <v>2001</v>
      </c>
      <c r="B46" s="25">
        <f>AVERAGEIFS(Q_Price,Q_Year,A46)</f>
        <v/>
      </c>
      <c r="C46" s="25">
        <f>AVERAGEIFS(Q_Real,Q_Year,A46)</f>
        <v/>
      </c>
      <c r="D46" s="32">
        <f>INDEX(CPI!$B:$B,MATCH(A46,CPI!$A:$A,0))</f>
        <v/>
      </c>
      <c r="E46" s="30">
        <f>B46/B45-1</f>
        <v/>
      </c>
      <c r="F46" s="30">
        <f>C46/C45-1</f>
        <v/>
      </c>
      <c r="G46" s="33">
        <f>C46/$C$5</f>
        <v/>
      </c>
    </row>
    <row r="47">
      <c r="A47" s="18" t="n">
        <v>2002</v>
      </c>
      <c r="B47" s="25">
        <f>AVERAGEIFS(Q_Price,Q_Year,A47)</f>
        <v/>
      </c>
      <c r="C47" s="25">
        <f>AVERAGEIFS(Q_Real,Q_Year,A47)</f>
        <v/>
      </c>
      <c r="D47" s="32">
        <f>INDEX(CPI!$B:$B,MATCH(A47,CPI!$A:$A,0))</f>
        <v/>
      </c>
      <c r="E47" s="30">
        <f>B47/B46-1</f>
        <v/>
      </c>
      <c r="F47" s="30">
        <f>C47/C46-1</f>
        <v/>
      </c>
      <c r="G47" s="33">
        <f>C47/$C$5</f>
        <v/>
      </c>
    </row>
    <row r="48">
      <c r="A48" s="18" t="n">
        <v>2003</v>
      </c>
      <c r="B48" s="25">
        <f>AVERAGEIFS(Q_Price,Q_Year,A48)</f>
        <v/>
      </c>
      <c r="C48" s="25">
        <f>AVERAGEIFS(Q_Real,Q_Year,A48)</f>
        <v/>
      </c>
      <c r="D48" s="32">
        <f>INDEX(CPI!$B:$B,MATCH(A48,CPI!$A:$A,0))</f>
        <v/>
      </c>
      <c r="E48" s="30">
        <f>B48/B47-1</f>
        <v/>
      </c>
      <c r="F48" s="30">
        <f>C48/C47-1</f>
        <v/>
      </c>
      <c r="G48" s="33">
        <f>C48/$C$5</f>
        <v/>
      </c>
    </row>
    <row r="49">
      <c r="A49" s="18" t="n">
        <v>2004</v>
      </c>
      <c r="B49" s="25">
        <f>AVERAGEIFS(Q_Price,Q_Year,A49)</f>
        <v/>
      </c>
      <c r="C49" s="25">
        <f>AVERAGEIFS(Q_Real,Q_Year,A49)</f>
        <v/>
      </c>
      <c r="D49" s="32">
        <f>INDEX(CPI!$B:$B,MATCH(A49,CPI!$A:$A,0))</f>
        <v/>
      </c>
      <c r="E49" s="30">
        <f>B49/B48-1</f>
        <v/>
      </c>
      <c r="F49" s="30">
        <f>C49/C48-1</f>
        <v/>
      </c>
      <c r="G49" s="33">
        <f>C49/$C$5</f>
        <v/>
      </c>
    </row>
    <row r="50">
      <c r="A50" s="18" t="n">
        <v>2005</v>
      </c>
      <c r="B50" s="25">
        <f>AVERAGEIFS(Q_Price,Q_Year,A50)</f>
        <v/>
      </c>
      <c r="C50" s="25">
        <f>AVERAGEIFS(Q_Real,Q_Year,A50)</f>
        <v/>
      </c>
      <c r="D50" s="32">
        <f>INDEX(CPI!$B:$B,MATCH(A50,CPI!$A:$A,0))</f>
        <v/>
      </c>
      <c r="E50" s="30">
        <f>B50/B49-1</f>
        <v/>
      </c>
      <c r="F50" s="30">
        <f>C50/C49-1</f>
        <v/>
      </c>
      <c r="G50" s="33">
        <f>C50/$C$5</f>
        <v/>
      </c>
    </row>
    <row r="51">
      <c r="A51" s="18" t="n">
        <v>2006</v>
      </c>
      <c r="B51" s="25">
        <f>AVERAGEIFS(Q_Price,Q_Year,A51)</f>
        <v/>
      </c>
      <c r="C51" s="25">
        <f>AVERAGEIFS(Q_Real,Q_Year,A51)</f>
        <v/>
      </c>
      <c r="D51" s="32">
        <f>INDEX(CPI!$B:$B,MATCH(A51,CPI!$A:$A,0))</f>
        <v/>
      </c>
      <c r="E51" s="30">
        <f>B51/B50-1</f>
        <v/>
      </c>
      <c r="F51" s="30">
        <f>C51/C50-1</f>
        <v/>
      </c>
      <c r="G51" s="33">
        <f>C51/$C$5</f>
        <v/>
      </c>
    </row>
    <row r="52">
      <c r="A52" s="18" t="n">
        <v>2007</v>
      </c>
      <c r="B52" s="25">
        <f>AVERAGEIFS(Q_Price,Q_Year,A52)</f>
        <v/>
      </c>
      <c r="C52" s="25">
        <f>AVERAGEIFS(Q_Real,Q_Year,A52)</f>
        <v/>
      </c>
      <c r="D52" s="32">
        <f>INDEX(CPI!$B:$B,MATCH(A52,CPI!$A:$A,0))</f>
        <v/>
      </c>
      <c r="E52" s="30">
        <f>B52/B51-1</f>
        <v/>
      </c>
      <c r="F52" s="30">
        <f>C52/C51-1</f>
        <v/>
      </c>
      <c r="G52" s="33">
        <f>C52/$C$5</f>
        <v/>
      </c>
    </row>
    <row r="53">
      <c r="A53" s="18" t="n">
        <v>2008</v>
      </c>
      <c r="B53" s="25">
        <f>AVERAGEIFS(Q_Price,Q_Year,A53)</f>
        <v/>
      </c>
      <c r="C53" s="25">
        <f>AVERAGEIFS(Q_Real,Q_Year,A53)</f>
        <v/>
      </c>
      <c r="D53" s="32">
        <f>INDEX(CPI!$B:$B,MATCH(A53,CPI!$A:$A,0))</f>
        <v/>
      </c>
      <c r="E53" s="30">
        <f>B53/B52-1</f>
        <v/>
      </c>
      <c r="F53" s="30">
        <f>C53/C52-1</f>
        <v/>
      </c>
      <c r="G53" s="33">
        <f>C53/$C$5</f>
        <v/>
      </c>
    </row>
    <row r="54">
      <c r="A54" s="18" t="n">
        <v>2009</v>
      </c>
      <c r="B54" s="25">
        <f>AVERAGEIFS(Q_Price,Q_Year,A54)</f>
        <v/>
      </c>
      <c r="C54" s="25">
        <f>AVERAGEIFS(Q_Real,Q_Year,A54)</f>
        <v/>
      </c>
      <c r="D54" s="32">
        <f>INDEX(CPI!$B:$B,MATCH(A54,CPI!$A:$A,0))</f>
        <v/>
      </c>
      <c r="E54" s="30">
        <f>B54/B53-1</f>
        <v/>
      </c>
      <c r="F54" s="30">
        <f>C54/C53-1</f>
        <v/>
      </c>
      <c r="G54" s="33">
        <f>C54/$C$5</f>
        <v/>
      </c>
    </row>
    <row r="55">
      <c r="A55" s="18" t="n">
        <v>2010</v>
      </c>
      <c r="B55" s="25">
        <f>AVERAGEIFS(Q_Price,Q_Year,A55)</f>
        <v/>
      </c>
      <c r="C55" s="25">
        <f>AVERAGEIFS(Q_Real,Q_Year,A55)</f>
        <v/>
      </c>
      <c r="D55" s="32">
        <f>INDEX(CPI!$B:$B,MATCH(A55,CPI!$A:$A,0))</f>
        <v/>
      </c>
      <c r="E55" s="30">
        <f>B55/B54-1</f>
        <v/>
      </c>
      <c r="F55" s="30">
        <f>C55/C54-1</f>
        <v/>
      </c>
      <c r="G55" s="33">
        <f>C55/$C$5</f>
        <v/>
      </c>
    </row>
    <row r="56">
      <c r="A56" s="18" t="n">
        <v>2011</v>
      </c>
      <c r="B56" s="25">
        <f>AVERAGEIFS(Q_Price,Q_Year,A56)</f>
        <v/>
      </c>
      <c r="C56" s="25">
        <f>AVERAGEIFS(Q_Real,Q_Year,A56)</f>
        <v/>
      </c>
      <c r="D56" s="32">
        <f>INDEX(CPI!$B:$B,MATCH(A56,CPI!$A:$A,0))</f>
        <v/>
      </c>
      <c r="E56" s="30">
        <f>B56/B55-1</f>
        <v/>
      </c>
      <c r="F56" s="30">
        <f>C56/C55-1</f>
        <v/>
      </c>
      <c r="G56" s="33">
        <f>C56/$C$5</f>
        <v/>
      </c>
    </row>
    <row r="57">
      <c r="A57" s="18" t="n">
        <v>2012</v>
      </c>
      <c r="B57" s="25">
        <f>AVERAGEIFS(Q_Price,Q_Year,A57)</f>
        <v/>
      </c>
      <c r="C57" s="25">
        <f>AVERAGEIFS(Q_Real,Q_Year,A57)</f>
        <v/>
      </c>
      <c r="D57" s="32">
        <f>INDEX(CPI!$B:$B,MATCH(A57,CPI!$A:$A,0))</f>
        <v/>
      </c>
      <c r="E57" s="30">
        <f>B57/B56-1</f>
        <v/>
      </c>
      <c r="F57" s="30">
        <f>C57/C56-1</f>
        <v/>
      </c>
      <c r="G57" s="33">
        <f>C57/$C$5</f>
        <v/>
      </c>
    </row>
    <row r="58">
      <c r="A58" s="18" t="n">
        <v>2013</v>
      </c>
      <c r="B58" s="25">
        <f>AVERAGEIFS(Q_Price,Q_Year,A58)</f>
        <v/>
      </c>
      <c r="C58" s="25">
        <f>AVERAGEIFS(Q_Real,Q_Year,A58)</f>
        <v/>
      </c>
      <c r="D58" s="32">
        <f>INDEX(CPI!$B:$B,MATCH(A58,CPI!$A:$A,0))</f>
        <v/>
      </c>
      <c r="E58" s="30">
        <f>B58/B57-1</f>
        <v/>
      </c>
      <c r="F58" s="30">
        <f>C58/C57-1</f>
        <v/>
      </c>
      <c r="G58" s="33">
        <f>C58/$C$5</f>
        <v/>
      </c>
    </row>
    <row r="59">
      <c r="A59" s="18" t="n">
        <v>2014</v>
      </c>
      <c r="B59" s="25">
        <f>AVERAGEIFS(Q_Price,Q_Year,A59)</f>
        <v/>
      </c>
      <c r="C59" s="25">
        <f>AVERAGEIFS(Q_Real,Q_Year,A59)</f>
        <v/>
      </c>
      <c r="D59" s="32">
        <f>INDEX(CPI!$B:$B,MATCH(A59,CPI!$A:$A,0))</f>
        <v/>
      </c>
      <c r="E59" s="30">
        <f>B59/B58-1</f>
        <v/>
      </c>
      <c r="F59" s="30">
        <f>C59/C58-1</f>
        <v/>
      </c>
      <c r="G59" s="33">
        <f>C59/$C$5</f>
        <v/>
      </c>
    </row>
    <row r="60">
      <c r="A60" s="18" t="n">
        <v>2015</v>
      </c>
      <c r="B60" s="25">
        <f>AVERAGEIFS(Q_Price,Q_Year,A60)</f>
        <v/>
      </c>
      <c r="C60" s="25">
        <f>AVERAGEIFS(Q_Real,Q_Year,A60)</f>
        <v/>
      </c>
      <c r="D60" s="32">
        <f>INDEX(CPI!$B:$B,MATCH(A60,CPI!$A:$A,0))</f>
        <v/>
      </c>
      <c r="E60" s="30">
        <f>B60/B59-1</f>
        <v/>
      </c>
      <c r="F60" s="30">
        <f>C60/C59-1</f>
        <v/>
      </c>
      <c r="G60" s="33">
        <f>C60/$C$5</f>
        <v/>
      </c>
    </row>
    <row r="61">
      <c r="A61" s="18" t="n">
        <v>2016</v>
      </c>
      <c r="B61" s="25">
        <f>AVERAGEIFS(Q_Price,Q_Year,A61)</f>
        <v/>
      </c>
      <c r="C61" s="25">
        <f>AVERAGEIFS(Q_Real,Q_Year,A61)</f>
        <v/>
      </c>
      <c r="D61" s="32">
        <f>INDEX(CPI!$B:$B,MATCH(A61,CPI!$A:$A,0))</f>
        <v/>
      </c>
      <c r="E61" s="30">
        <f>B61/B60-1</f>
        <v/>
      </c>
      <c r="F61" s="30">
        <f>C61/C60-1</f>
        <v/>
      </c>
      <c r="G61" s="33">
        <f>C61/$C$5</f>
        <v/>
      </c>
    </row>
    <row r="62">
      <c r="A62" s="18" t="n">
        <v>2017</v>
      </c>
      <c r="B62" s="25">
        <f>AVERAGEIFS(Q_Price,Q_Year,A62)</f>
        <v/>
      </c>
      <c r="C62" s="25">
        <f>AVERAGEIFS(Q_Real,Q_Year,A62)</f>
        <v/>
      </c>
      <c r="D62" s="32">
        <f>INDEX(CPI!$B:$B,MATCH(A62,CPI!$A:$A,0))</f>
        <v/>
      </c>
      <c r="E62" s="30">
        <f>B62/B61-1</f>
        <v/>
      </c>
      <c r="F62" s="30">
        <f>C62/C61-1</f>
        <v/>
      </c>
      <c r="G62" s="33">
        <f>C62/$C$5</f>
        <v/>
      </c>
    </row>
    <row r="63">
      <c r="A63" s="18" t="n">
        <v>2018</v>
      </c>
      <c r="B63" s="25">
        <f>AVERAGEIFS(Q_Price,Q_Year,A63)</f>
        <v/>
      </c>
      <c r="C63" s="25">
        <f>AVERAGEIFS(Q_Real,Q_Year,A63)</f>
        <v/>
      </c>
      <c r="D63" s="32">
        <f>INDEX(CPI!$B:$B,MATCH(A63,CPI!$A:$A,0))</f>
        <v/>
      </c>
      <c r="E63" s="30">
        <f>B63/B62-1</f>
        <v/>
      </c>
      <c r="F63" s="30">
        <f>C63/C62-1</f>
        <v/>
      </c>
      <c r="G63" s="33">
        <f>C63/$C$5</f>
        <v/>
      </c>
    </row>
    <row r="64">
      <c r="A64" s="18" t="n">
        <v>2019</v>
      </c>
      <c r="B64" s="25">
        <f>AVERAGEIFS(Q_Price,Q_Year,A64)</f>
        <v/>
      </c>
      <c r="C64" s="25">
        <f>AVERAGEIFS(Q_Real,Q_Year,A64)</f>
        <v/>
      </c>
      <c r="D64" s="32">
        <f>INDEX(CPI!$B:$B,MATCH(A64,CPI!$A:$A,0))</f>
        <v/>
      </c>
      <c r="E64" s="30">
        <f>B64/B63-1</f>
        <v/>
      </c>
      <c r="F64" s="30">
        <f>C64/C63-1</f>
        <v/>
      </c>
      <c r="G64" s="33">
        <f>C64/$C$5</f>
        <v/>
      </c>
    </row>
    <row r="65">
      <c r="A65" s="18" t="n">
        <v>2020</v>
      </c>
      <c r="B65" s="25">
        <f>AVERAGEIFS(Q_Price,Q_Year,A65)</f>
        <v/>
      </c>
      <c r="C65" s="25">
        <f>AVERAGEIFS(Q_Real,Q_Year,A65)</f>
        <v/>
      </c>
      <c r="D65" s="32">
        <f>INDEX(CPI!$B:$B,MATCH(A65,CPI!$A:$A,0))</f>
        <v/>
      </c>
      <c r="E65" s="30">
        <f>B65/B64-1</f>
        <v/>
      </c>
      <c r="F65" s="30">
        <f>C65/C64-1</f>
        <v/>
      </c>
      <c r="G65" s="33">
        <f>C65/$C$5</f>
        <v/>
      </c>
    </row>
    <row r="66">
      <c r="A66" s="18" t="n">
        <v>2021</v>
      </c>
      <c r="B66" s="25">
        <f>AVERAGEIFS(Q_Price,Q_Year,A66)</f>
        <v/>
      </c>
      <c r="C66" s="25">
        <f>AVERAGEIFS(Q_Real,Q_Year,A66)</f>
        <v/>
      </c>
      <c r="D66" s="32">
        <f>INDEX(CPI!$B:$B,MATCH(A66,CPI!$A:$A,0))</f>
        <v/>
      </c>
      <c r="E66" s="30">
        <f>B66/B65-1</f>
        <v/>
      </c>
      <c r="F66" s="30">
        <f>C66/C65-1</f>
        <v/>
      </c>
      <c r="G66" s="33">
        <f>C66/$C$5</f>
        <v/>
      </c>
    </row>
    <row r="67">
      <c r="A67" s="18" t="n">
        <v>2022</v>
      </c>
      <c r="B67" s="25">
        <f>AVERAGEIFS(Q_Price,Q_Year,A67)</f>
        <v/>
      </c>
      <c r="C67" s="25">
        <f>AVERAGEIFS(Q_Real,Q_Year,A67)</f>
        <v/>
      </c>
      <c r="D67" s="32">
        <f>INDEX(CPI!$B:$B,MATCH(A67,CPI!$A:$A,0))</f>
        <v/>
      </c>
      <c r="E67" s="30">
        <f>B67/B66-1</f>
        <v/>
      </c>
      <c r="F67" s="30">
        <f>C67/C66-1</f>
        <v/>
      </c>
      <c r="G67" s="33">
        <f>C67/$C$5</f>
        <v/>
      </c>
    </row>
    <row r="68">
      <c r="A68" s="18" t="n">
        <v>2023</v>
      </c>
      <c r="B68" s="25">
        <f>AVERAGEIFS(Q_Price,Q_Year,A68)</f>
        <v/>
      </c>
      <c r="C68" s="25">
        <f>AVERAGEIFS(Q_Real,Q_Year,A68)</f>
        <v/>
      </c>
      <c r="D68" s="32">
        <f>INDEX(CPI!$B:$B,MATCH(A68,CPI!$A:$A,0))</f>
        <v/>
      </c>
      <c r="E68" s="30">
        <f>B68/B67-1</f>
        <v/>
      </c>
      <c r="F68" s="30">
        <f>C68/C67-1</f>
        <v/>
      </c>
      <c r="G68" s="33">
        <f>C68/$C$5</f>
        <v/>
      </c>
    </row>
    <row r="69">
      <c r="A69" s="18" t="n">
        <v>2024</v>
      </c>
      <c r="B69" s="25">
        <f>AVERAGEIFS(Q_Price,Q_Year,A69)</f>
        <v/>
      </c>
      <c r="C69" s="25">
        <f>AVERAGEIFS(Q_Real,Q_Year,A69)</f>
        <v/>
      </c>
      <c r="D69" s="32">
        <f>INDEX(CPI!$B:$B,MATCH(A69,CPI!$A:$A,0))</f>
        <v/>
      </c>
      <c r="E69" s="30">
        <f>B69/B68-1</f>
        <v/>
      </c>
      <c r="F69" s="30">
        <f>C69/C68-1</f>
        <v/>
      </c>
      <c r="G69" s="33">
        <f>C69/$C$5</f>
        <v/>
      </c>
    </row>
  </sheetData>
  <conditionalFormatting sqref="F6:F69">
    <cfRule type="colorScale" priority="1">
      <colorScale>
        <cfvo type="num" val="-0.15"/>
        <cfvo type="num" val="0"/>
        <cfvo type="num" val="0.15"/>
        <color rgb="00F4B183"/>
        <color rgb="00FFFFFF"/>
        <color rgb="009FD8CF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s="31" t="inlineStr">
        <is>
          <t>Growth by decade</t>
        </is>
      </c>
    </row>
    <row r="2">
      <c r="A2" s="2" t="inlineStr">
        <is>
          <t>First year of the decade against its last year (the 2020s run to 2024). Compound annual rate = (end / start)^(1 / years) - 1.</t>
        </is>
      </c>
    </row>
    <row r="4" ht="30" customHeight="1">
      <c r="A4" s="17" t="inlineStr">
        <is>
          <t>Decade</t>
        </is>
      </c>
      <c r="B4" s="17" t="inlineStr">
        <is>
          <t>From</t>
        </is>
      </c>
      <c r="C4" s="17" t="inlineStr">
        <is>
          <t>To</t>
        </is>
      </c>
      <c r="D4" s="17" t="inlineStr">
        <is>
          <t>Cash price at start (£)</t>
        </is>
      </c>
      <c r="E4" s="17" t="inlineStr">
        <is>
          <t>Cash price at end (£)</t>
        </is>
      </c>
      <c r="F4" s="17" t="inlineStr">
        <is>
          <t>Cash growth</t>
        </is>
      </c>
      <c r="G4" s="17" t="inlineStr">
        <is>
          <t>Real growth</t>
        </is>
      </c>
      <c r="H4" s="17" t="inlineStr">
        <is>
          <t>Cash growth a year</t>
        </is>
      </c>
      <c r="I4" s="17" t="inlineStr">
        <is>
          <t>Real growth a year</t>
        </is>
      </c>
      <c r="J4" s="17" t="inlineStr">
        <is>
          <t>Average inflation a year</t>
        </is>
      </c>
    </row>
    <row r="5">
      <c r="A5" s="18" t="inlineStr">
        <is>
          <t>1960s</t>
        </is>
      </c>
      <c r="B5" s="18" t="n">
        <v>1960</v>
      </c>
      <c r="C5" s="18">
        <f>MIN(B5+9,MAX(A_Year))</f>
        <v/>
      </c>
      <c r="D5" s="25">
        <f>INDEX(A_Price,MATCH(B5,A_Year,0))</f>
        <v/>
      </c>
      <c r="E5" s="25">
        <f>INDEX(A_Price,MATCH(C5,A_Year,0))</f>
        <v/>
      </c>
      <c r="F5" s="30">
        <f>E5/D5-1</f>
        <v/>
      </c>
      <c r="G5" s="30">
        <f>INDEX(A_Real,MATCH(C5,A_Year,0))/INDEX(A_Real,MATCH(B5,A_Year,0))-1</f>
        <v/>
      </c>
      <c r="H5" s="30">
        <f>(1+F5)^(1/(C5-B5))-1</f>
        <v/>
      </c>
      <c r="I5" s="30">
        <f>(1+G5)^(1/(C5-B5))-1</f>
        <v/>
      </c>
      <c r="J5" s="30">
        <f>(INDEX(CPI!$C:$C,MATCH(C5,CPI!$A:$A,0))/INDEX(CPI!$C:$C,MATCH(B5,CPI!$A:$A,0)))^(1/(C5-B5))-1</f>
        <v/>
      </c>
    </row>
    <row r="6">
      <c r="A6" s="18" t="inlineStr">
        <is>
          <t>1970s</t>
        </is>
      </c>
      <c r="B6" s="18" t="n">
        <v>1970</v>
      </c>
      <c r="C6" s="18">
        <f>MIN(B6+9,MAX(A_Year))</f>
        <v/>
      </c>
      <c r="D6" s="25">
        <f>INDEX(A_Price,MATCH(B6,A_Year,0))</f>
        <v/>
      </c>
      <c r="E6" s="25">
        <f>INDEX(A_Price,MATCH(C6,A_Year,0))</f>
        <v/>
      </c>
      <c r="F6" s="30">
        <f>E6/D6-1</f>
        <v/>
      </c>
      <c r="G6" s="30">
        <f>INDEX(A_Real,MATCH(C6,A_Year,0))/INDEX(A_Real,MATCH(B6,A_Year,0))-1</f>
        <v/>
      </c>
      <c r="H6" s="30">
        <f>(1+F6)^(1/(C6-B6))-1</f>
        <v/>
      </c>
      <c r="I6" s="30">
        <f>(1+G6)^(1/(C6-B6))-1</f>
        <v/>
      </c>
      <c r="J6" s="30">
        <f>(INDEX(CPI!$C:$C,MATCH(C6,CPI!$A:$A,0))/INDEX(CPI!$C:$C,MATCH(B6,CPI!$A:$A,0)))^(1/(C6-B6))-1</f>
        <v/>
      </c>
    </row>
    <row r="7">
      <c r="A7" s="18" t="inlineStr">
        <is>
          <t>1980s</t>
        </is>
      </c>
      <c r="B7" s="18" t="n">
        <v>1980</v>
      </c>
      <c r="C7" s="18">
        <f>MIN(B7+9,MAX(A_Year))</f>
        <v/>
      </c>
      <c r="D7" s="25">
        <f>INDEX(A_Price,MATCH(B7,A_Year,0))</f>
        <v/>
      </c>
      <c r="E7" s="25">
        <f>INDEX(A_Price,MATCH(C7,A_Year,0))</f>
        <v/>
      </c>
      <c r="F7" s="30">
        <f>E7/D7-1</f>
        <v/>
      </c>
      <c r="G7" s="30">
        <f>INDEX(A_Real,MATCH(C7,A_Year,0))/INDEX(A_Real,MATCH(B7,A_Year,0))-1</f>
        <v/>
      </c>
      <c r="H7" s="30">
        <f>(1+F7)^(1/(C7-B7))-1</f>
        <v/>
      </c>
      <c r="I7" s="30">
        <f>(1+G7)^(1/(C7-B7))-1</f>
        <v/>
      </c>
      <c r="J7" s="30">
        <f>(INDEX(CPI!$C:$C,MATCH(C7,CPI!$A:$A,0))/INDEX(CPI!$C:$C,MATCH(B7,CPI!$A:$A,0)))^(1/(C7-B7))-1</f>
        <v/>
      </c>
    </row>
    <row r="8">
      <c r="A8" s="18" t="inlineStr">
        <is>
          <t>1990s</t>
        </is>
      </c>
      <c r="B8" s="18" t="n">
        <v>1990</v>
      </c>
      <c r="C8" s="18">
        <f>MIN(B8+9,MAX(A_Year))</f>
        <v/>
      </c>
      <c r="D8" s="25">
        <f>INDEX(A_Price,MATCH(B8,A_Year,0))</f>
        <v/>
      </c>
      <c r="E8" s="25">
        <f>INDEX(A_Price,MATCH(C8,A_Year,0))</f>
        <v/>
      </c>
      <c r="F8" s="30">
        <f>E8/D8-1</f>
        <v/>
      </c>
      <c r="G8" s="30">
        <f>INDEX(A_Real,MATCH(C8,A_Year,0))/INDEX(A_Real,MATCH(B8,A_Year,0))-1</f>
        <v/>
      </c>
      <c r="H8" s="30">
        <f>(1+F8)^(1/(C8-B8))-1</f>
        <v/>
      </c>
      <c r="I8" s="30">
        <f>(1+G8)^(1/(C8-B8))-1</f>
        <v/>
      </c>
      <c r="J8" s="30">
        <f>(INDEX(CPI!$C:$C,MATCH(C8,CPI!$A:$A,0))/INDEX(CPI!$C:$C,MATCH(B8,CPI!$A:$A,0)))^(1/(C8-B8))-1</f>
        <v/>
      </c>
    </row>
    <row r="9">
      <c r="A9" s="18" t="inlineStr">
        <is>
          <t>2000s</t>
        </is>
      </c>
      <c r="B9" s="18" t="n">
        <v>2000</v>
      </c>
      <c r="C9" s="18">
        <f>MIN(B9+9,MAX(A_Year))</f>
        <v/>
      </c>
      <c r="D9" s="25">
        <f>INDEX(A_Price,MATCH(B9,A_Year,0))</f>
        <v/>
      </c>
      <c r="E9" s="25">
        <f>INDEX(A_Price,MATCH(C9,A_Year,0))</f>
        <v/>
      </c>
      <c r="F9" s="30">
        <f>E9/D9-1</f>
        <v/>
      </c>
      <c r="G9" s="30">
        <f>INDEX(A_Real,MATCH(C9,A_Year,0))/INDEX(A_Real,MATCH(B9,A_Year,0))-1</f>
        <v/>
      </c>
      <c r="H9" s="30">
        <f>(1+F9)^(1/(C9-B9))-1</f>
        <v/>
      </c>
      <c r="I9" s="30">
        <f>(1+G9)^(1/(C9-B9))-1</f>
        <v/>
      </c>
      <c r="J9" s="30">
        <f>(INDEX(CPI!$C:$C,MATCH(C9,CPI!$A:$A,0))/INDEX(CPI!$C:$C,MATCH(B9,CPI!$A:$A,0)))^(1/(C9-B9))-1</f>
        <v/>
      </c>
    </row>
    <row r="10">
      <c r="A10" s="18" t="inlineStr">
        <is>
          <t>2010s</t>
        </is>
      </c>
      <c r="B10" s="18" t="n">
        <v>2010</v>
      </c>
      <c r="C10" s="18">
        <f>MIN(B10+9,MAX(A_Year))</f>
        <v/>
      </c>
      <c r="D10" s="25">
        <f>INDEX(A_Price,MATCH(B10,A_Year,0))</f>
        <v/>
      </c>
      <c r="E10" s="25">
        <f>INDEX(A_Price,MATCH(C10,A_Year,0))</f>
        <v/>
      </c>
      <c r="F10" s="30">
        <f>E10/D10-1</f>
        <v/>
      </c>
      <c r="G10" s="30">
        <f>INDEX(A_Real,MATCH(C10,A_Year,0))/INDEX(A_Real,MATCH(B10,A_Year,0))-1</f>
        <v/>
      </c>
      <c r="H10" s="30">
        <f>(1+F10)^(1/(C10-B10))-1</f>
        <v/>
      </c>
      <c r="I10" s="30">
        <f>(1+G10)^(1/(C10-B10))-1</f>
        <v/>
      </c>
      <c r="J10" s="30">
        <f>(INDEX(CPI!$C:$C,MATCH(C10,CPI!$A:$A,0))/INDEX(CPI!$C:$C,MATCH(B10,CPI!$A:$A,0)))^(1/(C10-B10))-1</f>
        <v/>
      </c>
    </row>
    <row r="11">
      <c r="A11" s="18" t="inlineStr">
        <is>
          <t>2020s</t>
        </is>
      </c>
      <c r="B11" s="18" t="n">
        <v>2020</v>
      </c>
      <c r="C11" s="18">
        <f>MIN(B11+9,MAX(A_Year))</f>
        <v/>
      </c>
      <c r="D11" s="25">
        <f>INDEX(A_Price,MATCH(B11,A_Year,0))</f>
        <v/>
      </c>
      <c r="E11" s="25">
        <f>INDEX(A_Price,MATCH(C11,A_Year,0))</f>
        <v/>
      </c>
      <c r="F11" s="30">
        <f>E11/D11-1</f>
        <v/>
      </c>
      <c r="G11" s="30">
        <f>INDEX(A_Real,MATCH(C11,A_Year,0))/INDEX(A_Real,MATCH(B11,A_Year,0))-1</f>
        <v/>
      </c>
      <c r="H11" s="30">
        <f>(1+F11)^(1/(C11-B11))-1</f>
        <v/>
      </c>
      <c r="I11" s="30">
        <f>(1+G11)^(1/(C11-B11))-1</f>
        <v/>
      </c>
      <c r="J11" s="30">
        <f>(INDEX(CPI!$C:$C,MATCH(C11,CPI!$A:$A,0))/INDEX(CPI!$C:$C,MATCH(B11,CPI!$A:$A,0)))^(1/(C11-B11))-1</f>
        <v/>
      </c>
    </row>
  </sheetData>
  <conditionalFormatting sqref="G5:G11">
    <cfRule type="dataBar" priority="1">
      <dataBar>
        <cfvo type="num" val="-0.5"/>
        <cfvo type="num" val="1.5"/>
        <color rgb="000F766E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4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14" customWidth="1" min="5" max="5"/>
    <col width="14" customWidth="1" min="6" max="6"/>
    <col width="12" customWidth="1" min="7" max="7"/>
    <col width="15" customWidth="1" min="8" max="8"/>
    <col width="12" customWidth="1" min="9" max="9"/>
    <col width="12" customWidth="1" min="10" max="10"/>
    <col width="13" customWidth="1" min="11" max="11"/>
    <col width="13" customWidth="1" min="12" max="12"/>
    <col width="15" customWidth="1" min="13" max="13"/>
    <col width="12" customWidth="1" min="14" max="14"/>
  </cols>
  <sheetData>
    <row r="1">
      <c r="A1" s="31" t="inlineStr">
        <is>
          <t>Nationwide quarters: cash price, real price and fall from the real peak</t>
        </is>
      </c>
    </row>
    <row r="2">
      <c r="A2" s="2" t="inlineStr">
        <is>
          <t>Real price = cash price restated in base-year pounds. Fall from peak = real price against the highest real price reached so far.</t>
        </is>
      </c>
    </row>
    <row r="4" ht="30" customHeight="1">
      <c r="A4" s="17" t="inlineStr">
        <is>
          <t>Date</t>
        </is>
      </c>
      <c r="B4" s="17" t="inlineStr">
        <is>
          <t>Year</t>
        </is>
      </c>
      <c r="C4" s="17" t="inlineStr">
        <is>
          <t>Quarter</t>
        </is>
      </c>
      <c r="D4" s="17" t="inlineStr">
        <is>
          <t>Label</t>
        </is>
      </c>
      <c r="E4" s="17" t="inlineStr">
        <is>
          <t>Average price, all houses (£)</t>
        </is>
      </c>
      <c r="F4" s="17" t="inlineStr">
        <is>
          <t>Average price, new houses (£)</t>
        </is>
      </c>
      <c r="G4" s="17" t="inlineStr">
        <is>
          <t>Price index (base = 100)</t>
        </is>
      </c>
      <c r="H4" s="17" t="inlineStr">
        <is>
          <t>Real price (base-year £)</t>
        </is>
      </c>
      <c r="I4" s="17" t="inlineStr">
        <is>
          <t>Change on a year earlier</t>
        </is>
      </c>
      <c r="J4" s="17" t="inlineStr">
        <is>
          <t>Real change on a year earlier</t>
        </is>
      </c>
      <c r="K4" s="17" t="inlineStr">
        <is>
          <t>Nationwide's published change</t>
        </is>
      </c>
      <c r="L4" s="17" t="inlineStr">
        <is>
          <t>Our change minus published (pp)</t>
        </is>
      </c>
      <c r="M4" s="17" t="inlineStr">
        <is>
          <t>Highest real price so far (£)</t>
        </is>
      </c>
      <c r="N4" s="17" t="inlineStr">
        <is>
          <t>Real fall from peak</t>
        </is>
      </c>
    </row>
    <row r="5">
      <c r="A5" s="34">
        <f>Raw_Nationwide!A2</f>
        <v/>
      </c>
      <c r="B5" s="21">
        <f>YEAR(A5)</f>
        <v/>
      </c>
      <c r="C5" s="21">
        <f>"Q"&amp;ROUNDUP(MONTH(A5)/3,0)</f>
        <v/>
      </c>
      <c r="D5" s="21">
        <f>B5&amp;" "&amp;C5</f>
        <v/>
      </c>
      <c r="E5" s="35">
        <f>Raw_Nationwide!B2</f>
        <v/>
      </c>
      <c r="F5" s="35">
        <f>Raw_Nationwide!D2</f>
        <v/>
      </c>
      <c r="G5" s="36">
        <f>IFERROR(INDEX(CPI_Index,MATCH(B5,CPI_Year,0)),"")</f>
        <v/>
      </c>
      <c r="H5" s="37">
        <f>IF(G5="","",E5*100/G5)</f>
        <v/>
      </c>
      <c r="I5" s="38" t="n"/>
      <c r="J5" s="38" t="n"/>
      <c r="K5" s="39">
        <f>IF(Raw_Nationwide!C2="","",Raw_Nationwide!C2/100)</f>
        <v/>
      </c>
      <c r="L5" s="40" t="n"/>
      <c r="M5" s="37">
        <f>IF(H5="","",MAX(H$5:H5))</f>
        <v/>
      </c>
      <c r="N5" s="38">
        <f>IF(H5="","",H5/M5-1)</f>
        <v/>
      </c>
    </row>
    <row r="6">
      <c r="A6" s="34">
        <f>Raw_Nationwide!A3</f>
        <v/>
      </c>
      <c r="B6" s="21">
        <f>YEAR(A6)</f>
        <v/>
      </c>
      <c r="C6" s="21">
        <f>"Q"&amp;ROUNDUP(MONTH(A6)/3,0)</f>
        <v/>
      </c>
      <c r="D6" s="21">
        <f>B6&amp;" "&amp;C6</f>
        <v/>
      </c>
      <c r="E6" s="35">
        <f>Raw_Nationwide!B3</f>
        <v/>
      </c>
      <c r="F6" s="35">
        <f>Raw_Nationwide!D3</f>
        <v/>
      </c>
      <c r="G6" s="36">
        <f>IFERROR(INDEX(CPI_Index,MATCH(B6,CPI_Year,0)),"")</f>
        <v/>
      </c>
      <c r="H6" s="37">
        <f>IF(G6="","",E6*100/G6)</f>
        <v/>
      </c>
      <c r="I6" s="38" t="n"/>
      <c r="J6" s="38" t="n"/>
      <c r="K6" s="39">
        <f>IF(Raw_Nationwide!C3="","",Raw_Nationwide!C3/100)</f>
        <v/>
      </c>
      <c r="L6" s="40" t="n"/>
      <c r="M6" s="37">
        <f>IF(H6="","",MAX(H$5:H6))</f>
        <v/>
      </c>
      <c r="N6" s="38">
        <f>IF(H6="","",H6/M6-1)</f>
        <v/>
      </c>
    </row>
    <row r="7">
      <c r="A7" s="34">
        <f>Raw_Nationwide!A4</f>
        <v/>
      </c>
      <c r="B7" s="21">
        <f>YEAR(A7)</f>
        <v/>
      </c>
      <c r="C7" s="21">
        <f>"Q"&amp;ROUNDUP(MONTH(A7)/3,0)</f>
        <v/>
      </c>
      <c r="D7" s="21">
        <f>B7&amp;" "&amp;C7</f>
        <v/>
      </c>
      <c r="E7" s="35">
        <f>Raw_Nationwide!B4</f>
        <v/>
      </c>
      <c r="F7" s="35">
        <f>Raw_Nationwide!D4</f>
        <v/>
      </c>
      <c r="G7" s="36">
        <f>IFERROR(INDEX(CPI_Index,MATCH(B7,CPI_Year,0)),"")</f>
        <v/>
      </c>
      <c r="H7" s="37">
        <f>IF(G7="","",E7*100/G7)</f>
        <v/>
      </c>
      <c r="I7" s="38" t="n"/>
      <c r="J7" s="38" t="n"/>
      <c r="K7" s="39">
        <f>IF(Raw_Nationwide!C4="","",Raw_Nationwide!C4/100)</f>
        <v/>
      </c>
      <c r="L7" s="40" t="n"/>
      <c r="M7" s="37">
        <f>IF(H7="","",MAX(H$5:H7))</f>
        <v/>
      </c>
      <c r="N7" s="38">
        <f>IF(H7="","",H7/M7-1)</f>
        <v/>
      </c>
    </row>
    <row r="8">
      <c r="A8" s="34">
        <f>Raw_Nationwide!A5</f>
        <v/>
      </c>
      <c r="B8" s="21">
        <f>YEAR(A8)</f>
        <v/>
      </c>
      <c r="C8" s="21">
        <f>"Q"&amp;ROUNDUP(MONTH(A8)/3,0)</f>
        <v/>
      </c>
      <c r="D8" s="21">
        <f>B8&amp;" "&amp;C8</f>
        <v/>
      </c>
      <c r="E8" s="35">
        <f>Raw_Nationwide!B5</f>
        <v/>
      </c>
      <c r="F8" s="35">
        <f>Raw_Nationwide!D5</f>
        <v/>
      </c>
      <c r="G8" s="36">
        <f>IFERROR(INDEX(CPI_Index,MATCH(B8,CPI_Year,0)),"")</f>
        <v/>
      </c>
      <c r="H8" s="37">
        <f>IF(G8="","",E8*100/G8)</f>
        <v/>
      </c>
      <c r="I8" s="38" t="n"/>
      <c r="J8" s="38" t="n"/>
      <c r="K8" s="39">
        <f>IF(Raw_Nationwide!C5="","",Raw_Nationwide!C5/100)</f>
        <v/>
      </c>
      <c r="L8" s="40" t="n"/>
      <c r="M8" s="37">
        <f>IF(H8="","",MAX(H$5:H8))</f>
        <v/>
      </c>
      <c r="N8" s="38">
        <f>IF(H8="","",H8/M8-1)</f>
        <v/>
      </c>
    </row>
    <row r="9">
      <c r="A9" s="34">
        <f>Raw_Nationwide!A6</f>
        <v/>
      </c>
      <c r="B9" s="21">
        <f>YEAR(A9)</f>
        <v/>
      </c>
      <c r="C9" s="21">
        <f>"Q"&amp;ROUNDUP(MONTH(A9)/3,0)</f>
        <v/>
      </c>
      <c r="D9" s="21">
        <f>B9&amp;" "&amp;C9</f>
        <v/>
      </c>
      <c r="E9" s="35">
        <f>Raw_Nationwide!B6</f>
        <v/>
      </c>
      <c r="F9" s="35">
        <f>Raw_Nationwide!D6</f>
        <v/>
      </c>
      <c r="G9" s="36">
        <f>IFERROR(INDEX(CPI_Index,MATCH(B9,CPI_Year,0)),"")</f>
        <v/>
      </c>
      <c r="H9" s="37">
        <f>IF(G9="","",E9*100/G9)</f>
        <v/>
      </c>
      <c r="I9" s="38">
        <f>E9/E5-1</f>
        <v/>
      </c>
      <c r="J9" s="38">
        <f>IF(OR(H9="",H5=""),"",H9/H5-1)</f>
        <v/>
      </c>
      <c r="K9" s="39">
        <f>IF(Raw_Nationwide!C6="","",Raw_Nationwide!C6/100)</f>
        <v/>
      </c>
      <c r="L9" s="40">
        <f>IF(K9="","",(I9-K9)*100)</f>
        <v/>
      </c>
      <c r="M9" s="37">
        <f>IF(H9="","",MAX(H$5:H9))</f>
        <v/>
      </c>
      <c r="N9" s="38">
        <f>IF(H9="","",H9/M9-1)</f>
        <v/>
      </c>
    </row>
    <row r="10">
      <c r="A10" s="34">
        <f>Raw_Nationwide!A7</f>
        <v/>
      </c>
      <c r="B10" s="21">
        <f>YEAR(A10)</f>
        <v/>
      </c>
      <c r="C10" s="21">
        <f>"Q"&amp;ROUNDUP(MONTH(A10)/3,0)</f>
        <v/>
      </c>
      <c r="D10" s="21">
        <f>B10&amp;" "&amp;C10</f>
        <v/>
      </c>
      <c r="E10" s="35">
        <f>Raw_Nationwide!B7</f>
        <v/>
      </c>
      <c r="F10" s="35">
        <f>Raw_Nationwide!D7</f>
        <v/>
      </c>
      <c r="G10" s="36">
        <f>IFERROR(INDEX(CPI_Index,MATCH(B10,CPI_Year,0)),"")</f>
        <v/>
      </c>
      <c r="H10" s="37">
        <f>IF(G10="","",E10*100/G10)</f>
        <v/>
      </c>
      <c r="I10" s="38">
        <f>E10/E6-1</f>
        <v/>
      </c>
      <c r="J10" s="38">
        <f>IF(OR(H10="",H6=""),"",H10/H6-1)</f>
        <v/>
      </c>
      <c r="K10" s="39">
        <f>IF(Raw_Nationwide!C7="","",Raw_Nationwide!C7/100)</f>
        <v/>
      </c>
      <c r="L10" s="40">
        <f>IF(K10="","",(I10-K10)*100)</f>
        <v/>
      </c>
      <c r="M10" s="37">
        <f>IF(H10="","",MAX(H$5:H10))</f>
        <v/>
      </c>
      <c r="N10" s="38">
        <f>IF(H10="","",H10/M10-1)</f>
        <v/>
      </c>
    </row>
    <row r="11">
      <c r="A11" s="34">
        <f>Raw_Nationwide!A8</f>
        <v/>
      </c>
      <c r="B11" s="21">
        <f>YEAR(A11)</f>
        <v/>
      </c>
      <c r="C11" s="21">
        <f>"Q"&amp;ROUNDUP(MONTH(A11)/3,0)</f>
        <v/>
      </c>
      <c r="D11" s="21">
        <f>B11&amp;" "&amp;C11</f>
        <v/>
      </c>
      <c r="E11" s="35">
        <f>Raw_Nationwide!B8</f>
        <v/>
      </c>
      <c r="F11" s="35">
        <f>Raw_Nationwide!D8</f>
        <v/>
      </c>
      <c r="G11" s="36">
        <f>IFERROR(INDEX(CPI_Index,MATCH(B11,CPI_Year,0)),"")</f>
        <v/>
      </c>
      <c r="H11" s="37">
        <f>IF(G11="","",E11*100/G11)</f>
        <v/>
      </c>
      <c r="I11" s="38">
        <f>E11/E7-1</f>
        <v/>
      </c>
      <c r="J11" s="38">
        <f>IF(OR(H11="",H7=""),"",H11/H7-1)</f>
        <v/>
      </c>
      <c r="K11" s="39">
        <f>IF(Raw_Nationwide!C8="","",Raw_Nationwide!C8/100)</f>
        <v/>
      </c>
      <c r="L11" s="40">
        <f>IF(K11="","",(I11-K11)*100)</f>
        <v/>
      </c>
      <c r="M11" s="37">
        <f>IF(H11="","",MAX(H$5:H11))</f>
        <v/>
      </c>
      <c r="N11" s="38">
        <f>IF(H11="","",H11/M11-1)</f>
        <v/>
      </c>
    </row>
    <row r="12">
      <c r="A12" s="34">
        <f>Raw_Nationwide!A9</f>
        <v/>
      </c>
      <c r="B12" s="21">
        <f>YEAR(A12)</f>
        <v/>
      </c>
      <c r="C12" s="21">
        <f>"Q"&amp;ROUNDUP(MONTH(A12)/3,0)</f>
        <v/>
      </c>
      <c r="D12" s="21">
        <f>B12&amp;" "&amp;C12</f>
        <v/>
      </c>
      <c r="E12" s="35">
        <f>Raw_Nationwide!B9</f>
        <v/>
      </c>
      <c r="F12" s="35">
        <f>Raw_Nationwide!D9</f>
        <v/>
      </c>
      <c r="G12" s="36">
        <f>IFERROR(INDEX(CPI_Index,MATCH(B12,CPI_Year,0)),"")</f>
        <v/>
      </c>
      <c r="H12" s="37">
        <f>IF(G12="","",E12*100/G12)</f>
        <v/>
      </c>
      <c r="I12" s="38">
        <f>E12/E8-1</f>
        <v/>
      </c>
      <c r="J12" s="38">
        <f>IF(OR(H12="",H8=""),"",H12/H8-1)</f>
        <v/>
      </c>
      <c r="K12" s="39">
        <f>IF(Raw_Nationwide!C9="","",Raw_Nationwide!C9/100)</f>
        <v/>
      </c>
      <c r="L12" s="40">
        <f>IF(K12="","",(I12-K12)*100)</f>
        <v/>
      </c>
      <c r="M12" s="37">
        <f>IF(H12="","",MAX(H$5:H12))</f>
        <v/>
      </c>
      <c r="N12" s="38">
        <f>IF(H12="","",H12/M12-1)</f>
        <v/>
      </c>
    </row>
    <row r="13">
      <c r="A13" s="34">
        <f>Raw_Nationwide!A10</f>
        <v/>
      </c>
      <c r="B13" s="21">
        <f>YEAR(A13)</f>
        <v/>
      </c>
      <c r="C13" s="21">
        <f>"Q"&amp;ROUNDUP(MONTH(A13)/3,0)</f>
        <v/>
      </c>
      <c r="D13" s="21">
        <f>B13&amp;" "&amp;C13</f>
        <v/>
      </c>
      <c r="E13" s="35">
        <f>Raw_Nationwide!B10</f>
        <v/>
      </c>
      <c r="F13" s="35">
        <f>Raw_Nationwide!D10</f>
        <v/>
      </c>
      <c r="G13" s="36">
        <f>IFERROR(INDEX(CPI_Index,MATCH(B13,CPI_Year,0)),"")</f>
        <v/>
      </c>
      <c r="H13" s="37">
        <f>IF(G13="","",E13*100/G13)</f>
        <v/>
      </c>
      <c r="I13" s="38">
        <f>E13/E9-1</f>
        <v/>
      </c>
      <c r="J13" s="38">
        <f>IF(OR(H13="",H9=""),"",H13/H9-1)</f>
        <v/>
      </c>
      <c r="K13" s="39">
        <f>IF(Raw_Nationwide!C10="","",Raw_Nationwide!C10/100)</f>
        <v/>
      </c>
      <c r="L13" s="40">
        <f>IF(K13="","",(I13-K13)*100)</f>
        <v/>
      </c>
      <c r="M13" s="37">
        <f>IF(H13="","",MAX(H$5:H13))</f>
        <v/>
      </c>
      <c r="N13" s="38">
        <f>IF(H13="","",H13/M13-1)</f>
        <v/>
      </c>
    </row>
    <row r="14">
      <c r="A14" s="34">
        <f>Raw_Nationwide!A11</f>
        <v/>
      </c>
      <c r="B14" s="21">
        <f>YEAR(A14)</f>
        <v/>
      </c>
      <c r="C14" s="21">
        <f>"Q"&amp;ROUNDUP(MONTH(A14)/3,0)</f>
        <v/>
      </c>
      <c r="D14" s="21">
        <f>B14&amp;" "&amp;C14</f>
        <v/>
      </c>
      <c r="E14" s="35">
        <f>Raw_Nationwide!B11</f>
        <v/>
      </c>
      <c r="F14" s="35">
        <f>Raw_Nationwide!D11</f>
        <v/>
      </c>
      <c r="G14" s="36">
        <f>IFERROR(INDEX(CPI_Index,MATCH(B14,CPI_Year,0)),"")</f>
        <v/>
      </c>
      <c r="H14" s="37">
        <f>IF(G14="","",E14*100/G14)</f>
        <v/>
      </c>
      <c r="I14" s="38">
        <f>E14/E10-1</f>
        <v/>
      </c>
      <c r="J14" s="38">
        <f>IF(OR(H14="",H10=""),"",H14/H10-1)</f>
        <v/>
      </c>
      <c r="K14" s="39">
        <f>IF(Raw_Nationwide!C11="","",Raw_Nationwide!C11/100)</f>
        <v/>
      </c>
      <c r="L14" s="40">
        <f>IF(K14="","",(I14-K14)*100)</f>
        <v/>
      </c>
      <c r="M14" s="37">
        <f>IF(H14="","",MAX(H$5:H14))</f>
        <v/>
      </c>
      <c r="N14" s="38">
        <f>IF(H14="","",H14/M14-1)</f>
        <v/>
      </c>
    </row>
    <row r="15">
      <c r="A15" s="34">
        <f>Raw_Nationwide!A12</f>
        <v/>
      </c>
      <c r="B15" s="21">
        <f>YEAR(A15)</f>
        <v/>
      </c>
      <c r="C15" s="21">
        <f>"Q"&amp;ROUNDUP(MONTH(A15)/3,0)</f>
        <v/>
      </c>
      <c r="D15" s="21">
        <f>B15&amp;" "&amp;C15</f>
        <v/>
      </c>
      <c r="E15" s="35">
        <f>Raw_Nationwide!B12</f>
        <v/>
      </c>
      <c r="F15" s="35">
        <f>Raw_Nationwide!D12</f>
        <v/>
      </c>
      <c r="G15" s="36">
        <f>IFERROR(INDEX(CPI_Index,MATCH(B15,CPI_Year,0)),"")</f>
        <v/>
      </c>
      <c r="H15" s="37">
        <f>IF(G15="","",E15*100/G15)</f>
        <v/>
      </c>
      <c r="I15" s="38">
        <f>E15/E11-1</f>
        <v/>
      </c>
      <c r="J15" s="38">
        <f>IF(OR(H15="",H11=""),"",H15/H11-1)</f>
        <v/>
      </c>
      <c r="K15" s="39">
        <f>IF(Raw_Nationwide!C12="","",Raw_Nationwide!C12/100)</f>
        <v/>
      </c>
      <c r="L15" s="40">
        <f>IF(K15="","",(I15-K15)*100)</f>
        <v/>
      </c>
      <c r="M15" s="37">
        <f>IF(H15="","",MAX(H$5:H15))</f>
        <v/>
      </c>
      <c r="N15" s="38">
        <f>IF(H15="","",H15/M15-1)</f>
        <v/>
      </c>
    </row>
    <row r="16">
      <c r="A16" s="34">
        <f>Raw_Nationwide!A13</f>
        <v/>
      </c>
      <c r="B16" s="21">
        <f>YEAR(A16)</f>
        <v/>
      </c>
      <c r="C16" s="21">
        <f>"Q"&amp;ROUNDUP(MONTH(A16)/3,0)</f>
        <v/>
      </c>
      <c r="D16" s="21">
        <f>B16&amp;" "&amp;C16</f>
        <v/>
      </c>
      <c r="E16" s="35">
        <f>Raw_Nationwide!B13</f>
        <v/>
      </c>
      <c r="F16" s="35">
        <f>Raw_Nationwide!D13</f>
        <v/>
      </c>
      <c r="G16" s="36">
        <f>IFERROR(INDEX(CPI_Index,MATCH(B16,CPI_Year,0)),"")</f>
        <v/>
      </c>
      <c r="H16" s="37">
        <f>IF(G16="","",E16*100/G16)</f>
        <v/>
      </c>
      <c r="I16" s="38">
        <f>E16/E12-1</f>
        <v/>
      </c>
      <c r="J16" s="38">
        <f>IF(OR(H16="",H12=""),"",H16/H12-1)</f>
        <v/>
      </c>
      <c r="K16" s="39">
        <f>IF(Raw_Nationwide!C13="","",Raw_Nationwide!C13/100)</f>
        <v/>
      </c>
      <c r="L16" s="40">
        <f>IF(K16="","",(I16-K16)*100)</f>
        <v/>
      </c>
      <c r="M16" s="37">
        <f>IF(H16="","",MAX(H$5:H16))</f>
        <v/>
      </c>
      <c r="N16" s="38">
        <f>IF(H16="","",H16/M16-1)</f>
        <v/>
      </c>
    </row>
    <row r="17">
      <c r="A17" s="34">
        <f>Raw_Nationwide!A14</f>
        <v/>
      </c>
      <c r="B17" s="21">
        <f>YEAR(A17)</f>
        <v/>
      </c>
      <c r="C17" s="21">
        <f>"Q"&amp;ROUNDUP(MONTH(A17)/3,0)</f>
        <v/>
      </c>
      <c r="D17" s="21">
        <f>B17&amp;" "&amp;C17</f>
        <v/>
      </c>
      <c r="E17" s="35">
        <f>Raw_Nationwide!B14</f>
        <v/>
      </c>
      <c r="F17" s="35">
        <f>Raw_Nationwide!D14</f>
        <v/>
      </c>
      <c r="G17" s="36">
        <f>IFERROR(INDEX(CPI_Index,MATCH(B17,CPI_Year,0)),"")</f>
        <v/>
      </c>
      <c r="H17" s="37">
        <f>IF(G17="","",E17*100/G17)</f>
        <v/>
      </c>
      <c r="I17" s="38">
        <f>E17/E13-1</f>
        <v/>
      </c>
      <c r="J17" s="38">
        <f>IF(OR(H17="",H13=""),"",H17/H13-1)</f>
        <v/>
      </c>
      <c r="K17" s="39">
        <f>IF(Raw_Nationwide!C14="","",Raw_Nationwide!C14/100)</f>
        <v/>
      </c>
      <c r="L17" s="40">
        <f>IF(K17="","",(I17-K17)*100)</f>
        <v/>
      </c>
      <c r="M17" s="37">
        <f>IF(H17="","",MAX(H$5:H17))</f>
        <v/>
      </c>
      <c r="N17" s="38">
        <f>IF(H17="","",H17/M17-1)</f>
        <v/>
      </c>
    </row>
    <row r="18">
      <c r="A18" s="34">
        <f>Raw_Nationwide!A15</f>
        <v/>
      </c>
      <c r="B18" s="21">
        <f>YEAR(A18)</f>
        <v/>
      </c>
      <c r="C18" s="21">
        <f>"Q"&amp;ROUNDUP(MONTH(A18)/3,0)</f>
        <v/>
      </c>
      <c r="D18" s="21">
        <f>B18&amp;" "&amp;C18</f>
        <v/>
      </c>
      <c r="E18" s="35">
        <f>Raw_Nationwide!B15</f>
        <v/>
      </c>
      <c r="F18" s="35">
        <f>Raw_Nationwide!D15</f>
        <v/>
      </c>
      <c r="G18" s="36">
        <f>IFERROR(INDEX(CPI_Index,MATCH(B18,CPI_Year,0)),"")</f>
        <v/>
      </c>
      <c r="H18" s="37">
        <f>IF(G18="","",E18*100/G18)</f>
        <v/>
      </c>
      <c r="I18" s="38">
        <f>E18/E14-1</f>
        <v/>
      </c>
      <c r="J18" s="38">
        <f>IF(OR(H18="",H14=""),"",H18/H14-1)</f>
        <v/>
      </c>
      <c r="K18" s="39">
        <f>IF(Raw_Nationwide!C15="","",Raw_Nationwide!C15/100)</f>
        <v/>
      </c>
      <c r="L18" s="40">
        <f>IF(K18="","",(I18-K18)*100)</f>
        <v/>
      </c>
      <c r="M18" s="37">
        <f>IF(H18="","",MAX(H$5:H18))</f>
        <v/>
      </c>
      <c r="N18" s="38">
        <f>IF(H18="","",H18/M18-1)</f>
        <v/>
      </c>
    </row>
    <row r="19">
      <c r="A19" s="34">
        <f>Raw_Nationwide!A16</f>
        <v/>
      </c>
      <c r="B19" s="21">
        <f>YEAR(A19)</f>
        <v/>
      </c>
      <c r="C19" s="21">
        <f>"Q"&amp;ROUNDUP(MONTH(A19)/3,0)</f>
        <v/>
      </c>
      <c r="D19" s="21">
        <f>B19&amp;" "&amp;C19</f>
        <v/>
      </c>
      <c r="E19" s="35">
        <f>Raw_Nationwide!B16</f>
        <v/>
      </c>
      <c r="F19" s="35">
        <f>Raw_Nationwide!D16</f>
        <v/>
      </c>
      <c r="G19" s="36">
        <f>IFERROR(INDEX(CPI_Index,MATCH(B19,CPI_Year,0)),"")</f>
        <v/>
      </c>
      <c r="H19" s="37">
        <f>IF(G19="","",E19*100/G19)</f>
        <v/>
      </c>
      <c r="I19" s="38">
        <f>E19/E15-1</f>
        <v/>
      </c>
      <c r="J19" s="38">
        <f>IF(OR(H19="",H15=""),"",H19/H15-1)</f>
        <v/>
      </c>
      <c r="K19" s="39">
        <f>IF(Raw_Nationwide!C16="","",Raw_Nationwide!C16/100)</f>
        <v/>
      </c>
      <c r="L19" s="40">
        <f>IF(K19="","",(I19-K19)*100)</f>
        <v/>
      </c>
      <c r="M19" s="37">
        <f>IF(H19="","",MAX(H$5:H19))</f>
        <v/>
      </c>
      <c r="N19" s="38">
        <f>IF(H19="","",H19/M19-1)</f>
        <v/>
      </c>
    </row>
    <row r="20">
      <c r="A20" s="34">
        <f>Raw_Nationwide!A17</f>
        <v/>
      </c>
      <c r="B20" s="21">
        <f>YEAR(A20)</f>
        <v/>
      </c>
      <c r="C20" s="21">
        <f>"Q"&amp;ROUNDUP(MONTH(A20)/3,0)</f>
        <v/>
      </c>
      <c r="D20" s="21">
        <f>B20&amp;" "&amp;C20</f>
        <v/>
      </c>
      <c r="E20" s="35">
        <f>Raw_Nationwide!B17</f>
        <v/>
      </c>
      <c r="F20" s="35">
        <f>Raw_Nationwide!D17</f>
        <v/>
      </c>
      <c r="G20" s="36">
        <f>IFERROR(INDEX(CPI_Index,MATCH(B20,CPI_Year,0)),"")</f>
        <v/>
      </c>
      <c r="H20" s="37">
        <f>IF(G20="","",E20*100/G20)</f>
        <v/>
      </c>
      <c r="I20" s="38">
        <f>E20/E16-1</f>
        <v/>
      </c>
      <c r="J20" s="38">
        <f>IF(OR(H20="",H16=""),"",H20/H16-1)</f>
        <v/>
      </c>
      <c r="K20" s="39">
        <f>IF(Raw_Nationwide!C17="","",Raw_Nationwide!C17/100)</f>
        <v/>
      </c>
      <c r="L20" s="40">
        <f>IF(K20="","",(I20-K20)*100)</f>
        <v/>
      </c>
      <c r="M20" s="37">
        <f>IF(H20="","",MAX(H$5:H20))</f>
        <v/>
      </c>
      <c r="N20" s="38">
        <f>IF(H20="","",H20/M20-1)</f>
        <v/>
      </c>
    </row>
    <row r="21">
      <c r="A21" s="34">
        <f>Raw_Nationwide!A18</f>
        <v/>
      </c>
      <c r="B21" s="21">
        <f>YEAR(A21)</f>
        <v/>
      </c>
      <c r="C21" s="21">
        <f>"Q"&amp;ROUNDUP(MONTH(A21)/3,0)</f>
        <v/>
      </c>
      <c r="D21" s="21">
        <f>B21&amp;" "&amp;C21</f>
        <v/>
      </c>
      <c r="E21" s="35">
        <f>Raw_Nationwide!B18</f>
        <v/>
      </c>
      <c r="F21" s="35">
        <f>Raw_Nationwide!D18</f>
        <v/>
      </c>
      <c r="G21" s="36">
        <f>IFERROR(INDEX(CPI_Index,MATCH(B21,CPI_Year,0)),"")</f>
        <v/>
      </c>
      <c r="H21" s="37">
        <f>IF(G21="","",E21*100/G21)</f>
        <v/>
      </c>
      <c r="I21" s="38">
        <f>E21/E17-1</f>
        <v/>
      </c>
      <c r="J21" s="38">
        <f>IF(OR(H21="",H17=""),"",H21/H17-1)</f>
        <v/>
      </c>
      <c r="K21" s="39">
        <f>IF(Raw_Nationwide!C18="","",Raw_Nationwide!C18/100)</f>
        <v/>
      </c>
      <c r="L21" s="40">
        <f>IF(K21="","",(I21-K21)*100)</f>
        <v/>
      </c>
      <c r="M21" s="37">
        <f>IF(H21="","",MAX(H$5:H21))</f>
        <v/>
      </c>
      <c r="N21" s="38">
        <f>IF(H21="","",H21/M21-1)</f>
        <v/>
      </c>
    </row>
    <row r="22">
      <c r="A22" s="34">
        <f>Raw_Nationwide!A19</f>
        <v/>
      </c>
      <c r="B22" s="21">
        <f>YEAR(A22)</f>
        <v/>
      </c>
      <c r="C22" s="21">
        <f>"Q"&amp;ROUNDUP(MONTH(A22)/3,0)</f>
        <v/>
      </c>
      <c r="D22" s="21">
        <f>B22&amp;" "&amp;C22</f>
        <v/>
      </c>
      <c r="E22" s="35">
        <f>Raw_Nationwide!B19</f>
        <v/>
      </c>
      <c r="F22" s="35">
        <f>Raw_Nationwide!D19</f>
        <v/>
      </c>
      <c r="G22" s="36">
        <f>IFERROR(INDEX(CPI_Index,MATCH(B22,CPI_Year,0)),"")</f>
        <v/>
      </c>
      <c r="H22" s="37">
        <f>IF(G22="","",E22*100/G22)</f>
        <v/>
      </c>
      <c r="I22" s="38">
        <f>E22/E18-1</f>
        <v/>
      </c>
      <c r="J22" s="38">
        <f>IF(OR(H22="",H18=""),"",H22/H18-1)</f>
        <v/>
      </c>
      <c r="K22" s="39">
        <f>IF(Raw_Nationwide!C19="","",Raw_Nationwide!C19/100)</f>
        <v/>
      </c>
      <c r="L22" s="40">
        <f>IF(K22="","",(I22-K22)*100)</f>
        <v/>
      </c>
      <c r="M22" s="37">
        <f>IF(H22="","",MAX(H$5:H22))</f>
        <v/>
      </c>
      <c r="N22" s="38">
        <f>IF(H22="","",H22/M22-1)</f>
        <v/>
      </c>
    </row>
    <row r="23">
      <c r="A23" s="34">
        <f>Raw_Nationwide!A20</f>
        <v/>
      </c>
      <c r="B23" s="21">
        <f>YEAR(A23)</f>
        <v/>
      </c>
      <c r="C23" s="21">
        <f>"Q"&amp;ROUNDUP(MONTH(A23)/3,0)</f>
        <v/>
      </c>
      <c r="D23" s="21">
        <f>B23&amp;" "&amp;C23</f>
        <v/>
      </c>
      <c r="E23" s="35">
        <f>Raw_Nationwide!B20</f>
        <v/>
      </c>
      <c r="F23" s="35">
        <f>Raw_Nationwide!D20</f>
        <v/>
      </c>
      <c r="G23" s="36">
        <f>IFERROR(INDEX(CPI_Index,MATCH(B23,CPI_Year,0)),"")</f>
        <v/>
      </c>
      <c r="H23" s="37">
        <f>IF(G23="","",E23*100/G23)</f>
        <v/>
      </c>
      <c r="I23" s="38">
        <f>E23/E19-1</f>
        <v/>
      </c>
      <c r="J23" s="38">
        <f>IF(OR(H23="",H19=""),"",H23/H19-1)</f>
        <v/>
      </c>
      <c r="K23" s="39">
        <f>IF(Raw_Nationwide!C20="","",Raw_Nationwide!C20/100)</f>
        <v/>
      </c>
      <c r="L23" s="40">
        <f>IF(K23="","",(I23-K23)*100)</f>
        <v/>
      </c>
      <c r="M23" s="37">
        <f>IF(H23="","",MAX(H$5:H23))</f>
        <v/>
      </c>
      <c r="N23" s="38">
        <f>IF(H23="","",H23/M23-1)</f>
        <v/>
      </c>
    </row>
    <row r="24">
      <c r="A24" s="34">
        <f>Raw_Nationwide!A21</f>
        <v/>
      </c>
      <c r="B24" s="21">
        <f>YEAR(A24)</f>
        <v/>
      </c>
      <c r="C24" s="21">
        <f>"Q"&amp;ROUNDUP(MONTH(A24)/3,0)</f>
        <v/>
      </c>
      <c r="D24" s="21">
        <f>B24&amp;" "&amp;C24</f>
        <v/>
      </c>
      <c r="E24" s="35">
        <f>Raw_Nationwide!B21</f>
        <v/>
      </c>
      <c r="F24" s="35">
        <f>Raw_Nationwide!D21</f>
        <v/>
      </c>
      <c r="G24" s="36">
        <f>IFERROR(INDEX(CPI_Index,MATCH(B24,CPI_Year,0)),"")</f>
        <v/>
      </c>
      <c r="H24" s="37">
        <f>IF(G24="","",E24*100/G24)</f>
        <v/>
      </c>
      <c r="I24" s="38">
        <f>E24/E20-1</f>
        <v/>
      </c>
      <c r="J24" s="38">
        <f>IF(OR(H24="",H20=""),"",H24/H20-1)</f>
        <v/>
      </c>
      <c r="K24" s="39">
        <f>IF(Raw_Nationwide!C21="","",Raw_Nationwide!C21/100)</f>
        <v/>
      </c>
      <c r="L24" s="40">
        <f>IF(K24="","",(I24-K24)*100)</f>
        <v/>
      </c>
      <c r="M24" s="37">
        <f>IF(H24="","",MAX(H$5:H24))</f>
        <v/>
      </c>
      <c r="N24" s="38">
        <f>IF(H24="","",H24/M24-1)</f>
        <v/>
      </c>
    </row>
    <row r="25">
      <c r="A25" s="34">
        <f>Raw_Nationwide!A22</f>
        <v/>
      </c>
      <c r="B25" s="21">
        <f>YEAR(A25)</f>
        <v/>
      </c>
      <c r="C25" s="21">
        <f>"Q"&amp;ROUNDUP(MONTH(A25)/3,0)</f>
        <v/>
      </c>
      <c r="D25" s="21">
        <f>B25&amp;" "&amp;C25</f>
        <v/>
      </c>
      <c r="E25" s="35">
        <f>Raw_Nationwide!B22</f>
        <v/>
      </c>
      <c r="F25" s="35">
        <f>Raw_Nationwide!D22</f>
        <v/>
      </c>
      <c r="G25" s="36">
        <f>IFERROR(INDEX(CPI_Index,MATCH(B25,CPI_Year,0)),"")</f>
        <v/>
      </c>
      <c r="H25" s="37">
        <f>IF(G25="","",E25*100/G25)</f>
        <v/>
      </c>
      <c r="I25" s="38">
        <f>E25/E21-1</f>
        <v/>
      </c>
      <c r="J25" s="38">
        <f>IF(OR(H25="",H21=""),"",H25/H21-1)</f>
        <v/>
      </c>
      <c r="K25" s="39">
        <f>IF(Raw_Nationwide!C22="","",Raw_Nationwide!C22/100)</f>
        <v/>
      </c>
      <c r="L25" s="40">
        <f>IF(K25="","",(I25-K25)*100)</f>
        <v/>
      </c>
      <c r="M25" s="37">
        <f>IF(H25="","",MAX(H$5:H25))</f>
        <v/>
      </c>
      <c r="N25" s="38">
        <f>IF(H25="","",H25/M25-1)</f>
        <v/>
      </c>
    </row>
    <row r="26">
      <c r="A26" s="34">
        <f>Raw_Nationwide!A23</f>
        <v/>
      </c>
      <c r="B26" s="21">
        <f>YEAR(A26)</f>
        <v/>
      </c>
      <c r="C26" s="21">
        <f>"Q"&amp;ROUNDUP(MONTH(A26)/3,0)</f>
        <v/>
      </c>
      <c r="D26" s="21">
        <f>B26&amp;" "&amp;C26</f>
        <v/>
      </c>
      <c r="E26" s="35">
        <f>Raw_Nationwide!B23</f>
        <v/>
      </c>
      <c r="F26" s="35">
        <f>Raw_Nationwide!D23</f>
        <v/>
      </c>
      <c r="G26" s="36">
        <f>IFERROR(INDEX(CPI_Index,MATCH(B26,CPI_Year,0)),"")</f>
        <v/>
      </c>
      <c r="H26" s="37">
        <f>IF(G26="","",E26*100/G26)</f>
        <v/>
      </c>
      <c r="I26" s="38">
        <f>E26/E22-1</f>
        <v/>
      </c>
      <c r="J26" s="38">
        <f>IF(OR(H26="",H22=""),"",H26/H22-1)</f>
        <v/>
      </c>
      <c r="K26" s="39">
        <f>IF(Raw_Nationwide!C23="","",Raw_Nationwide!C23/100)</f>
        <v/>
      </c>
      <c r="L26" s="40">
        <f>IF(K26="","",(I26-K26)*100)</f>
        <v/>
      </c>
      <c r="M26" s="37">
        <f>IF(H26="","",MAX(H$5:H26))</f>
        <v/>
      </c>
      <c r="N26" s="38">
        <f>IF(H26="","",H26/M26-1)</f>
        <v/>
      </c>
    </row>
    <row r="27">
      <c r="A27" s="34">
        <f>Raw_Nationwide!A24</f>
        <v/>
      </c>
      <c r="B27" s="21">
        <f>YEAR(A27)</f>
        <v/>
      </c>
      <c r="C27" s="21">
        <f>"Q"&amp;ROUNDUP(MONTH(A27)/3,0)</f>
        <v/>
      </c>
      <c r="D27" s="21">
        <f>B27&amp;" "&amp;C27</f>
        <v/>
      </c>
      <c r="E27" s="35">
        <f>Raw_Nationwide!B24</f>
        <v/>
      </c>
      <c r="F27" s="35">
        <f>Raw_Nationwide!D24</f>
        <v/>
      </c>
      <c r="G27" s="36">
        <f>IFERROR(INDEX(CPI_Index,MATCH(B27,CPI_Year,0)),"")</f>
        <v/>
      </c>
      <c r="H27" s="37">
        <f>IF(G27="","",E27*100/G27)</f>
        <v/>
      </c>
      <c r="I27" s="38">
        <f>E27/E23-1</f>
        <v/>
      </c>
      <c r="J27" s="38">
        <f>IF(OR(H27="",H23=""),"",H27/H23-1)</f>
        <v/>
      </c>
      <c r="K27" s="39">
        <f>IF(Raw_Nationwide!C24="","",Raw_Nationwide!C24/100)</f>
        <v/>
      </c>
      <c r="L27" s="40">
        <f>IF(K27="","",(I27-K27)*100)</f>
        <v/>
      </c>
      <c r="M27" s="37">
        <f>IF(H27="","",MAX(H$5:H27))</f>
        <v/>
      </c>
      <c r="N27" s="38">
        <f>IF(H27="","",H27/M27-1)</f>
        <v/>
      </c>
    </row>
    <row r="28">
      <c r="A28" s="34">
        <f>Raw_Nationwide!A25</f>
        <v/>
      </c>
      <c r="B28" s="21">
        <f>YEAR(A28)</f>
        <v/>
      </c>
      <c r="C28" s="21">
        <f>"Q"&amp;ROUNDUP(MONTH(A28)/3,0)</f>
        <v/>
      </c>
      <c r="D28" s="21">
        <f>B28&amp;" "&amp;C28</f>
        <v/>
      </c>
      <c r="E28" s="35">
        <f>Raw_Nationwide!B25</f>
        <v/>
      </c>
      <c r="F28" s="35">
        <f>Raw_Nationwide!D25</f>
        <v/>
      </c>
      <c r="G28" s="36">
        <f>IFERROR(INDEX(CPI_Index,MATCH(B28,CPI_Year,0)),"")</f>
        <v/>
      </c>
      <c r="H28" s="37">
        <f>IF(G28="","",E28*100/G28)</f>
        <v/>
      </c>
      <c r="I28" s="38">
        <f>E28/E24-1</f>
        <v/>
      </c>
      <c r="J28" s="38">
        <f>IF(OR(H28="",H24=""),"",H28/H24-1)</f>
        <v/>
      </c>
      <c r="K28" s="39">
        <f>IF(Raw_Nationwide!C25="","",Raw_Nationwide!C25/100)</f>
        <v/>
      </c>
      <c r="L28" s="40">
        <f>IF(K28="","",(I28-K28)*100)</f>
        <v/>
      </c>
      <c r="M28" s="37">
        <f>IF(H28="","",MAX(H$5:H28))</f>
        <v/>
      </c>
      <c r="N28" s="38">
        <f>IF(H28="","",H28/M28-1)</f>
        <v/>
      </c>
    </row>
    <row r="29">
      <c r="A29" s="34">
        <f>Raw_Nationwide!A26</f>
        <v/>
      </c>
      <c r="B29" s="21">
        <f>YEAR(A29)</f>
        <v/>
      </c>
      <c r="C29" s="21">
        <f>"Q"&amp;ROUNDUP(MONTH(A29)/3,0)</f>
        <v/>
      </c>
      <c r="D29" s="21">
        <f>B29&amp;" "&amp;C29</f>
        <v/>
      </c>
      <c r="E29" s="35">
        <f>Raw_Nationwide!B26</f>
        <v/>
      </c>
      <c r="F29" s="35">
        <f>Raw_Nationwide!D26</f>
        <v/>
      </c>
      <c r="G29" s="36">
        <f>IFERROR(INDEX(CPI_Index,MATCH(B29,CPI_Year,0)),"")</f>
        <v/>
      </c>
      <c r="H29" s="37">
        <f>IF(G29="","",E29*100/G29)</f>
        <v/>
      </c>
      <c r="I29" s="38">
        <f>E29/E25-1</f>
        <v/>
      </c>
      <c r="J29" s="38">
        <f>IF(OR(H29="",H25=""),"",H29/H25-1)</f>
        <v/>
      </c>
      <c r="K29" s="39">
        <f>IF(Raw_Nationwide!C26="","",Raw_Nationwide!C26/100)</f>
        <v/>
      </c>
      <c r="L29" s="40">
        <f>IF(K29="","",(I29-K29)*100)</f>
        <v/>
      </c>
      <c r="M29" s="37">
        <f>IF(H29="","",MAX(H$5:H29))</f>
        <v/>
      </c>
      <c r="N29" s="38">
        <f>IF(H29="","",H29/M29-1)</f>
        <v/>
      </c>
    </row>
    <row r="30">
      <c r="A30" s="34">
        <f>Raw_Nationwide!A27</f>
        <v/>
      </c>
      <c r="B30" s="21">
        <f>YEAR(A30)</f>
        <v/>
      </c>
      <c r="C30" s="21">
        <f>"Q"&amp;ROUNDUP(MONTH(A30)/3,0)</f>
        <v/>
      </c>
      <c r="D30" s="21">
        <f>B30&amp;" "&amp;C30</f>
        <v/>
      </c>
      <c r="E30" s="35">
        <f>Raw_Nationwide!B27</f>
        <v/>
      </c>
      <c r="F30" s="35">
        <f>Raw_Nationwide!D27</f>
        <v/>
      </c>
      <c r="G30" s="36">
        <f>IFERROR(INDEX(CPI_Index,MATCH(B30,CPI_Year,0)),"")</f>
        <v/>
      </c>
      <c r="H30" s="37">
        <f>IF(G30="","",E30*100/G30)</f>
        <v/>
      </c>
      <c r="I30" s="38">
        <f>E30/E26-1</f>
        <v/>
      </c>
      <c r="J30" s="38">
        <f>IF(OR(H30="",H26=""),"",H30/H26-1)</f>
        <v/>
      </c>
      <c r="K30" s="39">
        <f>IF(Raw_Nationwide!C27="","",Raw_Nationwide!C27/100)</f>
        <v/>
      </c>
      <c r="L30" s="40">
        <f>IF(K30="","",(I30-K30)*100)</f>
        <v/>
      </c>
      <c r="M30" s="37">
        <f>IF(H30="","",MAX(H$5:H30))</f>
        <v/>
      </c>
      <c r="N30" s="38">
        <f>IF(H30="","",H30/M30-1)</f>
        <v/>
      </c>
    </row>
    <row r="31">
      <c r="A31" s="34">
        <f>Raw_Nationwide!A28</f>
        <v/>
      </c>
      <c r="B31" s="21">
        <f>YEAR(A31)</f>
        <v/>
      </c>
      <c r="C31" s="21">
        <f>"Q"&amp;ROUNDUP(MONTH(A31)/3,0)</f>
        <v/>
      </c>
      <c r="D31" s="21">
        <f>B31&amp;" "&amp;C31</f>
        <v/>
      </c>
      <c r="E31" s="35">
        <f>Raw_Nationwide!B28</f>
        <v/>
      </c>
      <c r="F31" s="35">
        <f>Raw_Nationwide!D28</f>
        <v/>
      </c>
      <c r="G31" s="36">
        <f>IFERROR(INDEX(CPI_Index,MATCH(B31,CPI_Year,0)),"")</f>
        <v/>
      </c>
      <c r="H31" s="37">
        <f>IF(G31="","",E31*100/G31)</f>
        <v/>
      </c>
      <c r="I31" s="38">
        <f>E31/E27-1</f>
        <v/>
      </c>
      <c r="J31" s="38">
        <f>IF(OR(H31="",H27=""),"",H31/H27-1)</f>
        <v/>
      </c>
      <c r="K31" s="39">
        <f>IF(Raw_Nationwide!C28="","",Raw_Nationwide!C28/100)</f>
        <v/>
      </c>
      <c r="L31" s="40">
        <f>IF(K31="","",(I31-K31)*100)</f>
        <v/>
      </c>
      <c r="M31" s="37">
        <f>IF(H31="","",MAX(H$5:H31))</f>
        <v/>
      </c>
      <c r="N31" s="38">
        <f>IF(H31="","",H31/M31-1)</f>
        <v/>
      </c>
    </row>
    <row r="32">
      <c r="A32" s="34">
        <f>Raw_Nationwide!A29</f>
        <v/>
      </c>
      <c r="B32" s="21">
        <f>YEAR(A32)</f>
        <v/>
      </c>
      <c r="C32" s="21">
        <f>"Q"&amp;ROUNDUP(MONTH(A32)/3,0)</f>
        <v/>
      </c>
      <c r="D32" s="21">
        <f>B32&amp;" "&amp;C32</f>
        <v/>
      </c>
      <c r="E32" s="35">
        <f>Raw_Nationwide!B29</f>
        <v/>
      </c>
      <c r="F32" s="35">
        <f>Raw_Nationwide!D29</f>
        <v/>
      </c>
      <c r="G32" s="36">
        <f>IFERROR(INDEX(CPI_Index,MATCH(B32,CPI_Year,0)),"")</f>
        <v/>
      </c>
      <c r="H32" s="37">
        <f>IF(G32="","",E32*100/G32)</f>
        <v/>
      </c>
      <c r="I32" s="38">
        <f>E32/E28-1</f>
        <v/>
      </c>
      <c r="J32" s="38">
        <f>IF(OR(H32="",H28=""),"",H32/H28-1)</f>
        <v/>
      </c>
      <c r="K32" s="39">
        <f>IF(Raw_Nationwide!C29="","",Raw_Nationwide!C29/100)</f>
        <v/>
      </c>
      <c r="L32" s="40">
        <f>IF(K32="","",(I32-K32)*100)</f>
        <v/>
      </c>
      <c r="M32" s="37">
        <f>IF(H32="","",MAX(H$5:H32))</f>
        <v/>
      </c>
      <c r="N32" s="38">
        <f>IF(H32="","",H32/M32-1)</f>
        <v/>
      </c>
    </row>
    <row r="33">
      <c r="A33" s="34">
        <f>Raw_Nationwide!A30</f>
        <v/>
      </c>
      <c r="B33" s="21">
        <f>YEAR(A33)</f>
        <v/>
      </c>
      <c r="C33" s="21">
        <f>"Q"&amp;ROUNDUP(MONTH(A33)/3,0)</f>
        <v/>
      </c>
      <c r="D33" s="21">
        <f>B33&amp;" "&amp;C33</f>
        <v/>
      </c>
      <c r="E33" s="35">
        <f>Raw_Nationwide!B30</f>
        <v/>
      </c>
      <c r="F33" s="35">
        <f>Raw_Nationwide!D30</f>
        <v/>
      </c>
      <c r="G33" s="36">
        <f>IFERROR(INDEX(CPI_Index,MATCH(B33,CPI_Year,0)),"")</f>
        <v/>
      </c>
      <c r="H33" s="37">
        <f>IF(G33="","",E33*100/G33)</f>
        <v/>
      </c>
      <c r="I33" s="38">
        <f>E33/E29-1</f>
        <v/>
      </c>
      <c r="J33" s="38">
        <f>IF(OR(H33="",H29=""),"",H33/H29-1)</f>
        <v/>
      </c>
      <c r="K33" s="39">
        <f>IF(Raw_Nationwide!C30="","",Raw_Nationwide!C30/100)</f>
        <v/>
      </c>
      <c r="L33" s="40">
        <f>IF(K33="","",(I33-K33)*100)</f>
        <v/>
      </c>
      <c r="M33" s="37">
        <f>IF(H33="","",MAX(H$5:H33))</f>
        <v/>
      </c>
      <c r="N33" s="38">
        <f>IF(H33="","",H33/M33-1)</f>
        <v/>
      </c>
    </row>
    <row r="34">
      <c r="A34" s="34">
        <f>Raw_Nationwide!A31</f>
        <v/>
      </c>
      <c r="B34" s="21">
        <f>YEAR(A34)</f>
        <v/>
      </c>
      <c r="C34" s="21">
        <f>"Q"&amp;ROUNDUP(MONTH(A34)/3,0)</f>
        <v/>
      </c>
      <c r="D34" s="21">
        <f>B34&amp;" "&amp;C34</f>
        <v/>
      </c>
      <c r="E34" s="35">
        <f>Raw_Nationwide!B31</f>
        <v/>
      </c>
      <c r="F34" s="35">
        <f>Raw_Nationwide!D31</f>
        <v/>
      </c>
      <c r="G34" s="36">
        <f>IFERROR(INDEX(CPI_Index,MATCH(B34,CPI_Year,0)),"")</f>
        <v/>
      </c>
      <c r="H34" s="37">
        <f>IF(G34="","",E34*100/G34)</f>
        <v/>
      </c>
      <c r="I34" s="38">
        <f>E34/E30-1</f>
        <v/>
      </c>
      <c r="J34" s="38">
        <f>IF(OR(H34="",H30=""),"",H34/H30-1)</f>
        <v/>
      </c>
      <c r="K34" s="39">
        <f>IF(Raw_Nationwide!C31="","",Raw_Nationwide!C31/100)</f>
        <v/>
      </c>
      <c r="L34" s="40">
        <f>IF(K34="","",(I34-K34)*100)</f>
        <v/>
      </c>
      <c r="M34" s="37">
        <f>IF(H34="","",MAX(H$5:H34))</f>
        <v/>
      </c>
      <c r="N34" s="38">
        <f>IF(H34="","",H34/M34-1)</f>
        <v/>
      </c>
    </row>
    <row r="35">
      <c r="A35" s="34">
        <f>Raw_Nationwide!A32</f>
        <v/>
      </c>
      <c r="B35" s="21">
        <f>YEAR(A35)</f>
        <v/>
      </c>
      <c r="C35" s="21">
        <f>"Q"&amp;ROUNDUP(MONTH(A35)/3,0)</f>
        <v/>
      </c>
      <c r="D35" s="21">
        <f>B35&amp;" "&amp;C35</f>
        <v/>
      </c>
      <c r="E35" s="35">
        <f>Raw_Nationwide!B32</f>
        <v/>
      </c>
      <c r="F35" s="35">
        <f>Raw_Nationwide!D32</f>
        <v/>
      </c>
      <c r="G35" s="36">
        <f>IFERROR(INDEX(CPI_Index,MATCH(B35,CPI_Year,0)),"")</f>
        <v/>
      </c>
      <c r="H35" s="37">
        <f>IF(G35="","",E35*100/G35)</f>
        <v/>
      </c>
      <c r="I35" s="38">
        <f>E35/E31-1</f>
        <v/>
      </c>
      <c r="J35" s="38">
        <f>IF(OR(H35="",H31=""),"",H35/H31-1)</f>
        <v/>
      </c>
      <c r="K35" s="39">
        <f>IF(Raw_Nationwide!C32="","",Raw_Nationwide!C32/100)</f>
        <v/>
      </c>
      <c r="L35" s="40">
        <f>IF(K35="","",(I35-K35)*100)</f>
        <v/>
      </c>
      <c r="M35" s="37">
        <f>IF(H35="","",MAX(H$5:H35))</f>
        <v/>
      </c>
      <c r="N35" s="38">
        <f>IF(H35="","",H35/M35-1)</f>
        <v/>
      </c>
    </row>
    <row r="36">
      <c r="A36" s="34">
        <f>Raw_Nationwide!A33</f>
        <v/>
      </c>
      <c r="B36" s="21">
        <f>YEAR(A36)</f>
        <v/>
      </c>
      <c r="C36" s="21">
        <f>"Q"&amp;ROUNDUP(MONTH(A36)/3,0)</f>
        <v/>
      </c>
      <c r="D36" s="21">
        <f>B36&amp;" "&amp;C36</f>
        <v/>
      </c>
      <c r="E36" s="35">
        <f>Raw_Nationwide!B33</f>
        <v/>
      </c>
      <c r="F36" s="35">
        <f>Raw_Nationwide!D33</f>
        <v/>
      </c>
      <c r="G36" s="36">
        <f>IFERROR(INDEX(CPI_Index,MATCH(B36,CPI_Year,0)),"")</f>
        <v/>
      </c>
      <c r="H36" s="37">
        <f>IF(G36="","",E36*100/G36)</f>
        <v/>
      </c>
      <c r="I36" s="38">
        <f>E36/E32-1</f>
        <v/>
      </c>
      <c r="J36" s="38">
        <f>IF(OR(H36="",H32=""),"",H36/H32-1)</f>
        <v/>
      </c>
      <c r="K36" s="39">
        <f>IF(Raw_Nationwide!C33="","",Raw_Nationwide!C33/100)</f>
        <v/>
      </c>
      <c r="L36" s="40">
        <f>IF(K36="","",(I36-K36)*100)</f>
        <v/>
      </c>
      <c r="M36" s="37">
        <f>IF(H36="","",MAX(H$5:H36))</f>
        <v/>
      </c>
      <c r="N36" s="38">
        <f>IF(H36="","",H36/M36-1)</f>
        <v/>
      </c>
    </row>
    <row r="37">
      <c r="A37" s="34">
        <f>Raw_Nationwide!A34</f>
        <v/>
      </c>
      <c r="B37" s="21">
        <f>YEAR(A37)</f>
        <v/>
      </c>
      <c r="C37" s="21">
        <f>"Q"&amp;ROUNDUP(MONTH(A37)/3,0)</f>
        <v/>
      </c>
      <c r="D37" s="21">
        <f>B37&amp;" "&amp;C37</f>
        <v/>
      </c>
      <c r="E37" s="35">
        <f>Raw_Nationwide!B34</f>
        <v/>
      </c>
      <c r="F37" s="35">
        <f>Raw_Nationwide!D34</f>
        <v/>
      </c>
      <c r="G37" s="36">
        <f>IFERROR(INDEX(CPI_Index,MATCH(B37,CPI_Year,0)),"")</f>
        <v/>
      </c>
      <c r="H37" s="37">
        <f>IF(G37="","",E37*100/G37)</f>
        <v/>
      </c>
      <c r="I37" s="38">
        <f>E37/E33-1</f>
        <v/>
      </c>
      <c r="J37" s="38">
        <f>IF(OR(H37="",H33=""),"",H37/H33-1)</f>
        <v/>
      </c>
      <c r="K37" s="39">
        <f>IF(Raw_Nationwide!C34="","",Raw_Nationwide!C34/100)</f>
        <v/>
      </c>
      <c r="L37" s="40">
        <f>IF(K37="","",(I37-K37)*100)</f>
        <v/>
      </c>
      <c r="M37" s="37">
        <f>IF(H37="","",MAX(H$5:H37))</f>
        <v/>
      </c>
      <c r="N37" s="38">
        <f>IF(H37="","",H37/M37-1)</f>
        <v/>
      </c>
    </row>
    <row r="38">
      <c r="A38" s="34">
        <f>Raw_Nationwide!A35</f>
        <v/>
      </c>
      <c r="B38" s="21">
        <f>YEAR(A38)</f>
        <v/>
      </c>
      <c r="C38" s="21">
        <f>"Q"&amp;ROUNDUP(MONTH(A38)/3,0)</f>
        <v/>
      </c>
      <c r="D38" s="21">
        <f>B38&amp;" "&amp;C38</f>
        <v/>
      </c>
      <c r="E38" s="35">
        <f>Raw_Nationwide!B35</f>
        <v/>
      </c>
      <c r="F38" s="35">
        <f>Raw_Nationwide!D35</f>
        <v/>
      </c>
      <c r="G38" s="36">
        <f>IFERROR(INDEX(CPI_Index,MATCH(B38,CPI_Year,0)),"")</f>
        <v/>
      </c>
      <c r="H38" s="37">
        <f>IF(G38="","",E38*100/G38)</f>
        <v/>
      </c>
      <c r="I38" s="38">
        <f>E38/E34-1</f>
        <v/>
      </c>
      <c r="J38" s="38">
        <f>IF(OR(H38="",H34=""),"",H38/H34-1)</f>
        <v/>
      </c>
      <c r="K38" s="39">
        <f>IF(Raw_Nationwide!C35="","",Raw_Nationwide!C35/100)</f>
        <v/>
      </c>
      <c r="L38" s="40">
        <f>IF(K38="","",(I38-K38)*100)</f>
        <v/>
      </c>
      <c r="M38" s="37">
        <f>IF(H38="","",MAX(H$5:H38))</f>
        <v/>
      </c>
      <c r="N38" s="38">
        <f>IF(H38="","",H38/M38-1)</f>
        <v/>
      </c>
    </row>
    <row r="39">
      <c r="A39" s="34">
        <f>Raw_Nationwide!A36</f>
        <v/>
      </c>
      <c r="B39" s="21">
        <f>YEAR(A39)</f>
        <v/>
      </c>
      <c r="C39" s="21">
        <f>"Q"&amp;ROUNDUP(MONTH(A39)/3,0)</f>
        <v/>
      </c>
      <c r="D39" s="21">
        <f>B39&amp;" "&amp;C39</f>
        <v/>
      </c>
      <c r="E39" s="35">
        <f>Raw_Nationwide!B36</f>
        <v/>
      </c>
      <c r="F39" s="35">
        <f>Raw_Nationwide!D36</f>
        <v/>
      </c>
      <c r="G39" s="36">
        <f>IFERROR(INDEX(CPI_Index,MATCH(B39,CPI_Year,0)),"")</f>
        <v/>
      </c>
      <c r="H39" s="37">
        <f>IF(G39="","",E39*100/G39)</f>
        <v/>
      </c>
      <c r="I39" s="38">
        <f>E39/E35-1</f>
        <v/>
      </c>
      <c r="J39" s="38">
        <f>IF(OR(H39="",H35=""),"",H39/H35-1)</f>
        <v/>
      </c>
      <c r="K39" s="39">
        <f>IF(Raw_Nationwide!C36="","",Raw_Nationwide!C36/100)</f>
        <v/>
      </c>
      <c r="L39" s="40">
        <f>IF(K39="","",(I39-K39)*100)</f>
        <v/>
      </c>
      <c r="M39" s="37">
        <f>IF(H39="","",MAX(H$5:H39))</f>
        <v/>
      </c>
      <c r="N39" s="38">
        <f>IF(H39="","",H39/M39-1)</f>
        <v/>
      </c>
    </row>
    <row r="40">
      <c r="A40" s="34">
        <f>Raw_Nationwide!A37</f>
        <v/>
      </c>
      <c r="B40" s="21">
        <f>YEAR(A40)</f>
        <v/>
      </c>
      <c r="C40" s="21">
        <f>"Q"&amp;ROUNDUP(MONTH(A40)/3,0)</f>
        <v/>
      </c>
      <c r="D40" s="21">
        <f>B40&amp;" "&amp;C40</f>
        <v/>
      </c>
      <c r="E40" s="35">
        <f>Raw_Nationwide!B37</f>
        <v/>
      </c>
      <c r="F40" s="35">
        <f>Raw_Nationwide!D37</f>
        <v/>
      </c>
      <c r="G40" s="36">
        <f>IFERROR(INDEX(CPI_Index,MATCH(B40,CPI_Year,0)),"")</f>
        <v/>
      </c>
      <c r="H40" s="37">
        <f>IF(G40="","",E40*100/G40)</f>
        <v/>
      </c>
      <c r="I40" s="38">
        <f>E40/E36-1</f>
        <v/>
      </c>
      <c r="J40" s="38">
        <f>IF(OR(H40="",H36=""),"",H40/H36-1)</f>
        <v/>
      </c>
      <c r="K40" s="39">
        <f>IF(Raw_Nationwide!C37="","",Raw_Nationwide!C37/100)</f>
        <v/>
      </c>
      <c r="L40" s="40">
        <f>IF(K40="","",(I40-K40)*100)</f>
        <v/>
      </c>
      <c r="M40" s="37">
        <f>IF(H40="","",MAX(H$5:H40))</f>
        <v/>
      </c>
      <c r="N40" s="38">
        <f>IF(H40="","",H40/M40-1)</f>
        <v/>
      </c>
    </row>
    <row r="41">
      <c r="A41" s="34">
        <f>Raw_Nationwide!A38</f>
        <v/>
      </c>
      <c r="B41" s="21">
        <f>YEAR(A41)</f>
        <v/>
      </c>
      <c r="C41" s="21">
        <f>"Q"&amp;ROUNDUP(MONTH(A41)/3,0)</f>
        <v/>
      </c>
      <c r="D41" s="21">
        <f>B41&amp;" "&amp;C41</f>
        <v/>
      </c>
      <c r="E41" s="35">
        <f>Raw_Nationwide!B38</f>
        <v/>
      </c>
      <c r="F41" s="35">
        <f>Raw_Nationwide!D38</f>
        <v/>
      </c>
      <c r="G41" s="36">
        <f>IFERROR(INDEX(CPI_Index,MATCH(B41,CPI_Year,0)),"")</f>
        <v/>
      </c>
      <c r="H41" s="37">
        <f>IF(G41="","",E41*100/G41)</f>
        <v/>
      </c>
      <c r="I41" s="38">
        <f>E41/E37-1</f>
        <v/>
      </c>
      <c r="J41" s="38">
        <f>IF(OR(H41="",H37=""),"",H41/H37-1)</f>
        <v/>
      </c>
      <c r="K41" s="39">
        <f>IF(Raw_Nationwide!C38="","",Raw_Nationwide!C38/100)</f>
        <v/>
      </c>
      <c r="L41" s="40">
        <f>IF(K41="","",(I41-K41)*100)</f>
        <v/>
      </c>
      <c r="M41" s="37">
        <f>IF(H41="","",MAX(H$5:H41))</f>
        <v/>
      </c>
      <c r="N41" s="38">
        <f>IF(H41="","",H41/M41-1)</f>
        <v/>
      </c>
    </row>
    <row r="42">
      <c r="A42" s="34">
        <f>Raw_Nationwide!A39</f>
        <v/>
      </c>
      <c r="B42" s="21">
        <f>YEAR(A42)</f>
        <v/>
      </c>
      <c r="C42" s="21">
        <f>"Q"&amp;ROUNDUP(MONTH(A42)/3,0)</f>
        <v/>
      </c>
      <c r="D42" s="21">
        <f>B42&amp;" "&amp;C42</f>
        <v/>
      </c>
      <c r="E42" s="35">
        <f>Raw_Nationwide!B39</f>
        <v/>
      </c>
      <c r="F42" s="35">
        <f>Raw_Nationwide!D39</f>
        <v/>
      </c>
      <c r="G42" s="36">
        <f>IFERROR(INDEX(CPI_Index,MATCH(B42,CPI_Year,0)),"")</f>
        <v/>
      </c>
      <c r="H42" s="37">
        <f>IF(G42="","",E42*100/G42)</f>
        <v/>
      </c>
      <c r="I42" s="38">
        <f>E42/E38-1</f>
        <v/>
      </c>
      <c r="J42" s="38">
        <f>IF(OR(H42="",H38=""),"",H42/H38-1)</f>
        <v/>
      </c>
      <c r="K42" s="39">
        <f>IF(Raw_Nationwide!C39="","",Raw_Nationwide!C39/100)</f>
        <v/>
      </c>
      <c r="L42" s="40">
        <f>IF(K42="","",(I42-K42)*100)</f>
        <v/>
      </c>
      <c r="M42" s="37">
        <f>IF(H42="","",MAX(H$5:H42))</f>
        <v/>
      </c>
      <c r="N42" s="38">
        <f>IF(H42="","",H42/M42-1)</f>
        <v/>
      </c>
    </row>
    <row r="43">
      <c r="A43" s="34">
        <f>Raw_Nationwide!A40</f>
        <v/>
      </c>
      <c r="B43" s="21">
        <f>YEAR(A43)</f>
        <v/>
      </c>
      <c r="C43" s="21">
        <f>"Q"&amp;ROUNDUP(MONTH(A43)/3,0)</f>
        <v/>
      </c>
      <c r="D43" s="21">
        <f>B43&amp;" "&amp;C43</f>
        <v/>
      </c>
      <c r="E43" s="35">
        <f>Raw_Nationwide!B40</f>
        <v/>
      </c>
      <c r="F43" s="35">
        <f>Raw_Nationwide!D40</f>
        <v/>
      </c>
      <c r="G43" s="36">
        <f>IFERROR(INDEX(CPI_Index,MATCH(B43,CPI_Year,0)),"")</f>
        <v/>
      </c>
      <c r="H43" s="37">
        <f>IF(G43="","",E43*100/G43)</f>
        <v/>
      </c>
      <c r="I43" s="38">
        <f>E43/E39-1</f>
        <v/>
      </c>
      <c r="J43" s="38">
        <f>IF(OR(H43="",H39=""),"",H43/H39-1)</f>
        <v/>
      </c>
      <c r="K43" s="39">
        <f>IF(Raw_Nationwide!C40="","",Raw_Nationwide!C40/100)</f>
        <v/>
      </c>
      <c r="L43" s="40">
        <f>IF(K43="","",(I43-K43)*100)</f>
        <v/>
      </c>
      <c r="M43" s="37">
        <f>IF(H43="","",MAX(H$5:H43))</f>
        <v/>
      </c>
      <c r="N43" s="38">
        <f>IF(H43="","",H43/M43-1)</f>
        <v/>
      </c>
    </row>
    <row r="44">
      <c r="A44" s="34">
        <f>Raw_Nationwide!A41</f>
        <v/>
      </c>
      <c r="B44" s="21">
        <f>YEAR(A44)</f>
        <v/>
      </c>
      <c r="C44" s="21">
        <f>"Q"&amp;ROUNDUP(MONTH(A44)/3,0)</f>
        <v/>
      </c>
      <c r="D44" s="21">
        <f>B44&amp;" "&amp;C44</f>
        <v/>
      </c>
      <c r="E44" s="35">
        <f>Raw_Nationwide!B41</f>
        <v/>
      </c>
      <c r="F44" s="35">
        <f>Raw_Nationwide!D41</f>
        <v/>
      </c>
      <c r="G44" s="36">
        <f>IFERROR(INDEX(CPI_Index,MATCH(B44,CPI_Year,0)),"")</f>
        <v/>
      </c>
      <c r="H44" s="37">
        <f>IF(G44="","",E44*100/G44)</f>
        <v/>
      </c>
      <c r="I44" s="38">
        <f>E44/E40-1</f>
        <v/>
      </c>
      <c r="J44" s="38">
        <f>IF(OR(H44="",H40=""),"",H44/H40-1)</f>
        <v/>
      </c>
      <c r="K44" s="39">
        <f>IF(Raw_Nationwide!C41="","",Raw_Nationwide!C41/100)</f>
        <v/>
      </c>
      <c r="L44" s="40">
        <f>IF(K44="","",(I44-K44)*100)</f>
        <v/>
      </c>
      <c r="M44" s="37">
        <f>IF(H44="","",MAX(H$5:H44))</f>
        <v/>
      </c>
      <c r="N44" s="38">
        <f>IF(H44="","",H44/M44-1)</f>
        <v/>
      </c>
    </row>
    <row r="45">
      <c r="A45" s="34">
        <f>Raw_Nationwide!A42</f>
        <v/>
      </c>
      <c r="B45" s="21">
        <f>YEAR(A45)</f>
        <v/>
      </c>
      <c r="C45" s="21">
        <f>"Q"&amp;ROUNDUP(MONTH(A45)/3,0)</f>
        <v/>
      </c>
      <c r="D45" s="21">
        <f>B45&amp;" "&amp;C45</f>
        <v/>
      </c>
      <c r="E45" s="35">
        <f>Raw_Nationwide!B42</f>
        <v/>
      </c>
      <c r="F45" s="35">
        <f>Raw_Nationwide!D42</f>
        <v/>
      </c>
      <c r="G45" s="36">
        <f>IFERROR(INDEX(CPI_Index,MATCH(B45,CPI_Year,0)),"")</f>
        <v/>
      </c>
      <c r="H45" s="37">
        <f>IF(G45="","",E45*100/G45)</f>
        <v/>
      </c>
      <c r="I45" s="38">
        <f>E45/E41-1</f>
        <v/>
      </c>
      <c r="J45" s="38">
        <f>IF(OR(H45="",H41=""),"",H45/H41-1)</f>
        <v/>
      </c>
      <c r="K45" s="39">
        <f>IF(Raw_Nationwide!C42="","",Raw_Nationwide!C42/100)</f>
        <v/>
      </c>
      <c r="L45" s="40">
        <f>IF(K45="","",(I45-K45)*100)</f>
        <v/>
      </c>
      <c r="M45" s="37">
        <f>IF(H45="","",MAX(H$5:H45))</f>
        <v/>
      </c>
      <c r="N45" s="38">
        <f>IF(H45="","",H45/M45-1)</f>
        <v/>
      </c>
    </row>
    <row r="46">
      <c r="A46" s="34">
        <f>Raw_Nationwide!A43</f>
        <v/>
      </c>
      <c r="B46" s="21">
        <f>YEAR(A46)</f>
        <v/>
      </c>
      <c r="C46" s="21">
        <f>"Q"&amp;ROUNDUP(MONTH(A46)/3,0)</f>
        <v/>
      </c>
      <c r="D46" s="21">
        <f>B46&amp;" "&amp;C46</f>
        <v/>
      </c>
      <c r="E46" s="35">
        <f>Raw_Nationwide!B43</f>
        <v/>
      </c>
      <c r="F46" s="35">
        <f>Raw_Nationwide!D43</f>
        <v/>
      </c>
      <c r="G46" s="36">
        <f>IFERROR(INDEX(CPI_Index,MATCH(B46,CPI_Year,0)),"")</f>
        <v/>
      </c>
      <c r="H46" s="37">
        <f>IF(G46="","",E46*100/G46)</f>
        <v/>
      </c>
      <c r="I46" s="38">
        <f>E46/E42-1</f>
        <v/>
      </c>
      <c r="J46" s="38">
        <f>IF(OR(H46="",H42=""),"",H46/H42-1)</f>
        <v/>
      </c>
      <c r="K46" s="39">
        <f>IF(Raw_Nationwide!C43="","",Raw_Nationwide!C43/100)</f>
        <v/>
      </c>
      <c r="L46" s="40">
        <f>IF(K46="","",(I46-K46)*100)</f>
        <v/>
      </c>
      <c r="M46" s="37">
        <f>IF(H46="","",MAX(H$5:H46))</f>
        <v/>
      </c>
      <c r="N46" s="38">
        <f>IF(H46="","",H46/M46-1)</f>
        <v/>
      </c>
    </row>
    <row r="47">
      <c r="A47" s="34">
        <f>Raw_Nationwide!A44</f>
        <v/>
      </c>
      <c r="B47" s="21">
        <f>YEAR(A47)</f>
        <v/>
      </c>
      <c r="C47" s="21">
        <f>"Q"&amp;ROUNDUP(MONTH(A47)/3,0)</f>
        <v/>
      </c>
      <c r="D47" s="21">
        <f>B47&amp;" "&amp;C47</f>
        <v/>
      </c>
      <c r="E47" s="35">
        <f>Raw_Nationwide!B44</f>
        <v/>
      </c>
      <c r="F47" s="35">
        <f>Raw_Nationwide!D44</f>
        <v/>
      </c>
      <c r="G47" s="36">
        <f>IFERROR(INDEX(CPI_Index,MATCH(B47,CPI_Year,0)),"")</f>
        <v/>
      </c>
      <c r="H47" s="37">
        <f>IF(G47="","",E47*100/G47)</f>
        <v/>
      </c>
      <c r="I47" s="38">
        <f>E47/E43-1</f>
        <v/>
      </c>
      <c r="J47" s="38">
        <f>IF(OR(H47="",H43=""),"",H47/H43-1)</f>
        <v/>
      </c>
      <c r="K47" s="39">
        <f>IF(Raw_Nationwide!C44="","",Raw_Nationwide!C44/100)</f>
        <v/>
      </c>
      <c r="L47" s="40">
        <f>IF(K47="","",(I47-K47)*100)</f>
        <v/>
      </c>
      <c r="M47" s="37">
        <f>IF(H47="","",MAX(H$5:H47))</f>
        <v/>
      </c>
      <c r="N47" s="38">
        <f>IF(H47="","",H47/M47-1)</f>
        <v/>
      </c>
    </row>
    <row r="48">
      <c r="A48" s="34">
        <f>Raw_Nationwide!A45</f>
        <v/>
      </c>
      <c r="B48" s="21">
        <f>YEAR(A48)</f>
        <v/>
      </c>
      <c r="C48" s="21">
        <f>"Q"&amp;ROUNDUP(MONTH(A48)/3,0)</f>
        <v/>
      </c>
      <c r="D48" s="21">
        <f>B48&amp;" "&amp;C48</f>
        <v/>
      </c>
      <c r="E48" s="35">
        <f>Raw_Nationwide!B45</f>
        <v/>
      </c>
      <c r="F48" s="35">
        <f>Raw_Nationwide!D45</f>
        <v/>
      </c>
      <c r="G48" s="36">
        <f>IFERROR(INDEX(CPI_Index,MATCH(B48,CPI_Year,0)),"")</f>
        <v/>
      </c>
      <c r="H48" s="37">
        <f>IF(G48="","",E48*100/G48)</f>
        <v/>
      </c>
      <c r="I48" s="38">
        <f>E48/E44-1</f>
        <v/>
      </c>
      <c r="J48" s="38">
        <f>IF(OR(H48="",H44=""),"",H48/H44-1)</f>
        <v/>
      </c>
      <c r="K48" s="39">
        <f>IF(Raw_Nationwide!C45="","",Raw_Nationwide!C45/100)</f>
        <v/>
      </c>
      <c r="L48" s="40">
        <f>IF(K48="","",(I48-K48)*100)</f>
        <v/>
      </c>
      <c r="M48" s="37">
        <f>IF(H48="","",MAX(H$5:H48))</f>
        <v/>
      </c>
      <c r="N48" s="38">
        <f>IF(H48="","",H48/M48-1)</f>
        <v/>
      </c>
    </row>
    <row r="49">
      <c r="A49" s="34">
        <f>Raw_Nationwide!A46</f>
        <v/>
      </c>
      <c r="B49" s="21">
        <f>YEAR(A49)</f>
        <v/>
      </c>
      <c r="C49" s="21">
        <f>"Q"&amp;ROUNDUP(MONTH(A49)/3,0)</f>
        <v/>
      </c>
      <c r="D49" s="21">
        <f>B49&amp;" "&amp;C49</f>
        <v/>
      </c>
      <c r="E49" s="35">
        <f>Raw_Nationwide!B46</f>
        <v/>
      </c>
      <c r="F49" s="35">
        <f>Raw_Nationwide!D46</f>
        <v/>
      </c>
      <c r="G49" s="36">
        <f>IFERROR(INDEX(CPI_Index,MATCH(B49,CPI_Year,0)),"")</f>
        <v/>
      </c>
      <c r="H49" s="37">
        <f>IF(G49="","",E49*100/G49)</f>
        <v/>
      </c>
      <c r="I49" s="38">
        <f>E49/E45-1</f>
        <v/>
      </c>
      <c r="J49" s="38">
        <f>IF(OR(H49="",H45=""),"",H49/H45-1)</f>
        <v/>
      </c>
      <c r="K49" s="39">
        <f>IF(Raw_Nationwide!C46="","",Raw_Nationwide!C46/100)</f>
        <v/>
      </c>
      <c r="L49" s="40">
        <f>IF(K49="","",(I49-K49)*100)</f>
        <v/>
      </c>
      <c r="M49" s="37">
        <f>IF(H49="","",MAX(H$5:H49))</f>
        <v/>
      </c>
      <c r="N49" s="38">
        <f>IF(H49="","",H49/M49-1)</f>
        <v/>
      </c>
    </row>
    <row r="50">
      <c r="A50" s="34">
        <f>Raw_Nationwide!A47</f>
        <v/>
      </c>
      <c r="B50" s="21">
        <f>YEAR(A50)</f>
        <v/>
      </c>
      <c r="C50" s="21">
        <f>"Q"&amp;ROUNDUP(MONTH(A50)/3,0)</f>
        <v/>
      </c>
      <c r="D50" s="21">
        <f>B50&amp;" "&amp;C50</f>
        <v/>
      </c>
      <c r="E50" s="35">
        <f>Raw_Nationwide!B47</f>
        <v/>
      </c>
      <c r="F50" s="35">
        <f>Raw_Nationwide!D47</f>
        <v/>
      </c>
      <c r="G50" s="36">
        <f>IFERROR(INDEX(CPI_Index,MATCH(B50,CPI_Year,0)),"")</f>
        <v/>
      </c>
      <c r="H50" s="37">
        <f>IF(G50="","",E50*100/G50)</f>
        <v/>
      </c>
      <c r="I50" s="38">
        <f>E50/E46-1</f>
        <v/>
      </c>
      <c r="J50" s="38">
        <f>IF(OR(H50="",H46=""),"",H50/H46-1)</f>
        <v/>
      </c>
      <c r="K50" s="39">
        <f>IF(Raw_Nationwide!C47="","",Raw_Nationwide!C47/100)</f>
        <v/>
      </c>
      <c r="L50" s="40">
        <f>IF(K50="","",(I50-K50)*100)</f>
        <v/>
      </c>
      <c r="M50" s="37">
        <f>IF(H50="","",MAX(H$5:H50))</f>
        <v/>
      </c>
      <c r="N50" s="38">
        <f>IF(H50="","",H50/M50-1)</f>
        <v/>
      </c>
    </row>
    <row r="51">
      <c r="A51" s="34">
        <f>Raw_Nationwide!A48</f>
        <v/>
      </c>
      <c r="B51" s="21">
        <f>YEAR(A51)</f>
        <v/>
      </c>
      <c r="C51" s="21">
        <f>"Q"&amp;ROUNDUP(MONTH(A51)/3,0)</f>
        <v/>
      </c>
      <c r="D51" s="21">
        <f>B51&amp;" "&amp;C51</f>
        <v/>
      </c>
      <c r="E51" s="35">
        <f>Raw_Nationwide!B48</f>
        <v/>
      </c>
      <c r="F51" s="35">
        <f>Raw_Nationwide!D48</f>
        <v/>
      </c>
      <c r="G51" s="36">
        <f>IFERROR(INDEX(CPI_Index,MATCH(B51,CPI_Year,0)),"")</f>
        <v/>
      </c>
      <c r="H51" s="37">
        <f>IF(G51="","",E51*100/G51)</f>
        <v/>
      </c>
      <c r="I51" s="38">
        <f>E51/E47-1</f>
        <v/>
      </c>
      <c r="J51" s="38">
        <f>IF(OR(H51="",H47=""),"",H51/H47-1)</f>
        <v/>
      </c>
      <c r="K51" s="39">
        <f>IF(Raw_Nationwide!C48="","",Raw_Nationwide!C48/100)</f>
        <v/>
      </c>
      <c r="L51" s="40">
        <f>IF(K51="","",(I51-K51)*100)</f>
        <v/>
      </c>
      <c r="M51" s="37">
        <f>IF(H51="","",MAX(H$5:H51))</f>
        <v/>
      </c>
      <c r="N51" s="38">
        <f>IF(H51="","",H51/M51-1)</f>
        <v/>
      </c>
    </row>
    <row r="52">
      <c r="A52" s="34">
        <f>Raw_Nationwide!A49</f>
        <v/>
      </c>
      <c r="B52" s="21">
        <f>YEAR(A52)</f>
        <v/>
      </c>
      <c r="C52" s="21">
        <f>"Q"&amp;ROUNDUP(MONTH(A52)/3,0)</f>
        <v/>
      </c>
      <c r="D52" s="21">
        <f>B52&amp;" "&amp;C52</f>
        <v/>
      </c>
      <c r="E52" s="35">
        <f>Raw_Nationwide!B49</f>
        <v/>
      </c>
      <c r="F52" s="35">
        <f>Raw_Nationwide!D49</f>
        <v/>
      </c>
      <c r="G52" s="36">
        <f>IFERROR(INDEX(CPI_Index,MATCH(B52,CPI_Year,0)),"")</f>
        <v/>
      </c>
      <c r="H52" s="37">
        <f>IF(G52="","",E52*100/G52)</f>
        <v/>
      </c>
      <c r="I52" s="38">
        <f>E52/E48-1</f>
        <v/>
      </c>
      <c r="J52" s="38">
        <f>IF(OR(H52="",H48=""),"",H52/H48-1)</f>
        <v/>
      </c>
      <c r="K52" s="39">
        <f>IF(Raw_Nationwide!C49="","",Raw_Nationwide!C49/100)</f>
        <v/>
      </c>
      <c r="L52" s="40">
        <f>IF(K52="","",(I52-K52)*100)</f>
        <v/>
      </c>
      <c r="M52" s="37">
        <f>IF(H52="","",MAX(H$5:H52))</f>
        <v/>
      </c>
      <c r="N52" s="38">
        <f>IF(H52="","",H52/M52-1)</f>
        <v/>
      </c>
    </row>
    <row r="53">
      <c r="A53" s="34">
        <f>Raw_Nationwide!A50</f>
        <v/>
      </c>
      <c r="B53" s="21">
        <f>YEAR(A53)</f>
        <v/>
      </c>
      <c r="C53" s="21">
        <f>"Q"&amp;ROUNDUP(MONTH(A53)/3,0)</f>
        <v/>
      </c>
      <c r="D53" s="21">
        <f>B53&amp;" "&amp;C53</f>
        <v/>
      </c>
      <c r="E53" s="35">
        <f>Raw_Nationwide!B50</f>
        <v/>
      </c>
      <c r="F53" s="35">
        <f>Raw_Nationwide!D50</f>
        <v/>
      </c>
      <c r="G53" s="36">
        <f>IFERROR(INDEX(CPI_Index,MATCH(B53,CPI_Year,0)),"")</f>
        <v/>
      </c>
      <c r="H53" s="37">
        <f>IF(G53="","",E53*100/G53)</f>
        <v/>
      </c>
      <c r="I53" s="38">
        <f>E53/E49-1</f>
        <v/>
      </c>
      <c r="J53" s="38">
        <f>IF(OR(H53="",H49=""),"",H53/H49-1)</f>
        <v/>
      </c>
      <c r="K53" s="39">
        <f>IF(Raw_Nationwide!C50="","",Raw_Nationwide!C50/100)</f>
        <v/>
      </c>
      <c r="L53" s="40">
        <f>IF(K53="","",(I53-K53)*100)</f>
        <v/>
      </c>
      <c r="M53" s="37">
        <f>IF(H53="","",MAX(H$5:H53))</f>
        <v/>
      </c>
      <c r="N53" s="38">
        <f>IF(H53="","",H53/M53-1)</f>
        <v/>
      </c>
    </row>
    <row r="54">
      <c r="A54" s="34">
        <f>Raw_Nationwide!A51</f>
        <v/>
      </c>
      <c r="B54" s="21">
        <f>YEAR(A54)</f>
        <v/>
      </c>
      <c r="C54" s="21">
        <f>"Q"&amp;ROUNDUP(MONTH(A54)/3,0)</f>
        <v/>
      </c>
      <c r="D54" s="21">
        <f>B54&amp;" "&amp;C54</f>
        <v/>
      </c>
      <c r="E54" s="35">
        <f>Raw_Nationwide!B51</f>
        <v/>
      </c>
      <c r="F54" s="35">
        <f>Raw_Nationwide!D51</f>
        <v/>
      </c>
      <c r="G54" s="36">
        <f>IFERROR(INDEX(CPI_Index,MATCH(B54,CPI_Year,0)),"")</f>
        <v/>
      </c>
      <c r="H54" s="37">
        <f>IF(G54="","",E54*100/G54)</f>
        <v/>
      </c>
      <c r="I54" s="38">
        <f>E54/E50-1</f>
        <v/>
      </c>
      <c r="J54" s="38">
        <f>IF(OR(H54="",H50=""),"",H54/H50-1)</f>
        <v/>
      </c>
      <c r="K54" s="39">
        <f>IF(Raw_Nationwide!C51="","",Raw_Nationwide!C51/100)</f>
        <v/>
      </c>
      <c r="L54" s="40">
        <f>IF(K54="","",(I54-K54)*100)</f>
        <v/>
      </c>
      <c r="M54" s="37">
        <f>IF(H54="","",MAX(H$5:H54))</f>
        <v/>
      </c>
      <c r="N54" s="38">
        <f>IF(H54="","",H54/M54-1)</f>
        <v/>
      </c>
    </row>
    <row r="55">
      <c r="A55" s="34">
        <f>Raw_Nationwide!A52</f>
        <v/>
      </c>
      <c r="B55" s="21">
        <f>YEAR(A55)</f>
        <v/>
      </c>
      <c r="C55" s="21">
        <f>"Q"&amp;ROUNDUP(MONTH(A55)/3,0)</f>
        <v/>
      </c>
      <c r="D55" s="21">
        <f>B55&amp;" "&amp;C55</f>
        <v/>
      </c>
      <c r="E55" s="35">
        <f>Raw_Nationwide!B52</f>
        <v/>
      </c>
      <c r="F55" s="35">
        <f>Raw_Nationwide!D52</f>
        <v/>
      </c>
      <c r="G55" s="36">
        <f>IFERROR(INDEX(CPI_Index,MATCH(B55,CPI_Year,0)),"")</f>
        <v/>
      </c>
      <c r="H55" s="37">
        <f>IF(G55="","",E55*100/G55)</f>
        <v/>
      </c>
      <c r="I55" s="38">
        <f>E55/E51-1</f>
        <v/>
      </c>
      <c r="J55" s="38">
        <f>IF(OR(H55="",H51=""),"",H55/H51-1)</f>
        <v/>
      </c>
      <c r="K55" s="39">
        <f>IF(Raw_Nationwide!C52="","",Raw_Nationwide!C52/100)</f>
        <v/>
      </c>
      <c r="L55" s="40">
        <f>IF(K55="","",(I55-K55)*100)</f>
        <v/>
      </c>
      <c r="M55" s="37">
        <f>IF(H55="","",MAX(H$5:H55))</f>
        <v/>
      </c>
      <c r="N55" s="38">
        <f>IF(H55="","",H55/M55-1)</f>
        <v/>
      </c>
    </row>
    <row r="56">
      <c r="A56" s="34">
        <f>Raw_Nationwide!A53</f>
        <v/>
      </c>
      <c r="B56" s="21">
        <f>YEAR(A56)</f>
        <v/>
      </c>
      <c r="C56" s="21">
        <f>"Q"&amp;ROUNDUP(MONTH(A56)/3,0)</f>
        <v/>
      </c>
      <c r="D56" s="21">
        <f>B56&amp;" "&amp;C56</f>
        <v/>
      </c>
      <c r="E56" s="35">
        <f>Raw_Nationwide!B53</f>
        <v/>
      </c>
      <c r="F56" s="35">
        <f>Raw_Nationwide!D53</f>
        <v/>
      </c>
      <c r="G56" s="36">
        <f>IFERROR(INDEX(CPI_Index,MATCH(B56,CPI_Year,0)),"")</f>
        <v/>
      </c>
      <c r="H56" s="37">
        <f>IF(G56="","",E56*100/G56)</f>
        <v/>
      </c>
      <c r="I56" s="38">
        <f>E56/E52-1</f>
        <v/>
      </c>
      <c r="J56" s="38">
        <f>IF(OR(H56="",H52=""),"",H56/H52-1)</f>
        <v/>
      </c>
      <c r="K56" s="39">
        <f>IF(Raw_Nationwide!C53="","",Raw_Nationwide!C53/100)</f>
        <v/>
      </c>
      <c r="L56" s="40">
        <f>IF(K56="","",(I56-K56)*100)</f>
        <v/>
      </c>
      <c r="M56" s="37">
        <f>IF(H56="","",MAX(H$5:H56))</f>
        <v/>
      </c>
      <c r="N56" s="38">
        <f>IF(H56="","",H56/M56-1)</f>
        <v/>
      </c>
    </row>
    <row r="57">
      <c r="A57" s="34">
        <f>Raw_Nationwide!A54</f>
        <v/>
      </c>
      <c r="B57" s="21">
        <f>YEAR(A57)</f>
        <v/>
      </c>
      <c r="C57" s="21">
        <f>"Q"&amp;ROUNDUP(MONTH(A57)/3,0)</f>
        <v/>
      </c>
      <c r="D57" s="21">
        <f>B57&amp;" "&amp;C57</f>
        <v/>
      </c>
      <c r="E57" s="35">
        <f>Raw_Nationwide!B54</f>
        <v/>
      </c>
      <c r="F57" s="35">
        <f>Raw_Nationwide!D54</f>
        <v/>
      </c>
      <c r="G57" s="36">
        <f>IFERROR(INDEX(CPI_Index,MATCH(B57,CPI_Year,0)),"")</f>
        <v/>
      </c>
      <c r="H57" s="37">
        <f>IF(G57="","",E57*100/G57)</f>
        <v/>
      </c>
      <c r="I57" s="38">
        <f>E57/E53-1</f>
        <v/>
      </c>
      <c r="J57" s="38">
        <f>IF(OR(H57="",H53=""),"",H57/H53-1)</f>
        <v/>
      </c>
      <c r="K57" s="39">
        <f>IF(Raw_Nationwide!C54="","",Raw_Nationwide!C54/100)</f>
        <v/>
      </c>
      <c r="L57" s="40">
        <f>IF(K57="","",(I57-K57)*100)</f>
        <v/>
      </c>
      <c r="M57" s="37">
        <f>IF(H57="","",MAX(H$5:H57))</f>
        <v/>
      </c>
      <c r="N57" s="38">
        <f>IF(H57="","",H57/M57-1)</f>
        <v/>
      </c>
    </row>
    <row r="58">
      <c r="A58" s="34">
        <f>Raw_Nationwide!A55</f>
        <v/>
      </c>
      <c r="B58" s="21">
        <f>YEAR(A58)</f>
        <v/>
      </c>
      <c r="C58" s="21">
        <f>"Q"&amp;ROUNDUP(MONTH(A58)/3,0)</f>
        <v/>
      </c>
      <c r="D58" s="21">
        <f>B58&amp;" "&amp;C58</f>
        <v/>
      </c>
      <c r="E58" s="35">
        <f>Raw_Nationwide!B55</f>
        <v/>
      </c>
      <c r="F58" s="35">
        <f>Raw_Nationwide!D55</f>
        <v/>
      </c>
      <c r="G58" s="36">
        <f>IFERROR(INDEX(CPI_Index,MATCH(B58,CPI_Year,0)),"")</f>
        <v/>
      </c>
      <c r="H58" s="37">
        <f>IF(G58="","",E58*100/G58)</f>
        <v/>
      </c>
      <c r="I58" s="38">
        <f>E58/E54-1</f>
        <v/>
      </c>
      <c r="J58" s="38">
        <f>IF(OR(H58="",H54=""),"",H58/H54-1)</f>
        <v/>
      </c>
      <c r="K58" s="39">
        <f>IF(Raw_Nationwide!C55="","",Raw_Nationwide!C55/100)</f>
        <v/>
      </c>
      <c r="L58" s="40">
        <f>IF(K58="","",(I58-K58)*100)</f>
        <v/>
      </c>
      <c r="M58" s="37">
        <f>IF(H58="","",MAX(H$5:H58))</f>
        <v/>
      </c>
      <c r="N58" s="38">
        <f>IF(H58="","",H58/M58-1)</f>
        <v/>
      </c>
    </row>
    <row r="59">
      <c r="A59" s="34">
        <f>Raw_Nationwide!A56</f>
        <v/>
      </c>
      <c r="B59" s="21">
        <f>YEAR(A59)</f>
        <v/>
      </c>
      <c r="C59" s="21">
        <f>"Q"&amp;ROUNDUP(MONTH(A59)/3,0)</f>
        <v/>
      </c>
      <c r="D59" s="21">
        <f>B59&amp;" "&amp;C59</f>
        <v/>
      </c>
      <c r="E59" s="35">
        <f>Raw_Nationwide!B56</f>
        <v/>
      </c>
      <c r="F59" s="35">
        <f>Raw_Nationwide!D56</f>
        <v/>
      </c>
      <c r="G59" s="36">
        <f>IFERROR(INDEX(CPI_Index,MATCH(B59,CPI_Year,0)),"")</f>
        <v/>
      </c>
      <c r="H59" s="37">
        <f>IF(G59="","",E59*100/G59)</f>
        <v/>
      </c>
      <c r="I59" s="38">
        <f>E59/E55-1</f>
        <v/>
      </c>
      <c r="J59" s="38">
        <f>IF(OR(H59="",H55=""),"",H59/H55-1)</f>
        <v/>
      </c>
      <c r="K59" s="39">
        <f>IF(Raw_Nationwide!C56="","",Raw_Nationwide!C56/100)</f>
        <v/>
      </c>
      <c r="L59" s="40">
        <f>IF(K59="","",(I59-K59)*100)</f>
        <v/>
      </c>
      <c r="M59" s="37">
        <f>IF(H59="","",MAX(H$5:H59))</f>
        <v/>
      </c>
      <c r="N59" s="38">
        <f>IF(H59="","",H59/M59-1)</f>
        <v/>
      </c>
    </row>
    <row r="60">
      <c r="A60" s="34">
        <f>Raw_Nationwide!A57</f>
        <v/>
      </c>
      <c r="B60" s="21">
        <f>YEAR(A60)</f>
        <v/>
      </c>
      <c r="C60" s="21">
        <f>"Q"&amp;ROUNDUP(MONTH(A60)/3,0)</f>
        <v/>
      </c>
      <c r="D60" s="21">
        <f>B60&amp;" "&amp;C60</f>
        <v/>
      </c>
      <c r="E60" s="35">
        <f>Raw_Nationwide!B57</f>
        <v/>
      </c>
      <c r="F60" s="35">
        <f>Raw_Nationwide!D57</f>
        <v/>
      </c>
      <c r="G60" s="36">
        <f>IFERROR(INDEX(CPI_Index,MATCH(B60,CPI_Year,0)),"")</f>
        <v/>
      </c>
      <c r="H60" s="37">
        <f>IF(G60="","",E60*100/G60)</f>
        <v/>
      </c>
      <c r="I60" s="38">
        <f>E60/E56-1</f>
        <v/>
      </c>
      <c r="J60" s="38">
        <f>IF(OR(H60="",H56=""),"",H60/H56-1)</f>
        <v/>
      </c>
      <c r="K60" s="39">
        <f>IF(Raw_Nationwide!C57="","",Raw_Nationwide!C57/100)</f>
        <v/>
      </c>
      <c r="L60" s="40">
        <f>IF(K60="","",(I60-K60)*100)</f>
        <v/>
      </c>
      <c r="M60" s="37">
        <f>IF(H60="","",MAX(H$5:H60))</f>
        <v/>
      </c>
      <c r="N60" s="38">
        <f>IF(H60="","",H60/M60-1)</f>
        <v/>
      </c>
    </row>
    <row r="61">
      <c r="A61" s="34">
        <f>Raw_Nationwide!A58</f>
        <v/>
      </c>
      <c r="B61" s="21">
        <f>YEAR(A61)</f>
        <v/>
      </c>
      <c r="C61" s="21">
        <f>"Q"&amp;ROUNDUP(MONTH(A61)/3,0)</f>
        <v/>
      </c>
      <c r="D61" s="21">
        <f>B61&amp;" "&amp;C61</f>
        <v/>
      </c>
      <c r="E61" s="35">
        <f>Raw_Nationwide!B58</f>
        <v/>
      </c>
      <c r="F61" s="35">
        <f>Raw_Nationwide!D58</f>
        <v/>
      </c>
      <c r="G61" s="36">
        <f>IFERROR(INDEX(CPI_Index,MATCH(B61,CPI_Year,0)),"")</f>
        <v/>
      </c>
      <c r="H61" s="37">
        <f>IF(G61="","",E61*100/G61)</f>
        <v/>
      </c>
      <c r="I61" s="38">
        <f>E61/E57-1</f>
        <v/>
      </c>
      <c r="J61" s="38">
        <f>IF(OR(H61="",H57=""),"",H61/H57-1)</f>
        <v/>
      </c>
      <c r="K61" s="39">
        <f>IF(Raw_Nationwide!C58="","",Raw_Nationwide!C58/100)</f>
        <v/>
      </c>
      <c r="L61" s="40">
        <f>IF(K61="","",(I61-K61)*100)</f>
        <v/>
      </c>
      <c r="M61" s="37">
        <f>IF(H61="","",MAX(H$5:H61))</f>
        <v/>
      </c>
      <c r="N61" s="38">
        <f>IF(H61="","",H61/M61-1)</f>
        <v/>
      </c>
    </row>
    <row r="62">
      <c r="A62" s="34">
        <f>Raw_Nationwide!A59</f>
        <v/>
      </c>
      <c r="B62" s="21">
        <f>YEAR(A62)</f>
        <v/>
      </c>
      <c r="C62" s="21">
        <f>"Q"&amp;ROUNDUP(MONTH(A62)/3,0)</f>
        <v/>
      </c>
      <c r="D62" s="21">
        <f>B62&amp;" "&amp;C62</f>
        <v/>
      </c>
      <c r="E62" s="35">
        <f>Raw_Nationwide!B59</f>
        <v/>
      </c>
      <c r="F62" s="35">
        <f>Raw_Nationwide!D59</f>
        <v/>
      </c>
      <c r="G62" s="36">
        <f>IFERROR(INDEX(CPI_Index,MATCH(B62,CPI_Year,0)),"")</f>
        <v/>
      </c>
      <c r="H62" s="37">
        <f>IF(G62="","",E62*100/G62)</f>
        <v/>
      </c>
      <c r="I62" s="38">
        <f>E62/E58-1</f>
        <v/>
      </c>
      <c r="J62" s="38">
        <f>IF(OR(H62="",H58=""),"",H62/H58-1)</f>
        <v/>
      </c>
      <c r="K62" s="39">
        <f>IF(Raw_Nationwide!C59="","",Raw_Nationwide!C59/100)</f>
        <v/>
      </c>
      <c r="L62" s="40">
        <f>IF(K62="","",(I62-K62)*100)</f>
        <v/>
      </c>
      <c r="M62" s="37">
        <f>IF(H62="","",MAX(H$5:H62))</f>
        <v/>
      </c>
      <c r="N62" s="38">
        <f>IF(H62="","",H62/M62-1)</f>
        <v/>
      </c>
    </row>
    <row r="63">
      <c r="A63" s="34">
        <f>Raw_Nationwide!A60</f>
        <v/>
      </c>
      <c r="B63" s="21">
        <f>YEAR(A63)</f>
        <v/>
      </c>
      <c r="C63" s="21">
        <f>"Q"&amp;ROUNDUP(MONTH(A63)/3,0)</f>
        <v/>
      </c>
      <c r="D63" s="21">
        <f>B63&amp;" "&amp;C63</f>
        <v/>
      </c>
      <c r="E63" s="35">
        <f>Raw_Nationwide!B60</f>
        <v/>
      </c>
      <c r="F63" s="35">
        <f>Raw_Nationwide!D60</f>
        <v/>
      </c>
      <c r="G63" s="36">
        <f>IFERROR(INDEX(CPI_Index,MATCH(B63,CPI_Year,0)),"")</f>
        <v/>
      </c>
      <c r="H63" s="37">
        <f>IF(G63="","",E63*100/G63)</f>
        <v/>
      </c>
      <c r="I63" s="38">
        <f>E63/E59-1</f>
        <v/>
      </c>
      <c r="J63" s="38">
        <f>IF(OR(H63="",H59=""),"",H63/H59-1)</f>
        <v/>
      </c>
      <c r="K63" s="39">
        <f>IF(Raw_Nationwide!C60="","",Raw_Nationwide!C60/100)</f>
        <v/>
      </c>
      <c r="L63" s="40">
        <f>IF(K63="","",(I63-K63)*100)</f>
        <v/>
      </c>
      <c r="M63" s="37">
        <f>IF(H63="","",MAX(H$5:H63))</f>
        <v/>
      </c>
      <c r="N63" s="38">
        <f>IF(H63="","",H63/M63-1)</f>
        <v/>
      </c>
    </row>
    <row r="64">
      <c r="A64" s="34">
        <f>Raw_Nationwide!A61</f>
        <v/>
      </c>
      <c r="B64" s="21">
        <f>YEAR(A64)</f>
        <v/>
      </c>
      <c r="C64" s="21">
        <f>"Q"&amp;ROUNDUP(MONTH(A64)/3,0)</f>
        <v/>
      </c>
      <c r="D64" s="21">
        <f>B64&amp;" "&amp;C64</f>
        <v/>
      </c>
      <c r="E64" s="35">
        <f>Raw_Nationwide!B61</f>
        <v/>
      </c>
      <c r="F64" s="35">
        <f>Raw_Nationwide!D61</f>
        <v/>
      </c>
      <c r="G64" s="36">
        <f>IFERROR(INDEX(CPI_Index,MATCH(B64,CPI_Year,0)),"")</f>
        <v/>
      </c>
      <c r="H64" s="37">
        <f>IF(G64="","",E64*100/G64)</f>
        <v/>
      </c>
      <c r="I64" s="38">
        <f>E64/E60-1</f>
        <v/>
      </c>
      <c r="J64" s="38">
        <f>IF(OR(H64="",H60=""),"",H64/H60-1)</f>
        <v/>
      </c>
      <c r="K64" s="39">
        <f>IF(Raw_Nationwide!C61="","",Raw_Nationwide!C61/100)</f>
        <v/>
      </c>
      <c r="L64" s="40">
        <f>IF(K64="","",(I64-K64)*100)</f>
        <v/>
      </c>
      <c r="M64" s="37">
        <f>IF(H64="","",MAX(H$5:H64))</f>
        <v/>
      </c>
      <c r="N64" s="38">
        <f>IF(H64="","",H64/M64-1)</f>
        <v/>
      </c>
    </row>
    <row r="65">
      <c r="A65" s="34">
        <f>Raw_Nationwide!A62</f>
        <v/>
      </c>
      <c r="B65" s="21">
        <f>YEAR(A65)</f>
        <v/>
      </c>
      <c r="C65" s="21">
        <f>"Q"&amp;ROUNDUP(MONTH(A65)/3,0)</f>
        <v/>
      </c>
      <c r="D65" s="21">
        <f>B65&amp;" "&amp;C65</f>
        <v/>
      </c>
      <c r="E65" s="35">
        <f>Raw_Nationwide!B62</f>
        <v/>
      </c>
      <c r="F65" s="35">
        <f>Raw_Nationwide!D62</f>
        <v/>
      </c>
      <c r="G65" s="36">
        <f>IFERROR(INDEX(CPI_Index,MATCH(B65,CPI_Year,0)),"")</f>
        <v/>
      </c>
      <c r="H65" s="37">
        <f>IF(G65="","",E65*100/G65)</f>
        <v/>
      </c>
      <c r="I65" s="38">
        <f>E65/E61-1</f>
        <v/>
      </c>
      <c r="J65" s="38">
        <f>IF(OR(H65="",H61=""),"",H65/H61-1)</f>
        <v/>
      </c>
      <c r="K65" s="39">
        <f>IF(Raw_Nationwide!C62="","",Raw_Nationwide!C62/100)</f>
        <v/>
      </c>
      <c r="L65" s="40">
        <f>IF(K65="","",(I65-K65)*100)</f>
        <v/>
      </c>
      <c r="M65" s="37">
        <f>IF(H65="","",MAX(H$5:H65))</f>
        <v/>
      </c>
      <c r="N65" s="38">
        <f>IF(H65="","",H65/M65-1)</f>
        <v/>
      </c>
    </row>
    <row r="66">
      <c r="A66" s="34">
        <f>Raw_Nationwide!A63</f>
        <v/>
      </c>
      <c r="B66" s="21">
        <f>YEAR(A66)</f>
        <v/>
      </c>
      <c r="C66" s="21">
        <f>"Q"&amp;ROUNDUP(MONTH(A66)/3,0)</f>
        <v/>
      </c>
      <c r="D66" s="21">
        <f>B66&amp;" "&amp;C66</f>
        <v/>
      </c>
      <c r="E66" s="35">
        <f>Raw_Nationwide!B63</f>
        <v/>
      </c>
      <c r="F66" s="35">
        <f>Raw_Nationwide!D63</f>
        <v/>
      </c>
      <c r="G66" s="36">
        <f>IFERROR(INDEX(CPI_Index,MATCH(B66,CPI_Year,0)),"")</f>
        <v/>
      </c>
      <c r="H66" s="37">
        <f>IF(G66="","",E66*100/G66)</f>
        <v/>
      </c>
      <c r="I66" s="38">
        <f>E66/E62-1</f>
        <v/>
      </c>
      <c r="J66" s="38">
        <f>IF(OR(H66="",H62=""),"",H66/H62-1)</f>
        <v/>
      </c>
      <c r="K66" s="39">
        <f>IF(Raw_Nationwide!C63="","",Raw_Nationwide!C63/100)</f>
        <v/>
      </c>
      <c r="L66" s="40">
        <f>IF(K66="","",(I66-K66)*100)</f>
        <v/>
      </c>
      <c r="M66" s="37">
        <f>IF(H66="","",MAX(H$5:H66))</f>
        <v/>
      </c>
      <c r="N66" s="38">
        <f>IF(H66="","",H66/M66-1)</f>
        <v/>
      </c>
    </row>
    <row r="67">
      <c r="A67" s="34">
        <f>Raw_Nationwide!A64</f>
        <v/>
      </c>
      <c r="B67" s="21">
        <f>YEAR(A67)</f>
        <v/>
      </c>
      <c r="C67" s="21">
        <f>"Q"&amp;ROUNDUP(MONTH(A67)/3,0)</f>
        <v/>
      </c>
      <c r="D67" s="21">
        <f>B67&amp;" "&amp;C67</f>
        <v/>
      </c>
      <c r="E67" s="35">
        <f>Raw_Nationwide!B64</f>
        <v/>
      </c>
      <c r="F67" s="35">
        <f>Raw_Nationwide!D64</f>
        <v/>
      </c>
      <c r="G67" s="36">
        <f>IFERROR(INDEX(CPI_Index,MATCH(B67,CPI_Year,0)),"")</f>
        <v/>
      </c>
      <c r="H67" s="37">
        <f>IF(G67="","",E67*100/G67)</f>
        <v/>
      </c>
      <c r="I67" s="38">
        <f>E67/E63-1</f>
        <v/>
      </c>
      <c r="J67" s="38">
        <f>IF(OR(H67="",H63=""),"",H67/H63-1)</f>
        <v/>
      </c>
      <c r="K67" s="39">
        <f>IF(Raw_Nationwide!C64="","",Raw_Nationwide!C64/100)</f>
        <v/>
      </c>
      <c r="L67" s="40">
        <f>IF(K67="","",(I67-K67)*100)</f>
        <v/>
      </c>
      <c r="M67" s="37">
        <f>IF(H67="","",MAX(H$5:H67))</f>
        <v/>
      </c>
      <c r="N67" s="38">
        <f>IF(H67="","",H67/M67-1)</f>
        <v/>
      </c>
    </row>
    <row r="68">
      <c r="A68" s="34">
        <f>Raw_Nationwide!A65</f>
        <v/>
      </c>
      <c r="B68" s="21">
        <f>YEAR(A68)</f>
        <v/>
      </c>
      <c r="C68" s="21">
        <f>"Q"&amp;ROUNDUP(MONTH(A68)/3,0)</f>
        <v/>
      </c>
      <c r="D68" s="21">
        <f>B68&amp;" "&amp;C68</f>
        <v/>
      </c>
      <c r="E68" s="35">
        <f>Raw_Nationwide!B65</f>
        <v/>
      </c>
      <c r="F68" s="35">
        <f>Raw_Nationwide!D65</f>
        <v/>
      </c>
      <c r="G68" s="36">
        <f>IFERROR(INDEX(CPI_Index,MATCH(B68,CPI_Year,0)),"")</f>
        <v/>
      </c>
      <c r="H68" s="37">
        <f>IF(G68="","",E68*100/G68)</f>
        <v/>
      </c>
      <c r="I68" s="38">
        <f>E68/E64-1</f>
        <v/>
      </c>
      <c r="J68" s="38">
        <f>IF(OR(H68="",H64=""),"",H68/H64-1)</f>
        <v/>
      </c>
      <c r="K68" s="39">
        <f>IF(Raw_Nationwide!C65="","",Raw_Nationwide!C65/100)</f>
        <v/>
      </c>
      <c r="L68" s="40">
        <f>IF(K68="","",(I68-K68)*100)</f>
        <v/>
      </c>
      <c r="M68" s="37">
        <f>IF(H68="","",MAX(H$5:H68))</f>
        <v/>
      </c>
      <c r="N68" s="38">
        <f>IF(H68="","",H68/M68-1)</f>
        <v/>
      </c>
    </row>
    <row r="69">
      <c r="A69" s="34">
        <f>Raw_Nationwide!A66</f>
        <v/>
      </c>
      <c r="B69" s="21">
        <f>YEAR(A69)</f>
        <v/>
      </c>
      <c r="C69" s="21">
        <f>"Q"&amp;ROUNDUP(MONTH(A69)/3,0)</f>
        <v/>
      </c>
      <c r="D69" s="21">
        <f>B69&amp;" "&amp;C69</f>
        <v/>
      </c>
      <c r="E69" s="35">
        <f>Raw_Nationwide!B66</f>
        <v/>
      </c>
      <c r="F69" s="35">
        <f>Raw_Nationwide!D66</f>
        <v/>
      </c>
      <c r="G69" s="36">
        <f>IFERROR(INDEX(CPI_Index,MATCH(B69,CPI_Year,0)),"")</f>
        <v/>
      </c>
      <c r="H69" s="37">
        <f>IF(G69="","",E69*100/G69)</f>
        <v/>
      </c>
      <c r="I69" s="38">
        <f>E69/E65-1</f>
        <v/>
      </c>
      <c r="J69" s="38">
        <f>IF(OR(H69="",H65=""),"",H69/H65-1)</f>
        <v/>
      </c>
      <c r="K69" s="39">
        <f>IF(Raw_Nationwide!C66="","",Raw_Nationwide!C66/100)</f>
        <v/>
      </c>
      <c r="L69" s="40">
        <f>IF(K69="","",(I69-K69)*100)</f>
        <v/>
      </c>
      <c r="M69" s="37">
        <f>IF(H69="","",MAX(H$5:H69))</f>
        <v/>
      </c>
      <c r="N69" s="38">
        <f>IF(H69="","",H69/M69-1)</f>
        <v/>
      </c>
    </row>
    <row r="70">
      <c r="A70" s="34">
        <f>Raw_Nationwide!A67</f>
        <v/>
      </c>
      <c r="B70" s="21">
        <f>YEAR(A70)</f>
        <v/>
      </c>
      <c r="C70" s="21">
        <f>"Q"&amp;ROUNDUP(MONTH(A70)/3,0)</f>
        <v/>
      </c>
      <c r="D70" s="21">
        <f>B70&amp;" "&amp;C70</f>
        <v/>
      </c>
      <c r="E70" s="35">
        <f>Raw_Nationwide!B67</f>
        <v/>
      </c>
      <c r="F70" s="35">
        <f>Raw_Nationwide!D67</f>
        <v/>
      </c>
      <c r="G70" s="36">
        <f>IFERROR(INDEX(CPI_Index,MATCH(B70,CPI_Year,0)),"")</f>
        <v/>
      </c>
      <c r="H70" s="37">
        <f>IF(G70="","",E70*100/G70)</f>
        <v/>
      </c>
      <c r="I70" s="38">
        <f>E70/E66-1</f>
        <v/>
      </c>
      <c r="J70" s="38">
        <f>IF(OR(H70="",H66=""),"",H70/H66-1)</f>
        <v/>
      </c>
      <c r="K70" s="39">
        <f>IF(Raw_Nationwide!C67="","",Raw_Nationwide!C67/100)</f>
        <v/>
      </c>
      <c r="L70" s="40">
        <f>IF(K70="","",(I70-K70)*100)</f>
        <v/>
      </c>
      <c r="M70" s="37">
        <f>IF(H70="","",MAX(H$5:H70))</f>
        <v/>
      </c>
      <c r="N70" s="38">
        <f>IF(H70="","",H70/M70-1)</f>
        <v/>
      </c>
    </row>
    <row r="71">
      <c r="A71" s="34">
        <f>Raw_Nationwide!A68</f>
        <v/>
      </c>
      <c r="B71" s="21">
        <f>YEAR(A71)</f>
        <v/>
      </c>
      <c r="C71" s="21">
        <f>"Q"&amp;ROUNDUP(MONTH(A71)/3,0)</f>
        <v/>
      </c>
      <c r="D71" s="21">
        <f>B71&amp;" "&amp;C71</f>
        <v/>
      </c>
      <c r="E71" s="35">
        <f>Raw_Nationwide!B68</f>
        <v/>
      </c>
      <c r="F71" s="35">
        <f>Raw_Nationwide!D68</f>
        <v/>
      </c>
      <c r="G71" s="36">
        <f>IFERROR(INDEX(CPI_Index,MATCH(B71,CPI_Year,0)),"")</f>
        <v/>
      </c>
      <c r="H71" s="37">
        <f>IF(G71="","",E71*100/G71)</f>
        <v/>
      </c>
      <c r="I71" s="38">
        <f>E71/E67-1</f>
        <v/>
      </c>
      <c r="J71" s="38">
        <f>IF(OR(H71="",H67=""),"",H71/H67-1)</f>
        <v/>
      </c>
      <c r="K71" s="39">
        <f>IF(Raw_Nationwide!C68="","",Raw_Nationwide!C68/100)</f>
        <v/>
      </c>
      <c r="L71" s="40">
        <f>IF(K71="","",(I71-K71)*100)</f>
        <v/>
      </c>
      <c r="M71" s="37">
        <f>IF(H71="","",MAX(H$5:H71))</f>
        <v/>
      </c>
      <c r="N71" s="38">
        <f>IF(H71="","",H71/M71-1)</f>
        <v/>
      </c>
    </row>
    <row r="72">
      <c r="A72" s="34">
        <f>Raw_Nationwide!A69</f>
        <v/>
      </c>
      <c r="B72" s="21">
        <f>YEAR(A72)</f>
        <v/>
      </c>
      <c r="C72" s="21">
        <f>"Q"&amp;ROUNDUP(MONTH(A72)/3,0)</f>
        <v/>
      </c>
      <c r="D72" s="21">
        <f>B72&amp;" "&amp;C72</f>
        <v/>
      </c>
      <c r="E72" s="35">
        <f>Raw_Nationwide!B69</f>
        <v/>
      </c>
      <c r="F72" s="35">
        <f>Raw_Nationwide!D69</f>
        <v/>
      </c>
      <c r="G72" s="36">
        <f>IFERROR(INDEX(CPI_Index,MATCH(B72,CPI_Year,0)),"")</f>
        <v/>
      </c>
      <c r="H72" s="37">
        <f>IF(G72="","",E72*100/G72)</f>
        <v/>
      </c>
      <c r="I72" s="38">
        <f>E72/E68-1</f>
        <v/>
      </c>
      <c r="J72" s="38">
        <f>IF(OR(H72="",H68=""),"",H72/H68-1)</f>
        <v/>
      </c>
      <c r="K72" s="39">
        <f>IF(Raw_Nationwide!C69="","",Raw_Nationwide!C69/100)</f>
        <v/>
      </c>
      <c r="L72" s="40">
        <f>IF(K72="","",(I72-K72)*100)</f>
        <v/>
      </c>
      <c r="M72" s="37">
        <f>IF(H72="","",MAX(H$5:H72))</f>
        <v/>
      </c>
      <c r="N72" s="38">
        <f>IF(H72="","",H72/M72-1)</f>
        <v/>
      </c>
    </row>
    <row r="73">
      <c r="A73" s="34">
        <f>Raw_Nationwide!A70</f>
        <v/>
      </c>
      <c r="B73" s="21">
        <f>YEAR(A73)</f>
        <v/>
      </c>
      <c r="C73" s="21">
        <f>"Q"&amp;ROUNDUP(MONTH(A73)/3,0)</f>
        <v/>
      </c>
      <c r="D73" s="21">
        <f>B73&amp;" "&amp;C73</f>
        <v/>
      </c>
      <c r="E73" s="35">
        <f>Raw_Nationwide!B70</f>
        <v/>
      </c>
      <c r="F73" s="35">
        <f>Raw_Nationwide!D70</f>
        <v/>
      </c>
      <c r="G73" s="36">
        <f>IFERROR(INDEX(CPI_Index,MATCH(B73,CPI_Year,0)),"")</f>
        <v/>
      </c>
      <c r="H73" s="37">
        <f>IF(G73="","",E73*100/G73)</f>
        <v/>
      </c>
      <c r="I73" s="38">
        <f>E73/E69-1</f>
        <v/>
      </c>
      <c r="J73" s="38">
        <f>IF(OR(H73="",H69=""),"",H73/H69-1)</f>
        <v/>
      </c>
      <c r="K73" s="39">
        <f>IF(Raw_Nationwide!C70="","",Raw_Nationwide!C70/100)</f>
        <v/>
      </c>
      <c r="L73" s="40">
        <f>IF(K73="","",(I73-K73)*100)</f>
        <v/>
      </c>
      <c r="M73" s="37">
        <f>IF(H73="","",MAX(H$5:H73))</f>
        <v/>
      </c>
      <c r="N73" s="38">
        <f>IF(H73="","",H73/M73-1)</f>
        <v/>
      </c>
    </row>
    <row r="74">
      <c r="A74" s="34">
        <f>Raw_Nationwide!A71</f>
        <v/>
      </c>
      <c r="B74" s="21">
        <f>YEAR(A74)</f>
        <v/>
      </c>
      <c r="C74" s="21">
        <f>"Q"&amp;ROUNDUP(MONTH(A74)/3,0)</f>
        <v/>
      </c>
      <c r="D74" s="21">
        <f>B74&amp;" "&amp;C74</f>
        <v/>
      </c>
      <c r="E74" s="35">
        <f>Raw_Nationwide!B71</f>
        <v/>
      </c>
      <c r="F74" s="35">
        <f>Raw_Nationwide!D71</f>
        <v/>
      </c>
      <c r="G74" s="36">
        <f>IFERROR(INDEX(CPI_Index,MATCH(B74,CPI_Year,0)),"")</f>
        <v/>
      </c>
      <c r="H74" s="37">
        <f>IF(G74="","",E74*100/G74)</f>
        <v/>
      </c>
      <c r="I74" s="38">
        <f>E74/E70-1</f>
        <v/>
      </c>
      <c r="J74" s="38">
        <f>IF(OR(H74="",H70=""),"",H74/H70-1)</f>
        <v/>
      </c>
      <c r="K74" s="39">
        <f>IF(Raw_Nationwide!C71="","",Raw_Nationwide!C71/100)</f>
        <v/>
      </c>
      <c r="L74" s="40">
        <f>IF(K74="","",(I74-K74)*100)</f>
        <v/>
      </c>
      <c r="M74" s="37">
        <f>IF(H74="","",MAX(H$5:H74))</f>
        <v/>
      </c>
      <c r="N74" s="38">
        <f>IF(H74="","",H74/M74-1)</f>
        <v/>
      </c>
    </row>
    <row r="75">
      <c r="A75" s="34">
        <f>Raw_Nationwide!A72</f>
        <v/>
      </c>
      <c r="B75" s="21">
        <f>YEAR(A75)</f>
        <v/>
      </c>
      <c r="C75" s="21">
        <f>"Q"&amp;ROUNDUP(MONTH(A75)/3,0)</f>
        <v/>
      </c>
      <c r="D75" s="21">
        <f>B75&amp;" "&amp;C75</f>
        <v/>
      </c>
      <c r="E75" s="35">
        <f>Raw_Nationwide!B72</f>
        <v/>
      </c>
      <c r="F75" s="35">
        <f>Raw_Nationwide!D72</f>
        <v/>
      </c>
      <c r="G75" s="36">
        <f>IFERROR(INDEX(CPI_Index,MATCH(B75,CPI_Year,0)),"")</f>
        <v/>
      </c>
      <c r="H75" s="37">
        <f>IF(G75="","",E75*100/G75)</f>
        <v/>
      </c>
      <c r="I75" s="38">
        <f>E75/E71-1</f>
        <v/>
      </c>
      <c r="J75" s="38">
        <f>IF(OR(H75="",H71=""),"",H75/H71-1)</f>
        <v/>
      </c>
      <c r="K75" s="39">
        <f>IF(Raw_Nationwide!C72="","",Raw_Nationwide!C72/100)</f>
        <v/>
      </c>
      <c r="L75" s="40">
        <f>IF(K75="","",(I75-K75)*100)</f>
        <v/>
      </c>
      <c r="M75" s="37">
        <f>IF(H75="","",MAX(H$5:H75))</f>
        <v/>
      </c>
      <c r="N75" s="38">
        <f>IF(H75="","",H75/M75-1)</f>
        <v/>
      </c>
    </row>
    <row r="76">
      <c r="A76" s="34">
        <f>Raw_Nationwide!A73</f>
        <v/>
      </c>
      <c r="B76" s="21">
        <f>YEAR(A76)</f>
        <v/>
      </c>
      <c r="C76" s="21">
        <f>"Q"&amp;ROUNDUP(MONTH(A76)/3,0)</f>
        <v/>
      </c>
      <c r="D76" s="21">
        <f>B76&amp;" "&amp;C76</f>
        <v/>
      </c>
      <c r="E76" s="35">
        <f>Raw_Nationwide!B73</f>
        <v/>
      </c>
      <c r="F76" s="35">
        <f>Raw_Nationwide!D73</f>
        <v/>
      </c>
      <c r="G76" s="36">
        <f>IFERROR(INDEX(CPI_Index,MATCH(B76,CPI_Year,0)),"")</f>
        <v/>
      </c>
      <c r="H76" s="37">
        <f>IF(G76="","",E76*100/G76)</f>
        <v/>
      </c>
      <c r="I76" s="38">
        <f>E76/E72-1</f>
        <v/>
      </c>
      <c r="J76" s="38">
        <f>IF(OR(H76="",H72=""),"",H76/H72-1)</f>
        <v/>
      </c>
      <c r="K76" s="39">
        <f>IF(Raw_Nationwide!C73="","",Raw_Nationwide!C73/100)</f>
        <v/>
      </c>
      <c r="L76" s="40">
        <f>IF(K76="","",(I76-K76)*100)</f>
        <v/>
      </c>
      <c r="M76" s="37">
        <f>IF(H76="","",MAX(H$5:H76))</f>
        <v/>
      </c>
      <c r="N76" s="38">
        <f>IF(H76="","",H76/M76-1)</f>
        <v/>
      </c>
    </row>
    <row r="77">
      <c r="A77" s="34">
        <f>Raw_Nationwide!A74</f>
        <v/>
      </c>
      <c r="B77" s="21">
        <f>YEAR(A77)</f>
        <v/>
      </c>
      <c r="C77" s="21">
        <f>"Q"&amp;ROUNDUP(MONTH(A77)/3,0)</f>
        <v/>
      </c>
      <c r="D77" s="21">
        <f>B77&amp;" "&amp;C77</f>
        <v/>
      </c>
      <c r="E77" s="35">
        <f>Raw_Nationwide!B74</f>
        <v/>
      </c>
      <c r="F77" s="35">
        <f>Raw_Nationwide!D74</f>
        <v/>
      </c>
      <c r="G77" s="36">
        <f>IFERROR(INDEX(CPI_Index,MATCH(B77,CPI_Year,0)),"")</f>
        <v/>
      </c>
      <c r="H77" s="37">
        <f>IF(G77="","",E77*100/G77)</f>
        <v/>
      </c>
      <c r="I77" s="38">
        <f>E77/E73-1</f>
        <v/>
      </c>
      <c r="J77" s="38">
        <f>IF(OR(H77="",H73=""),"",H77/H73-1)</f>
        <v/>
      </c>
      <c r="K77" s="39">
        <f>IF(Raw_Nationwide!C74="","",Raw_Nationwide!C74/100)</f>
        <v/>
      </c>
      <c r="L77" s="40">
        <f>IF(K77="","",(I77-K77)*100)</f>
        <v/>
      </c>
      <c r="M77" s="37">
        <f>IF(H77="","",MAX(H$5:H77))</f>
        <v/>
      </c>
      <c r="N77" s="38">
        <f>IF(H77="","",H77/M77-1)</f>
        <v/>
      </c>
    </row>
    <row r="78">
      <c r="A78" s="34">
        <f>Raw_Nationwide!A75</f>
        <v/>
      </c>
      <c r="B78" s="21">
        <f>YEAR(A78)</f>
        <v/>
      </c>
      <c r="C78" s="21">
        <f>"Q"&amp;ROUNDUP(MONTH(A78)/3,0)</f>
        <v/>
      </c>
      <c r="D78" s="21">
        <f>B78&amp;" "&amp;C78</f>
        <v/>
      </c>
      <c r="E78" s="35">
        <f>Raw_Nationwide!B75</f>
        <v/>
      </c>
      <c r="F78" s="35">
        <f>Raw_Nationwide!D75</f>
        <v/>
      </c>
      <c r="G78" s="36">
        <f>IFERROR(INDEX(CPI_Index,MATCH(B78,CPI_Year,0)),"")</f>
        <v/>
      </c>
      <c r="H78" s="37">
        <f>IF(G78="","",E78*100/G78)</f>
        <v/>
      </c>
      <c r="I78" s="38">
        <f>E78/E74-1</f>
        <v/>
      </c>
      <c r="J78" s="38">
        <f>IF(OR(H78="",H74=""),"",H78/H74-1)</f>
        <v/>
      </c>
      <c r="K78" s="39">
        <f>IF(Raw_Nationwide!C75="","",Raw_Nationwide!C75/100)</f>
        <v/>
      </c>
      <c r="L78" s="40">
        <f>IF(K78="","",(I78-K78)*100)</f>
        <v/>
      </c>
      <c r="M78" s="37">
        <f>IF(H78="","",MAX(H$5:H78))</f>
        <v/>
      </c>
      <c r="N78" s="38">
        <f>IF(H78="","",H78/M78-1)</f>
        <v/>
      </c>
    </row>
    <row r="79">
      <c r="A79" s="34">
        <f>Raw_Nationwide!A76</f>
        <v/>
      </c>
      <c r="B79" s="21">
        <f>YEAR(A79)</f>
        <v/>
      </c>
      <c r="C79" s="21">
        <f>"Q"&amp;ROUNDUP(MONTH(A79)/3,0)</f>
        <v/>
      </c>
      <c r="D79" s="21">
        <f>B79&amp;" "&amp;C79</f>
        <v/>
      </c>
      <c r="E79" s="35">
        <f>Raw_Nationwide!B76</f>
        <v/>
      </c>
      <c r="F79" s="35">
        <f>Raw_Nationwide!D76</f>
        <v/>
      </c>
      <c r="G79" s="36">
        <f>IFERROR(INDEX(CPI_Index,MATCH(B79,CPI_Year,0)),"")</f>
        <v/>
      </c>
      <c r="H79" s="37">
        <f>IF(G79="","",E79*100/G79)</f>
        <v/>
      </c>
      <c r="I79" s="38">
        <f>E79/E75-1</f>
        <v/>
      </c>
      <c r="J79" s="38">
        <f>IF(OR(H79="",H75=""),"",H79/H75-1)</f>
        <v/>
      </c>
      <c r="K79" s="39">
        <f>IF(Raw_Nationwide!C76="","",Raw_Nationwide!C76/100)</f>
        <v/>
      </c>
      <c r="L79" s="40">
        <f>IF(K79="","",(I79-K79)*100)</f>
        <v/>
      </c>
      <c r="M79" s="37">
        <f>IF(H79="","",MAX(H$5:H79))</f>
        <v/>
      </c>
      <c r="N79" s="38">
        <f>IF(H79="","",H79/M79-1)</f>
        <v/>
      </c>
    </row>
    <row r="80">
      <c r="A80" s="34">
        <f>Raw_Nationwide!A77</f>
        <v/>
      </c>
      <c r="B80" s="21">
        <f>YEAR(A80)</f>
        <v/>
      </c>
      <c r="C80" s="21">
        <f>"Q"&amp;ROUNDUP(MONTH(A80)/3,0)</f>
        <v/>
      </c>
      <c r="D80" s="21">
        <f>B80&amp;" "&amp;C80</f>
        <v/>
      </c>
      <c r="E80" s="35">
        <f>Raw_Nationwide!B77</f>
        <v/>
      </c>
      <c r="F80" s="35">
        <f>Raw_Nationwide!D77</f>
        <v/>
      </c>
      <c r="G80" s="36">
        <f>IFERROR(INDEX(CPI_Index,MATCH(B80,CPI_Year,0)),"")</f>
        <v/>
      </c>
      <c r="H80" s="37">
        <f>IF(G80="","",E80*100/G80)</f>
        <v/>
      </c>
      <c r="I80" s="38">
        <f>E80/E76-1</f>
        <v/>
      </c>
      <c r="J80" s="38">
        <f>IF(OR(H80="",H76=""),"",H80/H76-1)</f>
        <v/>
      </c>
      <c r="K80" s="39">
        <f>IF(Raw_Nationwide!C77="","",Raw_Nationwide!C77/100)</f>
        <v/>
      </c>
      <c r="L80" s="40">
        <f>IF(K80="","",(I80-K80)*100)</f>
        <v/>
      </c>
      <c r="M80" s="37">
        <f>IF(H80="","",MAX(H$5:H80))</f>
        <v/>
      </c>
      <c r="N80" s="38">
        <f>IF(H80="","",H80/M80-1)</f>
        <v/>
      </c>
    </row>
    <row r="81">
      <c r="A81" s="34">
        <f>Raw_Nationwide!A78</f>
        <v/>
      </c>
      <c r="B81" s="21">
        <f>YEAR(A81)</f>
        <v/>
      </c>
      <c r="C81" s="21">
        <f>"Q"&amp;ROUNDUP(MONTH(A81)/3,0)</f>
        <v/>
      </c>
      <c r="D81" s="21">
        <f>B81&amp;" "&amp;C81</f>
        <v/>
      </c>
      <c r="E81" s="35">
        <f>Raw_Nationwide!B78</f>
        <v/>
      </c>
      <c r="F81" s="35">
        <f>Raw_Nationwide!D78</f>
        <v/>
      </c>
      <c r="G81" s="36">
        <f>IFERROR(INDEX(CPI_Index,MATCH(B81,CPI_Year,0)),"")</f>
        <v/>
      </c>
      <c r="H81" s="37">
        <f>IF(G81="","",E81*100/G81)</f>
        <v/>
      </c>
      <c r="I81" s="38">
        <f>E81/E77-1</f>
        <v/>
      </c>
      <c r="J81" s="38">
        <f>IF(OR(H81="",H77=""),"",H81/H77-1)</f>
        <v/>
      </c>
      <c r="K81" s="39">
        <f>IF(Raw_Nationwide!C78="","",Raw_Nationwide!C78/100)</f>
        <v/>
      </c>
      <c r="L81" s="40">
        <f>IF(K81="","",(I81-K81)*100)</f>
        <v/>
      </c>
      <c r="M81" s="37">
        <f>IF(H81="","",MAX(H$5:H81))</f>
        <v/>
      </c>
      <c r="N81" s="38">
        <f>IF(H81="","",H81/M81-1)</f>
        <v/>
      </c>
    </row>
    <row r="82">
      <c r="A82" s="34">
        <f>Raw_Nationwide!A79</f>
        <v/>
      </c>
      <c r="B82" s="21">
        <f>YEAR(A82)</f>
        <v/>
      </c>
      <c r="C82" s="21">
        <f>"Q"&amp;ROUNDUP(MONTH(A82)/3,0)</f>
        <v/>
      </c>
      <c r="D82" s="21">
        <f>B82&amp;" "&amp;C82</f>
        <v/>
      </c>
      <c r="E82" s="35">
        <f>Raw_Nationwide!B79</f>
        <v/>
      </c>
      <c r="F82" s="35">
        <f>Raw_Nationwide!D79</f>
        <v/>
      </c>
      <c r="G82" s="36">
        <f>IFERROR(INDEX(CPI_Index,MATCH(B82,CPI_Year,0)),"")</f>
        <v/>
      </c>
      <c r="H82" s="37">
        <f>IF(G82="","",E82*100/G82)</f>
        <v/>
      </c>
      <c r="I82" s="38">
        <f>E82/E78-1</f>
        <v/>
      </c>
      <c r="J82" s="38">
        <f>IF(OR(H82="",H78=""),"",H82/H78-1)</f>
        <v/>
      </c>
      <c r="K82" s="39">
        <f>IF(Raw_Nationwide!C79="","",Raw_Nationwide!C79/100)</f>
        <v/>
      </c>
      <c r="L82" s="40">
        <f>IF(K82="","",(I82-K82)*100)</f>
        <v/>
      </c>
      <c r="M82" s="37">
        <f>IF(H82="","",MAX(H$5:H82))</f>
        <v/>
      </c>
      <c r="N82" s="38">
        <f>IF(H82="","",H82/M82-1)</f>
        <v/>
      </c>
    </row>
    <row r="83">
      <c r="A83" s="34">
        <f>Raw_Nationwide!A80</f>
        <v/>
      </c>
      <c r="B83" s="21">
        <f>YEAR(A83)</f>
        <v/>
      </c>
      <c r="C83" s="21">
        <f>"Q"&amp;ROUNDUP(MONTH(A83)/3,0)</f>
        <v/>
      </c>
      <c r="D83" s="21">
        <f>B83&amp;" "&amp;C83</f>
        <v/>
      </c>
      <c r="E83" s="35">
        <f>Raw_Nationwide!B80</f>
        <v/>
      </c>
      <c r="F83" s="35">
        <f>Raw_Nationwide!D80</f>
        <v/>
      </c>
      <c r="G83" s="36">
        <f>IFERROR(INDEX(CPI_Index,MATCH(B83,CPI_Year,0)),"")</f>
        <v/>
      </c>
      <c r="H83" s="37">
        <f>IF(G83="","",E83*100/G83)</f>
        <v/>
      </c>
      <c r="I83" s="38">
        <f>E83/E79-1</f>
        <v/>
      </c>
      <c r="J83" s="38">
        <f>IF(OR(H83="",H79=""),"",H83/H79-1)</f>
        <v/>
      </c>
      <c r="K83" s="39">
        <f>IF(Raw_Nationwide!C80="","",Raw_Nationwide!C80/100)</f>
        <v/>
      </c>
      <c r="L83" s="40">
        <f>IF(K83="","",(I83-K83)*100)</f>
        <v/>
      </c>
      <c r="M83" s="37">
        <f>IF(H83="","",MAX(H$5:H83))</f>
        <v/>
      </c>
      <c r="N83" s="38">
        <f>IF(H83="","",H83/M83-1)</f>
        <v/>
      </c>
    </row>
    <row r="84">
      <c r="A84" s="34">
        <f>Raw_Nationwide!A81</f>
        <v/>
      </c>
      <c r="B84" s="21">
        <f>YEAR(A84)</f>
        <v/>
      </c>
      <c r="C84" s="21">
        <f>"Q"&amp;ROUNDUP(MONTH(A84)/3,0)</f>
        <v/>
      </c>
      <c r="D84" s="21">
        <f>B84&amp;" "&amp;C84</f>
        <v/>
      </c>
      <c r="E84" s="35">
        <f>Raw_Nationwide!B81</f>
        <v/>
      </c>
      <c r="F84" s="35">
        <f>Raw_Nationwide!D81</f>
        <v/>
      </c>
      <c r="G84" s="36">
        <f>IFERROR(INDEX(CPI_Index,MATCH(B84,CPI_Year,0)),"")</f>
        <v/>
      </c>
      <c r="H84" s="37">
        <f>IF(G84="","",E84*100/G84)</f>
        <v/>
      </c>
      <c r="I84" s="38">
        <f>E84/E80-1</f>
        <v/>
      </c>
      <c r="J84" s="38">
        <f>IF(OR(H84="",H80=""),"",H84/H80-1)</f>
        <v/>
      </c>
      <c r="K84" s="39">
        <f>IF(Raw_Nationwide!C81="","",Raw_Nationwide!C81/100)</f>
        <v/>
      </c>
      <c r="L84" s="40">
        <f>IF(K84="","",(I84-K84)*100)</f>
        <v/>
      </c>
      <c r="M84" s="37">
        <f>IF(H84="","",MAX(H$5:H84))</f>
        <v/>
      </c>
      <c r="N84" s="38">
        <f>IF(H84="","",H84/M84-1)</f>
        <v/>
      </c>
    </row>
    <row r="85">
      <c r="A85" s="34">
        <f>Raw_Nationwide!A82</f>
        <v/>
      </c>
      <c r="B85" s="21">
        <f>YEAR(A85)</f>
        <v/>
      </c>
      <c r="C85" s="21">
        <f>"Q"&amp;ROUNDUP(MONTH(A85)/3,0)</f>
        <v/>
      </c>
      <c r="D85" s="21">
        <f>B85&amp;" "&amp;C85</f>
        <v/>
      </c>
      <c r="E85" s="35">
        <f>Raw_Nationwide!B82</f>
        <v/>
      </c>
      <c r="F85" s="35">
        <f>Raw_Nationwide!D82</f>
        <v/>
      </c>
      <c r="G85" s="36">
        <f>IFERROR(INDEX(CPI_Index,MATCH(B85,CPI_Year,0)),"")</f>
        <v/>
      </c>
      <c r="H85" s="37">
        <f>IF(G85="","",E85*100/G85)</f>
        <v/>
      </c>
      <c r="I85" s="38">
        <f>E85/E81-1</f>
        <v/>
      </c>
      <c r="J85" s="38">
        <f>IF(OR(H85="",H81=""),"",H85/H81-1)</f>
        <v/>
      </c>
      <c r="K85" s="39">
        <f>IF(Raw_Nationwide!C82="","",Raw_Nationwide!C82/100)</f>
        <v/>
      </c>
      <c r="L85" s="40">
        <f>IF(K85="","",(I85-K85)*100)</f>
        <v/>
      </c>
      <c r="M85" s="37">
        <f>IF(H85="","",MAX(H$5:H85))</f>
        <v/>
      </c>
      <c r="N85" s="38">
        <f>IF(H85="","",H85/M85-1)</f>
        <v/>
      </c>
    </row>
    <row r="86">
      <c r="A86" s="34">
        <f>Raw_Nationwide!A83</f>
        <v/>
      </c>
      <c r="B86" s="21">
        <f>YEAR(A86)</f>
        <v/>
      </c>
      <c r="C86" s="21">
        <f>"Q"&amp;ROUNDUP(MONTH(A86)/3,0)</f>
        <v/>
      </c>
      <c r="D86" s="21">
        <f>B86&amp;" "&amp;C86</f>
        <v/>
      </c>
      <c r="E86" s="35">
        <f>Raw_Nationwide!B83</f>
        <v/>
      </c>
      <c r="F86" s="35">
        <f>Raw_Nationwide!D83</f>
        <v/>
      </c>
      <c r="G86" s="36">
        <f>IFERROR(INDEX(CPI_Index,MATCH(B86,CPI_Year,0)),"")</f>
        <v/>
      </c>
      <c r="H86" s="37">
        <f>IF(G86="","",E86*100/G86)</f>
        <v/>
      </c>
      <c r="I86" s="38">
        <f>E86/E82-1</f>
        <v/>
      </c>
      <c r="J86" s="38">
        <f>IF(OR(H86="",H82=""),"",H86/H82-1)</f>
        <v/>
      </c>
      <c r="K86" s="39">
        <f>IF(Raw_Nationwide!C83="","",Raw_Nationwide!C83/100)</f>
        <v/>
      </c>
      <c r="L86" s="40">
        <f>IF(K86="","",(I86-K86)*100)</f>
        <v/>
      </c>
      <c r="M86" s="37">
        <f>IF(H86="","",MAX(H$5:H86))</f>
        <v/>
      </c>
      <c r="N86" s="38">
        <f>IF(H86="","",H86/M86-1)</f>
        <v/>
      </c>
    </row>
    <row r="87">
      <c r="A87" s="34">
        <f>Raw_Nationwide!A84</f>
        <v/>
      </c>
      <c r="B87" s="21">
        <f>YEAR(A87)</f>
        <v/>
      </c>
      <c r="C87" s="21">
        <f>"Q"&amp;ROUNDUP(MONTH(A87)/3,0)</f>
        <v/>
      </c>
      <c r="D87" s="21">
        <f>B87&amp;" "&amp;C87</f>
        <v/>
      </c>
      <c r="E87" s="35">
        <f>Raw_Nationwide!B84</f>
        <v/>
      </c>
      <c r="F87" s="35">
        <f>Raw_Nationwide!D84</f>
        <v/>
      </c>
      <c r="G87" s="36">
        <f>IFERROR(INDEX(CPI_Index,MATCH(B87,CPI_Year,0)),"")</f>
        <v/>
      </c>
      <c r="H87" s="37">
        <f>IF(G87="","",E87*100/G87)</f>
        <v/>
      </c>
      <c r="I87" s="38">
        <f>E87/E83-1</f>
        <v/>
      </c>
      <c r="J87" s="38">
        <f>IF(OR(H87="",H83=""),"",H87/H83-1)</f>
        <v/>
      </c>
      <c r="K87" s="39">
        <f>IF(Raw_Nationwide!C84="","",Raw_Nationwide!C84/100)</f>
        <v/>
      </c>
      <c r="L87" s="40">
        <f>IF(K87="","",(I87-K87)*100)</f>
        <v/>
      </c>
      <c r="M87" s="37">
        <f>IF(H87="","",MAX(H$5:H87))</f>
        <v/>
      </c>
      <c r="N87" s="38">
        <f>IF(H87="","",H87/M87-1)</f>
        <v/>
      </c>
    </row>
    <row r="88">
      <c r="A88" s="34">
        <f>Raw_Nationwide!A85</f>
        <v/>
      </c>
      <c r="B88" s="21">
        <f>YEAR(A88)</f>
        <v/>
      </c>
      <c r="C88" s="21">
        <f>"Q"&amp;ROUNDUP(MONTH(A88)/3,0)</f>
        <v/>
      </c>
      <c r="D88" s="21">
        <f>B88&amp;" "&amp;C88</f>
        <v/>
      </c>
      <c r="E88" s="35">
        <f>Raw_Nationwide!B85</f>
        <v/>
      </c>
      <c r="F88" s="35">
        <f>Raw_Nationwide!D85</f>
        <v/>
      </c>
      <c r="G88" s="36">
        <f>IFERROR(INDEX(CPI_Index,MATCH(B88,CPI_Year,0)),"")</f>
        <v/>
      </c>
      <c r="H88" s="37">
        <f>IF(G88="","",E88*100/G88)</f>
        <v/>
      </c>
      <c r="I88" s="38">
        <f>E88/E84-1</f>
        <v/>
      </c>
      <c r="J88" s="38">
        <f>IF(OR(H88="",H84=""),"",H88/H84-1)</f>
        <v/>
      </c>
      <c r="K88" s="39">
        <f>IF(Raw_Nationwide!C85="","",Raw_Nationwide!C85/100)</f>
        <v/>
      </c>
      <c r="L88" s="40">
        <f>IF(K88="","",(I88-K88)*100)</f>
        <v/>
      </c>
      <c r="M88" s="37">
        <f>IF(H88="","",MAX(H$5:H88))</f>
        <v/>
      </c>
      <c r="N88" s="38">
        <f>IF(H88="","",H88/M88-1)</f>
        <v/>
      </c>
    </row>
    <row r="89">
      <c r="A89" s="34">
        <f>Raw_Nationwide!A86</f>
        <v/>
      </c>
      <c r="B89" s="21">
        <f>YEAR(A89)</f>
        <v/>
      </c>
      <c r="C89" s="21">
        <f>"Q"&amp;ROUNDUP(MONTH(A89)/3,0)</f>
        <v/>
      </c>
      <c r="D89" s="21">
        <f>B89&amp;" "&amp;C89</f>
        <v/>
      </c>
      <c r="E89" s="35">
        <f>Raw_Nationwide!B86</f>
        <v/>
      </c>
      <c r="F89" s="35">
        <f>Raw_Nationwide!D86</f>
        <v/>
      </c>
      <c r="G89" s="36">
        <f>IFERROR(INDEX(CPI_Index,MATCH(B89,CPI_Year,0)),"")</f>
        <v/>
      </c>
      <c r="H89" s="37">
        <f>IF(G89="","",E89*100/G89)</f>
        <v/>
      </c>
      <c r="I89" s="38">
        <f>E89/E85-1</f>
        <v/>
      </c>
      <c r="J89" s="38">
        <f>IF(OR(H89="",H85=""),"",H89/H85-1)</f>
        <v/>
      </c>
      <c r="K89" s="39">
        <f>IF(Raw_Nationwide!C86="","",Raw_Nationwide!C86/100)</f>
        <v/>
      </c>
      <c r="L89" s="40">
        <f>IF(K89="","",(I89-K89)*100)</f>
        <v/>
      </c>
      <c r="M89" s="37">
        <f>IF(H89="","",MAX(H$5:H89))</f>
        <v/>
      </c>
      <c r="N89" s="38">
        <f>IF(H89="","",H89/M89-1)</f>
        <v/>
      </c>
    </row>
    <row r="90">
      <c r="A90" s="34">
        <f>Raw_Nationwide!A87</f>
        <v/>
      </c>
      <c r="B90" s="21">
        <f>YEAR(A90)</f>
        <v/>
      </c>
      <c r="C90" s="21">
        <f>"Q"&amp;ROUNDUP(MONTH(A90)/3,0)</f>
        <v/>
      </c>
      <c r="D90" s="21">
        <f>B90&amp;" "&amp;C90</f>
        <v/>
      </c>
      <c r="E90" s="35">
        <f>Raw_Nationwide!B87</f>
        <v/>
      </c>
      <c r="F90" s="35">
        <f>Raw_Nationwide!D87</f>
        <v/>
      </c>
      <c r="G90" s="36">
        <f>IFERROR(INDEX(CPI_Index,MATCH(B90,CPI_Year,0)),"")</f>
        <v/>
      </c>
      <c r="H90" s="37">
        <f>IF(G90="","",E90*100/G90)</f>
        <v/>
      </c>
      <c r="I90" s="38">
        <f>E90/E86-1</f>
        <v/>
      </c>
      <c r="J90" s="38">
        <f>IF(OR(H90="",H86=""),"",H90/H86-1)</f>
        <v/>
      </c>
      <c r="K90" s="39">
        <f>IF(Raw_Nationwide!C87="","",Raw_Nationwide!C87/100)</f>
        <v/>
      </c>
      <c r="L90" s="40">
        <f>IF(K90="","",(I90-K90)*100)</f>
        <v/>
      </c>
      <c r="M90" s="37">
        <f>IF(H90="","",MAX(H$5:H90))</f>
        <v/>
      </c>
      <c r="N90" s="38">
        <f>IF(H90="","",H90/M90-1)</f>
        <v/>
      </c>
    </row>
    <row r="91">
      <c r="A91" s="34">
        <f>Raw_Nationwide!A88</f>
        <v/>
      </c>
      <c r="B91" s="21">
        <f>YEAR(A91)</f>
        <v/>
      </c>
      <c r="C91" s="21">
        <f>"Q"&amp;ROUNDUP(MONTH(A91)/3,0)</f>
        <v/>
      </c>
      <c r="D91" s="21">
        <f>B91&amp;" "&amp;C91</f>
        <v/>
      </c>
      <c r="E91" s="35">
        <f>Raw_Nationwide!B88</f>
        <v/>
      </c>
      <c r="F91" s="35">
        <f>Raw_Nationwide!D88</f>
        <v/>
      </c>
      <c r="G91" s="36">
        <f>IFERROR(INDEX(CPI_Index,MATCH(B91,CPI_Year,0)),"")</f>
        <v/>
      </c>
      <c r="H91" s="37">
        <f>IF(G91="","",E91*100/G91)</f>
        <v/>
      </c>
      <c r="I91" s="38">
        <f>E91/E87-1</f>
        <v/>
      </c>
      <c r="J91" s="38">
        <f>IF(OR(H91="",H87=""),"",H91/H87-1)</f>
        <v/>
      </c>
      <c r="K91" s="39">
        <f>IF(Raw_Nationwide!C88="","",Raw_Nationwide!C88/100)</f>
        <v/>
      </c>
      <c r="L91" s="40">
        <f>IF(K91="","",(I91-K91)*100)</f>
        <v/>
      </c>
      <c r="M91" s="37">
        <f>IF(H91="","",MAX(H$5:H91))</f>
        <v/>
      </c>
      <c r="N91" s="38">
        <f>IF(H91="","",H91/M91-1)</f>
        <v/>
      </c>
    </row>
    <row r="92">
      <c r="A92" s="34">
        <f>Raw_Nationwide!A89</f>
        <v/>
      </c>
      <c r="B92" s="21">
        <f>YEAR(A92)</f>
        <v/>
      </c>
      <c r="C92" s="21">
        <f>"Q"&amp;ROUNDUP(MONTH(A92)/3,0)</f>
        <v/>
      </c>
      <c r="D92" s="21">
        <f>B92&amp;" "&amp;C92</f>
        <v/>
      </c>
      <c r="E92" s="35">
        <f>Raw_Nationwide!B89</f>
        <v/>
      </c>
      <c r="F92" s="35">
        <f>Raw_Nationwide!D89</f>
        <v/>
      </c>
      <c r="G92" s="36">
        <f>IFERROR(INDEX(CPI_Index,MATCH(B92,CPI_Year,0)),"")</f>
        <v/>
      </c>
      <c r="H92" s="37">
        <f>IF(G92="","",E92*100/G92)</f>
        <v/>
      </c>
      <c r="I92" s="38">
        <f>E92/E88-1</f>
        <v/>
      </c>
      <c r="J92" s="38">
        <f>IF(OR(H92="",H88=""),"",H92/H88-1)</f>
        <v/>
      </c>
      <c r="K92" s="39">
        <f>IF(Raw_Nationwide!C89="","",Raw_Nationwide!C89/100)</f>
        <v/>
      </c>
      <c r="L92" s="40">
        <f>IF(K92="","",(I92-K92)*100)</f>
        <v/>
      </c>
      <c r="M92" s="37">
        <f>IF(H92="","",MAX(H$5:H92))</f>
        <v/>
      </c>
      <c r="N92" s="38">
        <f>IF(H92="","",H92/M92-1)</f>
        <v/>
      </c>
    </row>
    <row r="93">
      <c r="A93" s="34">
        <f>Raw_Nationwide!A90</f>
        <v/>
      </c>
      <c r="B93" s="21">
        <f>YEAR(A93)</f>
        <v/>
      </c>
      <c r="C93" s="21">
        <f>"Q"&amp;ROUNDUP(MONTH(A93)/3,0)</f>
        <v/>
      </c>
      <c r="D93" s="21">
        <f>B93&amp;" "&amp;C93</f>
        <v/>
      </c>
      <c r="E93" s="35">
        <f>Raw_Nationwide!B90</f>
        <v/>
      </c>
      <c r="F93" s="35">
        <f>Raw_Nationwide!D90</f>
        <v/>
      </c>
      <c r="G93" s="36">
        <f>IFERROR(INDEX(CPI_Index,MATCH(B93,CPI_Year,0)),"")</f>
        <v/>
      </c>
      <c r="H93" s="37">
        <f>IF(G93="","",E93*100/G93)</f>
        <v/>
      </c>
      <c r="I93" s="38">
        <f>E93/E89-1</f>
        <v/>
      </c>
      <c r="J93" s="38">
        <f>IF(OR(H93="",H89=""),"",H93/H89-1)</f>
        <v/>
      </c>
      <c r="K93" s="39">
        <f>IF(Raw_Nationwide!C90="","",Raw_Nationwide!C90/100)</f>
        <v/>
      </c>
      <c r="L93" s="40">
        <f>IF(K93="","",(I93-K93)*100)</f>
        <v/>
      </c>
      <c r="M93" s="37">
        <f>IF(H93="","",MAX(H$5:H93))</f>
        <v/>
      </c>
      <c r="N93" s="38">
        <f>IF(H93="","",H93/M93-1)</f>
        <v/>
      </c>
    </row>
    <row r="94">
      <c r="A94" s="34">
        <f>Raw_Nationwide!A91</f>
        <v/>
      </c>
      <c r="B94" s="21">
        <f>YEAR(A94)</f>
        <v/>
      </c>
      <c r="C94" s="21">
        <f>"Q"&amp;ROUNDUP(MONTH(A94)/3,0)</f>
        <v/>
      </c>
      <c r="D94" s="21">
        <f>B94&amp;" "&amp;C94</f>
        <v/>
      </c>
      <c r="E94" s="35">
        <f>Raw_Nationwide!B91</f>
        <v/>
      </c>
      <c r="F94" s="35">
        <f>Raw_Nationwide!D91</f>
        <v/>
      </c>
      <c r="G94" s="36">
        <f>IFERROR(INDEX(CPI_Index,MATCH(B94,CPI_Year,0)),"")</f>
        <v/>
      </c>
      <c r="H94" s="37">
        <f>IF(G94="","",E94*100/G94)</f>
        <v/>
      </c>
      <c r="I94" s="38">
        <f>E94/E90-1</f>
        <v/>
      </c>
      <c r="J94" s="38">
        <f>IF(OR(H94="",H90=""),"",H94/H90-1)</f>
        <v/>
      </c>
      <c r="K94" s="39">
        <f>IF(Raw_Nationwide!C91="","",Raw_Nationwide!C91/100)</f>
        <v/>
      </c>
      <c r="L94" s="40">
        <f>IF(K94="","",(I94-K94)*100)</f>
        <v/>
      </c>
      <c r="M94" s="37">
        <f>IF(H94="","",MAX(H$5:H94))</f>
        <v/>
      </c>
      <c r="N94" s="38">
        <f>IF(H94="","",H94/M94-1)</f>
        <v/>
      </c>
    </row>
    <row r="95">
      <c r="A95" s="34">
        <f>Raw_Nationwide!A92</f>
        <v/>
      </c>
      <c r="B95" s="21">
        <f>YEAR(A95)</f>
        <v/>
      </c>
      <c r="C95" s="21">
        <f>"Q"&amp;ROUNDUP(MONTH(A95)/3,0)</f>
        <v/>
      </c>
      <c r="D95" s="21">
        <f>B95&amp;" "&amp;C95</f>
        <v/>
      </c>
      <c r="E95" s="35">
        <f>Raw_Nationwide!B92</f>
        <v/>
      </c>
      <c r="F95" s="35">
        <f>Raw_Nationwide!D92</f>
        <v/>
      </c>
      <c r="G95" s="36">
        <f>IFERROR(INDEX(CPI_Index,MATCH(B95,CPI_Year,0)),"")</f>
        <v/>
      </c>
      <c r="H95" s="37">
        <f>IF(G95="","",E95*100/G95)</f>
        <v/>
      </c>
      <c r="I95" s="38">
        <f>E95/E91-1</f>
        <v/>
      </c>
      <c r="J95" s="38">
        <f>IF(OR(H95="",H91=""),"",H95/H91-1)</f>
        <v/>
      </c>
      <c r="K95" s="39">
        <f>IF(Raw_Nationwide!C92="","",Raw_Nationwide!C92/100)</f>
        <v/>
      </c>
      <c r="L95" s="40">
        <f>IF(K95="","",(I95-K95)*100)</f>
        <v/>
      </c>
      <c r="M95" s="37">
        <f>IF(H95="","",MAX(H$5:H95))</f>
        <v/>
      </c>
      <c r="N95" s="38">
        <f>IF(H95="","",H95/M95-1)</f>
        <v/>
      </c>
    </row>
    <row r="96">
      <c r="A96" s="34">
        <f>Raw_Nationwide!A93</f>
        <v/>
      </c>
      <c r="B96" s="21">
        <f>YEAR(A96)</f>
        <v/>
      </c>
      <c r="C96" s="21">
        <f>"Q"&amp;ROUNDUP(MONTH(A96)/3,0)</f>
        <v/>
      </c>
      <c r="D96" s="21">
        <f>B96&amp;" "&amp;C96</f>
        <v/>
      </c>
      <c r="E96" s="35">
        <f>Raw_Nationwide!B93</f>
        <v/>
      </c>
      <c r="F96" s="35">
        <f>Raw_Nationwide!D93</f>
        <v/>
      </c>
      <c r="G96" s="36">
        <f>IFERROR(INDEX(CPI_Index,MATCH(B96,CPI_Year,0)),"")</f>
        <v/>
      </c>
      <c r="H96" s="37">
        <f>IF(G96="","",E96*100/G96)</f>
        <v/>
      </c>
      <c r="I96" s="38">
        <f>E96/E92-1</f>
        <v/>
      </c>
      <c r="J96" s="38">
        <f>IF(OR(H96="",H92=""),"",H96/H92-1)</f>
        <v/>
      </c>
      <c r="K96" s="39">
        <f>IF(Raw_Nationwide!C93="","",Raw_Nationwide!C93/100)</f>
        <v/>
      </c>
      <c r="L96" s="40">
        <f>IF(K96="","",(I96-K96)*100)</f>
        <v/>
      </c>
      <c r="M96" s="37">
        <f>IF(H96="","",MAX(H$5:H96))</f>
        <v/>
      </c>
      <c r="N96" s="38">
        <f>IF(H96="","",H96/M96-1)</f>
        <v/>
      </c>
    </row>
    <row r="97">
      <c r="A97" s="34">
        <f>Raw_Nationwide!A94</f>
        <v/>
      </c>
      <c r="B97" s="21">
        <f>YEAR(A97)</f>
        <v/>
      </c>
      <c r="C97" s="21">
        <f>"Q"&amp;ROUNDUP(MONTH(A97)/3,0)</f>
        <v/>
      </c>
      <c r="D97" s="21">
        <f>B97&amp;" "&amp;C97</f>
        <v/>
      </c>
      <c r="E97" s="35">
        <f>Raw_Nationwide!B94</f>
        <v/>
      </c>
      <c r="F97" s="35">
        <f>Raw_Nationwide!D94</f>
        <v/>
      </c>
      <c r="G97" s="36">
        <f>IFERROR(INDEX(CPI_Index,MATCH(B97,CPI_Year,0)),"")</f>
        <v/>
      </c>
      <c r="H97" s="37">
        <f>IF(G97="","",E97*100/G97)</f>
        <v/>
      </c>
      <c r="I97" s="38">
        <f>E97/E93-1</f>
        <v/>
      </c>
      <c r="J97" s="38">
        <f>IF(OR(H97="",H93=""),"",H97/H93-1)</f>
        <v/>
      </c>
      <c r="K97" s="39">
        <f>IF(Raw_Nationwide!C94="","",Raw_Nationwide!C94/100)</f>
        <v/>
      </c>
      <c r="L97" s="40">
        <f>IF(K97="","",(I97-K97)*100)</f>
        <v/>
      </c>
      <c r="M97" s="37">
        <f>IF(H97="","",MAX(H$5:H97))</f>
        <v/>
      </c>
      <c r="N97" s="38">
        <f>IF(H97="","",H97/M97-1)</f>
        <v/>
      </c>
    </row>
    <row r="98">
      <c r="A98" s="34">
        <f>Raw_Nationwide!A95</f>
        <v/>
      </c>
      <c r="B98" s="21">
        <f>YEAR(A98)</f>
        <v/>
      </c>
      <c r="C98" s="21">
        <f>"Q"&amp;ROUNDUP(MONTH(A98)/3,0)</f>
        <v/>
      </c>
      <c r="D98" s="21">
        <f>B98&amp;" "&amp;C98</f>
        <v/>
      </c>
      <c r="E98" s="35">
        <f>Raw_Nationwide!B95</f>
        <v/>
      </c>
      <c r="F98" s="35">
        <f>Raw_Nationwide!D95</f>
        <v/>
      </c>
      <c r="G98" s="36">
        <f>IFERROR(INDEX(CPI_Index,MATCH(B98,CPI_Year,0)),"")</f>
        <v/>
      </c>
      <c r="H98" s="37">
        <f>IF(G98="","",E98*100/G98)</f>
        <v/>
      </c>
      <c r="I98" s="38">
        <f>E98/E94-1</f>
        <v/>
      </c>
      <c r="J98" s="38">
        <f>IF(OR(H98="",H94=""),"",H98/H94-1)</f>
        <v/>
      </c>
      <c r="K98" s="39">
        <f>IF(Raw_Nationwide!C95="","",Raw_Nationwide!C95/100)</f>
        <v/>
      </c>
      <c r="L98" s="40">
        <f>IF(K98="","",(I98-K98)*100)</f>
        <v/>
      </c>
      <c r="M98" s="37">
        <f>IF(H98="","",MAX(H$5:H98))</f>
        <v/>
      </c>
      <c r="N98" s="38">
        <f>IF(H98="","",H98/M98-1)</f>
        <v/>
      </c>
    </row>
    <row r="99">
      <c r="A99" s="34">
        <f>Raw_Nationwide!A96</f>
        <v/>
      </c>
      <c r="B99" s="21">
        <f>YEAR(A99)</f>
        <v/>
      </c>
      <c r="C99" s="21">
        <f>"Q"&amp;ROUNDUP(MONTH(A99)/3,0)</f>
        <v/>
      </c>
      <c r="D99" s="21">
        <f>B99&amp;" "&amp;C99</f>
        <v/>
      </c>
      <c r="E99" s="35">
        <f>Raw_Nationwide!B96</f>
        <v/>
      </c>
      <c r="F99" s="35">
        <f>Raw_Nationwide!D96</f>
        <v/>
      </c>
      <c r="G99" s="36">
        <f>IFERROR(INDEX(CPI_Index,MATCH(B99,CPI_Year,0)),"")</f>
        <v/>
      </c>
      <c r="H99" s="37">
        <f>IF(G99="","",E99*100/G99)</f>
        <v/>
      </c>
      <c r="I99" s="38">
        <f>E99/E95-1</f>
        <v/>
      </c>
      <c r="J99" s="38">
        <f>IF(OR(H99="",H95=""),"",H99/H95-1)</f>
        <v/>
      </c>
      <c r="K99" s="39">
        <f>IF(Raw_Nationwide!C96="","",Raw_Nationwide!C96/100)</f>
        <v/>
      </c>
      <c r="L99" s="40">
        <f>IF(K99="","",(I99-K99)*100)</f>
        <v/>
      </c>
      <c r="M99" s="37">
        <f>IF(H99="","",MAX(H$5:H99))</f>
        <v/>
      </c>
      <c r="N99" s="38">
        <f>IF(H99="","",H99/M99-1)</f>
        <v/>
      </c>
    </row>
    <row r="100">
      <c r="A100" s="34">
        <f>Raw_Nationwide!A97</f>
        <v/>
      </c>
      <c r="B100" s="21">
        <f>YEAR(A100)</f>
        <v/>
      </c>
      <c r="C100" s="21">
        <f>"Q"&amp;ROUNDUP(MONTH(A100)/3,0)</f>
        <v/>
      </c>
      <c r="D100" s="21">
        <f>B100&amp;" "&amp;C100</f>
        <v/>
      </c>
      <c r="E100" s="35">
        <f>Raw_Nationwide!B97</f>
        <v/>
      </c>
      <c r="F100" s="35">
        <f>Raw_Nationwide!D97</f>
        <v/>
      </c>
      <c r="G100" s="36">
        <f>IFERROR(INDEX(CPI_Index,MATCH(B100,CPI_Year,0)),"")</f>
        <v/>
      </c>
      <c r="H100" s="37">
        <f>IF(G100="","",E100*100/G100)</f>
        <v/>
      </c>
      <c r="I100" s="38">
        <f>E100/E96-1</f>
        <v/>
      </c>
      <c r="J100" s="38">
        <f>IF(OR(H100="",H96=""),"",H100/H96-1)</f>
        <v/>
      </c>
      <c r="K100" s="39">
        <f>IF(Raw_Nationwide!C97="","",Raw_Nationwide!C97/100)</f>
        <v/>
      </c>
      <c r="L100" s="40">
        <f>IF(K100="","",(I100-K100)*100)</f>
        <v/>
      </c>
      <c r="M100" s="37">
        <f>IF(H100="","",MAX(H$5:H100))</f>
        <v/>
      </c>
      <c r="N100" s="38">
        <f>IF(H100="","",H100/M100-1)</f>
        <v/>
      </c>
    </row>
    <row r="101">
      <c r="A101" s="34">
        <f>Raw_Nationwide!A98</f>
        <v/>
      </c>
      <c r="B101" s="21">
        <f>YEAR(A101)</f>
        <v/>
      </c>
      <c r="C101" s="21">
        <f>"Q"&amp;ROUNDUP(MONTH(A101)/3,0)</f>
        <v/>
      </c>
      <c r="D101" s="21">
        <f>B101&amp;" "&amp;C101</f>
        <v/>
      </c>
      <c r="E101" s="35">
        <f>Raw_Nationwide!B98</f>
        <v/>
      </c>
      <c r="F101" s="35">
        <f>Raw_Nationwide!D98</f>
        <v/>
      </c>
      <c r="G101" s="36">
        <f>IFERROR(INDEX(CPI_Index,MATCH(B101,CPI_Year,0)),"")</f>
        <v/>
      </c>
      <c r="H101" s="37">
        <f>IF(G101="","",E101*100/G101)</f>
        <v/>
      </c>
      <c r="I101" s="38">
        <f>E101/E97-1</f>
        <v/>
      </c>
      <c r="J101" s="38">
        <f>IF(OR(H101="",H97=""),"",H101/H97-1)</f>
        <v/>
      </c>
      <c r="K101" s="39">
        <f>IF(Raw_Nationwide!C98="","",Raw_Nationwide!C98/100)</f>
        <v/>
      </c>
      <c r="L101" s="40">
        <f>IF(K101="","",(I101-K101)*100)</f>
        <v/>
      </c>
      <c r="M101" s="37">
        <f>IF(H101="","",MAX(H$5:H101))</f>
        <v/>
      </c>
      <c r="N101" s="38">
        <f>IF(H101="","",H101/M101-1)</f>
        <v/>
      </c>
    </row>
    <row r="102">
      <c r="A102" s="34">
        <f>Raw_Nationwide!A99</f>
        <v/>
      </c>
      <c r="B102" s="21">
        <f>YEAR(A102)</f>
        <v/>
      </c>
      <c r="C102" s="21">
        <f>"Q"&amp;ROUNDUP(MONTH(A102)/3,0)</f>
        <v/>
      </c>
      <c r="D102" s="21">
        <f>B102&amp;" "&amp;C102</f>
        <v/>
      </c>
      <c r="E102" s="35">
        <f>Raw_Nationwide!B99</f>
        <v/>
      </c>
      <c r="F102" s="35">
        <f>Raw_Nationwide!D99</f>
        <v/>
      </c>
      <c r="G102" s="36">
        <f>IFERROR(INDEX(CPI_Index,MATCH(B102,CPI_Year,0)),"")</f>
        <v/>
      </c>
      <c r="H102" s="37">
        <f>IF(G102="","",E102*100/G102)</f>
        <v/>
      </c>
      <c r="I102" s="38">
        <f>E102/E98-1</f>
        <v/>
      </c>
      <c r="J102" s="38">
        <f>IF(OR(H102="",H98=""),"",H102/H98-1)</f>
        <v/>
      </c>
      <c r="K102" s="39">
        <f>IF(Raw_Nationwide!C99="","",Raw_Nationwide!C99/100)</f>
        <v/>
      </c>
      <c r="L102" s="40">
        <f>IF(K102="","",(I102-K102)*100)</f>
        <v/>
      </c>
      <c r="M102" s="37">
        <f>IF(H102="","",MAX(H$5:H102))</f>
        <v/>
      </c>
      <c r="N102" s="38">
        <f>IF(H102="","",H102/M102-1)</f>
        <v/>
      </c>
    </row>
    <row r="103">
      <c r="A103" s="34">
        <f>Raw_Nationwide!A100</f>
        <v/>
      </c>
      <c r="B103" s="21">
        <f>YEAR(A103)</f>
        <v/>
      </c>
      <c r="C103" s="21">
        <f>"Q"&amp;ROUNDUP(MONTH(A103)/3,0)</f>
        <v/>
      </c>
      <c r="D103" s="21">
        <f>B103&amp;" "&amp;C103</f>
        <v/>
      </c>
      <c r="E103" s="35">
        <f>Raw_Nationwide!B100</f>
        <v/>
      </c>
      <c r="F103" s="35">
        <f>Raw_Nationwide!D100</f>
        <v/>
      </c>
      <c r="G103" s="36">
        <f>IFERROR(INDEX(CPI_Index,MATCH(B103,CPI_Year,0)),"")</f>
        <v/>
      </c>
      <c r="H103" s="37">
        <f>IF(G103="","",E103*100/G103)</f>
        <v/>
      </c>
      <c r="I103" s="38">
        <f>E103/E99-1</f>
        <v/>
      </c>
      <c r="J103" s="38">
        <f>IF(OR(H103="",H99=""),"",H103/H99-1)</f>
        <v/>
      </c>
      <c r="K103" s="39">
        <f>IF(Raw_Nationwide!C100="","",Raw_Nationwide!C100/100)</f>
        <v/>
      </c>
      <c r="L103" s="40">
        <f>IF(K103="","",(I103-K103)*100)</f>
        <v/>
      </c>
      <c r="M103" s="37">
        <f>IF(H103="","",MAX(H$5:H103))</f>
        <v/>
      </c>
      <c r="N103" s="38">
        <f>IF(H103="","",H103/M103-1)</f>
        <v/>
      </c>
    </row>
    <row r="104">
      <c r="A104" s="34">
        <f>Raw_Nationwide!A101</f>
        <v/>
      </c>
      <c r="B104" s="21">
        <f>YEAR(A104)</f>
        <v/>
      </c>
      <c r="C104" s="21">
        <f>"Q"&amp;ROUNDUP(MONTH(A104)/3,0)</f>
        <v/>
      </c>
      <c r="D104" s="21">
        <f>B104&amp;" "&amp;C104</f>
        <v/>
      </c>
      <c r="E104" s="35">
        <f>Raw_Nationwide!B101</f>
        <v/>
      </c>
      <c r="F104" s="35">
        <f>Raw_Nationwide!D101</f>
        <v/>
      </c>
      <c r="G104" s="36">
        <f>IFERROR(INDEX(CPI_Index,MATCH(B104,CPI_Year,0)),"")</f>
        <v/>
      </c>
      <c r="H104" s="37">
        <f>IF(G104="","",E104*100/G104)</f>
        <v/>
      </c>
      <c r="I104" s="38">
        <f>E104/E100-1</f>
        <v/>
      </c>
      <c r="J104" s="38">
        <f>IF(OR(H104="",H100=""),"",H104/H100-1)</f>
        <v/>
      </c>
      <c r="K104" s="39">
        <f>IF(Raw_Nationwide!C101="","",Raw_Nationwide!C101/100)</f>
        <v/>
      </c>
      <c r="L104" s="40">
        <f>IF(K104="","",(I104-K104)*100)</f>
        <v/>
      </c>
      <c r="M104" s="37">
        <f>IF(H104="","",MAX(H$5:H104))</f>
        <v/>
      </c>
      <c r="N104" s="38">
        <f>IF(H104="","",H104/M104-1)</f>
        <v/>
      </c>
    </row>
    <row r="105">
      <c r="A105" s="34">
        <f>Raw_Nationwide!A102</f>
        <v/>
      </c>
      <c r="B105" s="21">
        <f>YEAR(A105)</f>
        <v/>
      </c>
      <c r="C105" s="21">
        <f>"Q"&amp;ROUNDUP(MONTH(A105)/3,0)</f>
        <v/>
      </c>
      <c r="D105" s="21">
        <f>B105&amp;" "&amp;C105</f>
        <v/>
      </c>
      <c r="E105" s="35">
        <f>Raw_Nationwide!B102</f>
        <v/>
      </c>
      <c r="F105" s="35">
        <f>Raw_Nationwide!D102</f>
        <v/>
      </c>
      <c r="G105" s="36">
        <f>IFERROR(INDEX(CPI_Index,MATCH(B105,CPI_Year,0)),"")</f>
        <v/>
      </c>
      <c r="H105" s="37">
        <f>IF(G105="","",E105*100/G105)</f>
        <v/>
      </c>
      <c r="I105" s="38">
        <f>E105/E101-1</f>
        <v/>
      </c>
      <c r="J105" s="38">
        <f>IF(OR(H105="",H101=""),"",H105/H101-1)</f>
        <v/>
      </c>
      <c r="K105" s="39">
        <f>IF(Raw_Nationwide!C102="","",Raw_Nationwide!C102/100)</f>
        <v/>
      </c>
      <c r="L105" s="40">
        <f>IF(K105="","",(I105-K105)*100)</f>
        <v/>
      </c>
      <c r="M105" s="37">
        <f>IF(H105="","",MAX(H$5:H105))</f>
        <v/>
      </c>
      <c r="N105" s="38">
        <f>IF(H105="","",H105/M105-1)</f>
        <v/>
      </c>
    </row>
    <row r="106">
      <c r="A106" s="34">
        <f>Raw_Nationwide!A103</f>
        <v/>
      </c>
      <c r="B106" s="21">
        <f>YEAR(A106)</f>
        <v/>
      </c>
      <c r="C106" s="21">
        <f>"Q"&amp;ROUNDUP(MONTH(A106)/3,0)</f>
        <v/>
      </c>
      <c r="D106" s="21">
        <f>B106&amp;" "&amp;C106</f>
        <v/>
      </c>
      <c r="E106" s="35">
        <f>Raw_Nationwide!B103</f>
        <v/>
      </c>
      <c r="F106" s="35">
        <f>Raw_Nationwide!D103</f>
        <v/>
      </c>
      <c r="G106" s="36">
        <f>IFERROR(INDEX(CPI_Index,MATCH(B106,CPI_Year,0)),"")</f>
        <v/>
      </c>
      <c r="H106" s="37">
        <f>IF(G106="","",E106*100/G106)</f>
        <v/>
      </c>
      <c r="I106" s="38">
        <f>E106/E102-1</f>
        <v/>
      </c>
      <c r="J106" s="38">
        <f>IF(OR(H106="",H102=""),"",H106/H102-1)</f>
        <v/>
      </c>
      <c r="K106" s="39">
        <f>IF(Raw_Nationwide!C103="","",Raw_Nationwide!C103/100)</f>
        <v/>
      </c>
      <c r="L106" s="40">
        <f>IF(K106="","",(I106-K106)*100)</f>
        <v/>
      </c>
      <c r="M106" s="37">
        <f>IF(H106="","",MAX(H$5:H106))</f>
        <v/>
      </c>
      <c r="N106" s="38">
        <f>IF(H106="","",H106/M106-1)</f>
        <v/>
      </c>
    </row>
    <row r="107">
      <c r="A107" s="34">
        <f>Raw_Nationwide!A104</f>
        <v/>
      </c>
      <c r="B107" s="21">
        <f>YEAR(A107)</f>
        <v/>
      </c>
      <c r="C107" s="21">
        <f>"Q"&amp;ROUNDUP(MONTH(A107)/3,0)</f>
        <v/>
      </c>
      <c r="D107" s="21">
        <f>B107&amp;" "&amp;C107</f>
        <v/>
      </c>
      <c r="E107" s="35">
        <f>Raw_Nationwide!B104</f>
        <v/>
      </c>
      <c r="F107" s="35">
        <f>Raw_Nationwide!D104</f>
        <v/>
      </c>
      <c r="G107" s="36">
        <f>IFERROR(INDEX(CPI_Index,MATCH(B107,CPI_Year,0)),"")</f>
        <v/>
      </c>
      <c r="H107" s="37">
        <f>IF(G107="","",E107*100/G107)</f>
        <v/>
      </c>
      <c r="I107" s="38">
        <f>E107/E103-1</f>
        <v/>
      </c>
      <c r="J107" s="38">
        <f>IF(OR(H107="",H103=""),"",H107/H103-1)</f>
        <v/>
      </c>
      <c r="K107" s="39">
        <f>IF(Raw_Nationwide!C104="","",Raw_Nationwide!C104/100)</f>
        <v/>
      </c>
      <c r="L107" s="40">
        <f>IF(K107="","",(I107-K107)*100)</f>
        <v/>
      </c>
      <c r="M107" s="37">
        <f>IF(H107="","",MAX(H$5:H107))</f>
        <v/>
      </c>
      <c r="N107" s="38">
        <f>IF(H107="","",H107/M107-1)</f>
        <v/>
      </c>
    </row>
    <row r="108">
      <c r="A108" s="34">
        <f>Raw_Nationwide!A105</f>
        <v/>
      </c>
      <c r="B108" s="21">
        <f>YEAR(A108)</f>
        <v/>
      </c>
      <c r="C108" s="21">
        <f>"Q"&amp;ROUNDUP(MONTH(A108)/3,0)</f>
        <v/>
      </c>
      <c r="D108" s="21">
        <f>B108&amp;" "&amp;C108</f>
        <v/>
      </c>
      <c r="E108" s="35">
        <f>Raw_Nationwide!B105</f>
        <v/>
      </c>
      <c r="F108" s="35">
        <f>Raw_Nationwide!D105</f>
        <v/>
      </c>
      <c r="G108" s="36">
        <f>IFERROR(INDEX(CPI_Index,MATCH(B108,CPI_Year,0)),"")</f>
        <v/>
      </c>
      <c r="H108" s="37">
        <f>IF(G108="","",E108*100/G108)</f>
        <v/>
      </c>
      <c r="I108" s="38">
        <f>E108/E104-1</f>
        <v/>
      </c>
      <c r="J108" s="38">
        <f>IF(OR(H108="",H104=""),"",H108/H104-1)</f>
        <v/>
      </c>
      <c r="K108" s="39">
        <f>IF(Raw_Nationwide!C105="","",Raw_Nationwide!C105/100)</f>
        <v/>
      </c>
      <c r="L108" s="40">
        <f>IF(K108="","",(I108-K108)*100)</f>
        <v/>
      </c>
      <c r="M108" s="37">
        <f>IF(H108="","",MAX(H$5:H108))</f>
        <v/>
      </c>
      <c r="N108" s="38">
        <f>IF(H108="","",H108/M108-1)</f>
        <v/>
      </c>
    </row>
    <row r="109">
      <c r="A109" s="34">
        <f>Raw_Nationwide!A106</f>
        <v/>
      </c>
      <c r="B109" s="21">
        <f>YEAR(A109)</f>
        <v/>
      </c>
      <c r="C109" s="21">
        <f>"Q"&amp;ROUNDUP(MONTH(A109)/3,0)</f>
        <v/>
      </c>
      <c r="D109" s="21">
        <f>B109&amp;" "&amp;C109</f>
        <v/>
      </c>
      <c r="E109" s="35">
        <f>Raw_Nationwide!B106</f>
        <v/>
      </c>
      <c r="F109" s="35">
        <f>Raw_Nationwide!D106</f>
        <v/>
      </c>
      <c r="G109" s="36">
        <f>IFERROR(INDEX(CPI_Index,MATCH(B109,CPI_Year,0)),"")</f>
        <v/>
      </c>
      <c r="H109" s="37">
        <f>IF(G109="","",E109*100/G109)</f>
        <v/>
      </c>
      <c r="I109" s="38">
        <f>E109/E105-1</f>
        <v/>
      </c>
      <c r="J109" s="38">
        <f>IF(OR(H109="",H105=""),"",H109/H105-1)</f>
        <v/>
      </c>
      <c r="K109" s="39">
        <f>IF(Raw_Nationwide!C106="","",Raw_Nationwide!C106/100)</f>
        <v/>
      </c>
      <c r="L109" s="40">
        <f>IF(K109="","",(I109-K109)*100)</f>
        <v/>
      </c>
      <c r="M109" s="37">
        <f>IF(H109="","",MAX(H$5:H109))</f>
        <v/>
      </c>
      <c r="N109" s="38">
        <f>IF(H109="","",H109/M109-1)</f>
        <v/>
      </c>
    </row>
    <row r="110">
      <c r="A110" s="34">
        <f>Raw_Nationwide!A107</f>
        <v/>
      </c>
      <c r="B110" s="21">
        <f>YEAR(A110)</f>
        <v/>
      </c>
      <c r="C110" s="21">
        <f>"Q"&amp;ROUNDUP(MONTH(A110)/3,0)</f>
        <v/>
      </c>
      <c r="D110" s="21">
        <f>B110&amp;" "&amp;C110</f>
        <v/>
      </c>
      <c r="E110" s="35">
        <f>Raw_Nationwide!B107</f>
        <v/>
      </c>
      <c r="F110" s="35">
        <f>Raw_Nationwide!D107</f>
        <v/>
      </c>
      <c r="G110" s="36">
        <f>IFERROR(INDEX(CPI_Index,MATCH(B110,CPI_Year,0)),"")</f>
        <v/>
      </c>
      <c r="H110" s="37">
        <f>IF(G110="","",E110*100/G110)</f>
        <v/>
      </c>
      <c r="I110" s="38">
        <f>E110/E106-1</f>
        <v/>
      </c>
      <c r="J110" s="38">
        <f>IF(OR(H110="",H106=""),"",H110/H106-1)</f>
        <v/>
      </c>
      <c r="K110" s="39">
        <f>IF(Raw_Nationwide!C107="","",Raw_Nationwide!C107/100)</f>
        <v/>
      </c>
      <c r="L110" s="40">
        <f>IF(K110="","",(I110-K110)*100)</f>
        <v/>
      </c>
      <c r="M110" s="37">
        <f>IF(H110="","",MAX(H$5:H110))</f>
        <v/>
      </c>
      <c r="N110" s="38">
        <f>IF(H110="","",H110/M110-1)</f>
        <v/>
      </c>
    </row>
    <row r="111">
      <c r="A111" s="34">
        <f>Raw_Nationwide!A108</f>
        <v/>
      </c>
      <c r="B111" s="21">
        <f>YEAR(A111)</f>
        <v/>
      </c>
      <c r="C111" s="21">
        <f>"Q"&amp;ROUNDUP(MONTH(A111)/3,0)</f>
        <v/>
      </c>
      <c r="D111" s="21">
        <f>B111&amp;" "&amp;C111</f>
        <v/>
      </c>
      <c r="E111" s="35">
        <f>Raw_Nationwide!B108</f>
        <v/>
      </c>
      <c r="F111" s="35">
        <f>Raw_Nationwide!D108</f>
        <v/>
      </c>
      <c r="G111" s="36">
        <f>IFERROR(INDEX(CPI_Index,MATCH(B111,CPI_Year,0)),"")</f>
        <v/>
      </c>
      <c r="H111" s="37">
        <f>IF(G111="","",E111*100/G111)</f>
        <v/>
      </c>
      <c r="I111" s="38">
        <f>E111/E107-1</f>
        <v/>
      </c>
      <c r="J111" s="38">
        <f>IF(OR(H111="",H107=""),"",H111/H107-1)</f>
        <v/>
      </c>
      <c r="K111" s="39">
        <f>IF(Raw_Nationwide!C108="","",Raw_Nationwide!C108/100)</f>
        <v/>
      </c>
      <c r="L111" s="40">
        <f>IF(K111="","",(I111-K111)*100)</f>
        <v/>
      </c>
      <c r="M111" s="37">
        <f>IF(H111="","",MAX(H$5:H111))</f>
        <v/>
      </c>
      <c r="N111" s="38">
        <f>IF(H111="","",H111/M111-1)</f>
        <v/>
      </c>
    </row>
    <row r="112">
      <c r="A112" s="34">
        <f>Raw_Nationwide!A109</f>
        <v/>
      </c>
      <c r="B112" s="21">
        <f>YEAR(A112)</f>
        <v/>
      </c>
      <c r="C112" s="21">
        <f>"Q"&amp;ROUNDUP(MONTH(A112)/3,0)</f>
        <v/>
      </c>
      <c r="D112" s="21">
        <f>B112&amp;" "&amp;C112</f>
        <v/>
      </c>
      <c r="E112" s="35">
        <f>Raw_Nationwide!B109</f>
        <v/>
      </c>
      <c r="F112" s="35">
        <f>Raw_Nationwide!D109</f>
        <v/>
      </c>
      <c r="G112" s="36">
        <f>IFERROR(INDEX(CPI_Index,MATCH(B112,CPI_Year,0)),"")</f>
        <v/>
      </c>
      <c r="H112" s="37">
        <f>IF(G112="","",E112*100/G112)</f>
        <v/>
      </c>
      <c r="I112" s="38">
        <f>E112/E108-1</f>
        <v/>
      </c>
      <c r="J112" s="38">
        <f>IF(OR(H112="",H108=""),"",H112/H108-1)</f>
        <v/>
      </c>
      <c r="K112" s="39">
        <f>IF(Raw_Nationwide!C109="","",Raw_Nationwide!C109/100)</f>
        <v/>
      </c>
      <c r="L112" s="40">
        <f>IF(K112="","",(I112-K112)*100)</f>
        <v/>
      </c>
      <c r="M112" s="37">
        <f>IF(H112="","",MAX(H$5:H112))</f>
        <v/>
      </c>
      <c r="N112" s="38">
        <f>IF(H112="","",H112/M112-1)</f>
        <v/>
      </c>
    </row>
    <row r="113">
      <c r="A113" s="34">
        <f>Raw_Nationwide!A110</f>
        <v/>
      </c>
      <c r="B113" s="21">
        <f>YEAR(A113)</f>
        <v/>
      </c>
      <c r="C113" s="21">
        <f>"Q"&amp;ROUNDUP(MONTH(A113)/3,0)</f>
        <v/>
      </c>
      <c r="D113" s="21">
        <f>B113&amp;" "&amp;C113</f>
        <v/>
      </c>
      <c r="E113" s="35">
        <f>Raw_Nationwide!B110</f>
        <v/>
      </c>
      <c r="F113" s="35">
        <f>Raw_Nationwide!D110</f>
        <v/>
      </c>
      <c r="G113" s="36">
        <f>IFERROR(INDEX(CPI_Index,MATCH(B113,CPI_Year,0)),"")</f>
        <v/>
      </c>
      <c r="H113" s="37">
        <f>IF(G113="","",E113*100/G113)</f>
        <v/>
      </c>
      <c r="I113" s="38">
        <f>E113/E109-1</f>
        <v/>
      </c>
      <c r="J113" s="38">
        <f>IF(OR(H113="",H109=""),"",H113/H109-1)</f>
        <v/>
      </c>
      <c r="K113" s="39">
        <f>IF(Raw_Nationwide!C110="","",Raw_Nationwide!C110/100)</f>
        <v/>
      </c>
      <c r="L113" s="40">
        <f>IF(K113="","",(I113-K113)*100)</f>
        <v/>
      </c>
      <c r="M113" s="37">
        <f>IF(H113="","",MAX(H$5:H113))</f>
        <v/>
      </c>
      <c r="N113" s="38">
        <f>IF(H113="","",H113/M113-1)</f>
        <v/>
      </c>
    </row>
    <row r="114">
      <c r="A114" s="34">
        <f>Raw_Nationwide!A111</f>
        <v/>
      </c>
      <c r="B114" s="21">
        <f>YEAR(A114)</f>
        <v/>
      </c>
      <c r="C114" s="21">
        <f>"Q"&amp;ROUNDUP(MONTH(A114)/3,0)</f>
        <v/>
      </c>
      <c r="D114" s="21">
        <f>B114&amp;" "&amp;C114</f>
        <v/>
      </c>
      <c r="E114" s="35">
        <f>Raw_Nationwide!B111</f>
        <v/>
      </c>
      <c r="F114" s="35">
        <f>Raw_Nationwide!D111</f>
        <v/>
      </c>
      <c r="G114" s="36">
        <f>IFERROR(INDEX(CPI_Index,MATCH(B114,CPI_Year,0)),"")</f>
        <v/>
      </c>
      <c r="H114" s="37">
        <f>IF(G114="","",E114*100/G114)</f>
        <v/>
      </c>
      <c r="I114" s="38">
        <f>E114/E110-1</f>
        <v/>
      </c>
      <c r="J114" s="38">
        <f>IF(OR(H114="",H110=""),"",H114/H110-1)</f>
        <v/>
      </c>
      <c r="K114" s="39">
        <f>IF(Raw_Nationwide!C111="","",Raw_Nationwide!C111/100)</f>
        <v/>
      </c>
      <c r="L114" s="40">
        <f>IF(K114="","",(I114-K114)*100)</f>
        <v/>
      </c>
      <c r="M114" s="37">
        <f>IF(H114="","",MAX(H$5:H114))</f>
        <v/>
      </c>
      <c r="N114" s="38">
        <f>IF(H114="","",H114/M114-1)</f>
        <v/>
      </c>
    </row>
    <row r="115">
      <c r="A115" s="34">
        <f>Raw_Nationwide!A112</f>
        <v/>
      </c>
      <c r="B115" s="21">
        <f>YEAR(A115)</f>
        <v/>
      </c>
      <c r="C115" s="21">
        <f>"Q"&amp;ROUNDUP(MONTH(A115)/3,0)</f>
        <v/>
      </c>
      <c r="D115" s="21">
        <f>B115&amp;" "&amp;C115</f>
        <v/>
      </c>
      <c r="E115" s="35">
        <f>Raw_Nationwide!B112</f>
        <v/>
      </c>
      <c r="F115" s="35">
        <f>Raw_Nationwide!D112</f>
        <v/>
      </c>
      <c r="G115" s="36">
        <f>IFERROR(INDEX(CPI_Index,MATCH(B115,CPI_Year,0)),"")</f>
        <v/>
      </c>
      <c r="H115" s="37">
        <f>IF(G115="","",E115*100/G115)</f>
        <v/>
      </c>
      <c r="I115" s="38">
        <f>E115/E111-1</f>
        <v/>
      </c>
      <c r="J115" s="38">
        <f>IF(OR(H115="",H111=""),"",H115/H111-1)</f>
        <v/>
      </c>
      <c r="K115" s="39">
        <f>IF(Raw_Nationwide!C112="","",Raw_Nationwide!C112/100)</f>
        <v/>
      </c>
      <c r="L115" s="40">
        <f>IF(K115="","",(I115-K115)*100)</f>
        <v/>
      </c>
      <c r="M115" s="37">
        <f>IF(H115="","",MAX(H$5:H115))</f>
        <v/>
      </c>
      <c r="N115" s="38">
        <f>IF(H115="","",H115/M115-1)</f>
        <v/>
      </c>
    </row>
    <row r="116">
      <c r="A116" s="34">
        <f>Raw_Nationwide!A113</f>
        <v/>
      </c>
      <c r="B116" s="21">
        <f>YEAR(A116)</f>
        <v/>
      </c>
      <c r="C116" s="21">
        <f>"Q"&amp;ROUNDUP(MONTH(A116)/3,0)</f>
        <v/>
      </c>
      <c r="D116" s="21">
        <f>B116&amp;" "&amp;C116</f>
        <v/>
      </c>
      <c r="E116" s="35">
        <f>Raw_Nationwide!B113</f>
        <v/>
      </c>
      <c r="F116" s="35">
        <f>Raw_Nationwide!D113</f>
        <v/>
      </c>
      <c r="G116" s="36">
        <f>IFERROR(INDEX(CPI_Index,MATCH(B116,CPI_Year,0)),"")</f>
        <v/>
      </c>
      <c r="H116" s="37">
        <f>IF(G116="","",E116*100/G116)</f>
        <v/>
      </c>
      <c r="I116" s="38">
        <f>E116/E112-1</f>
        <v/>
      </c>
      <c r="J116" s="38">
        <f>IF(OR(H116="",H112=""),"",H116/H112-1)</f>
        <v/>
      </c>
      <c r="K116" s="39">
        <f>IF(Raw_Nationwide!C113="","",Raw_Nationwide!C113/100)</f>
        <v/>
      </c>
      <c r="L116" s="40">
        <f>IF(K116="","",(I116-K116)*100)</f>
        <v/>
      </c>
      <c r="M116" s="37">
        <f>IF(H116="","",MAX(H$5:H116))</f>
        <v/>
      </c>
      <c r="N116" s="38">
        <f>IF(H116="","",H116/M116-1)</f>
        <v/>
      </c>
    </row>
    <row r="117">
      <c r="A117" s="34">
        <f>Raw_Nationwide!A114</f>
        <v/>
      </c>
      <c r="B117" s="21">
        <f>YEAR(A117)</f>
        <v/>
      </c>
      <c r="C117" s="21">
        <f>"Q"&amp;ROUNDUP(MONTH(A117)/3,0)</f>
        <v/>
      </c>
      <c r="D117" s="21">
        <f>B117&amp;" "&amp;C117</f>
        <v/>
      </c>
      <c r="E117" s="35">
        <f>Raw_Nationwide!B114</f>
        <v/>
      </c>
      <c r="F117" s="35">
        <f>Raw_Nationwide!D114</f>
        <v/>
      </c>
      <c r="G117" s="36">
        <f>IFERROR(INDEX(CPI_Index,MATCH(B117,CPI_Year,0)),"")</f>
        <v/>
      </c>
      <c r="H117" s="37">
        <f>IF(G117="","",E117*100/G117)</f>
        <v/>
      </c>
      <c r="I117" s="38">
        <f>E117/E113-1</f>
        <v/>
      </c>
      <c r="J117" s="38">
        <f>IF(OR(H117="",H113=""),"",H117/H113-1)</f>
        <v/>
      </c>
      <c r="K117" s="39">
        <f>IF(Raw_Nationwide!C114="","",Raw_Nationwide!C114/100)</f>
        <v/>
      </c>
      <c r="L117" s="40">
        <f>IF(K117="","",(I117-K117)*100)</f>
        <v/>
      </c>
      <c r="M117" s="37">
        <f>IF(H117="","",MAX(H$5:H117))</f>
        <v/>
      </c>
      <c r="N117" s="38">
        <f>IF(H117="","",H117/M117-1)</f>
        <v/>
      </c>
    </row>
    <row r="118">
      <c r="A118" s="34">
        <f>Raw_Nationwide!A115</f>
        <v/>
      </c>
      <c r="B118" s="21">
        <f>YEAR(A118)</f>
        <v/>
      </c>
      <c r="C118" s="21">
        <f>"Q"&amp;ROUNDUP(MONTH(A118)/3,0)</f>
        <v/>
      </c>
      <c r="D118" s="21">
        <f>B118&amp;" "&amp;C118</f>
        <v/>
      </c>
      <c r="E118" s="35">
        <f>Raw_Nationwide!B115</f>
        <v/>
      </c>
      <c r="F118" s="35">
        <f>Raw_Nationwide!D115</f>
        <v/>
      </c>
      <c r="G118" s="36">
        <f>IFERROR(INDEX(CPI_Index,MATCH(B118,CPI_Year,0)),"")</f>
        <v/>
      </c>
      <c r="H118" s="37">
        <f>IF(G118="","",E118*100/G118)</f>
        <v/>
      </c>
      <c r="I118" s="38">
        <f>E118/E114-1</f>
        <v/>
      </c>
      <c r="J118" s="38">
        <f>IF(OR(H118="",H114=""),"",H118/H114-1)</f>
        <v/>
      </c>
      <c r="K118" s="39">
        <f>IF(Raw_Nationwide!C115="","",Raw_Nationwide!C115/100)</f>
        <v/>
      </c>
      <c r="L118" s="40">
        <f>IF(K118="","",(I118-K118)*100)</f>
        <v/>
      </c>
      <c r="M118" s="37">
        <f>IF(H118="","",MAX(H$5:H118))</f>
        <v/>
      </c>
      <c r="N118" s="38">
        <f>IF(H118="","",H118/M118-1)</f>
        <v/>
      </c>
    </row>
    <row r="119">
      <c r="A119" s="34">
        <f>Raw_Nationwide!A116</f>
        <v/>
      </c>
      <c r="B119" s="21">
        <f>YEAR(A119)</f>
        <v/>
      </c>
      <c r="C119" s="21">
        <f>"Q"&amp;ROUNDUP(MONTH(A119)/3,0)</f>
        <v/>
      </c>
      <c r="D119" s="21">
        <f>B119&amp;" "&amp;C119</f>
        <v/>
      </c>
      <c r="E119" s="35">
        <f>Raw_Nationwide!B116</f>
        <v/>
      </c>
      <c r="F119" s="35">
        <f>Raw_Nationwide!D116</f>
        <v/>
      </c>
      <c r="G119" s="36">
        <f>IFERROR(INDEX(CPI_Index,MATCH(B119,CPI_Year,0)),"")</f>
        <v/>
      </c>
      <c r="H119" s="37">
        <f>IF(G119="","",E119*100/G119)</f>
        <v/>
      </c>
      <c r="I119" s="38">
        <f>E119/E115-1</f>
        <v/>
      </c>
      <c r="J119" s="38">
        <f>IF(OR(H119="",H115=""),"",H119/H115-1)</f>
        <v/>
      </c>
      <c r="K119" s="39">
        <f>IF(Raw_Nationwide!C116="","",Raw_Nationwide!C116/100)</f>
        <v/>
      </c>
      <c r="L119" s="40">
        <f>IF(K119="","",(I119-K119)*100)</f>
        <v/>
      </c>
      <c r="M119" s="37">
        <f>IF(H119="","",MAX(H$5:H119))</f>
        <v/>
      </c>
      <c r="N119" s="38">
        <f>IF(H119="","",H119/M119-1)</f>
        <v/>
      </c>
    </row>
    <row r="120">
      <c r="A120" s="34">
        <f>Raw_Nationwide!A117</f>
        <v/>
      </c>
      <c r="B120" s="21">
        <f>YEAR(A120)</f>
        <v/>
      </c>
      <c r="C120" s="21">
        <f>"Q"&amp;ROUNDUP(MONTH(A120)/3,0)</f>
        <v/>
      </c>
      <c r="D120" s="21">
        <f>B120&amp;" "&amp;C120</f>
        <v/>
      </c>
      <c r="E120" s="35">
        <f>Raw_Nationwide!B117</f>
        <v/>
      </c>
      <c r="F120" s="35">
        <f>Raw_Nationwide!D117</f>
        <v/>
      </c>
      <c r="G120" s="36">
        <f>IFERROR(INDEX(CPI_Index,MATCH(B120,CPI_Year,0)),"")</f>
        <v/>
      </c>
      <c r="H120" s="37">
        <f>IF(G120="","",E120*100/G120)</f>
        <v/>
      </c>
      <c r="I120" s="38">
        <f>E120/E116-1</f>
        <v/>
      </c>
      <c r="J120" s="38">
        <f>IF(OR(H120="",H116=""),"",H120/H116-1)</f>
        <v/>
      </c>
      <c r="K120" s="39">
        <f>IF(Raw_Nationwide!C117="","",Raw_Nationwide!C117/100)</f>
        <v/>
      </c>
      <c r="L120" s="40">
        <f>IF(K120="","",(I120-K120)*100)</f>
        <v/>
      </c>
      <c r="M120" s="37">
        <f>IF(H120="","",MAX(H$5:H120))</f>
        <v/>
      </c>
      <c r="N120" s="38">
        <f>IF(H120="","",H120/M120-1)</f>
        <v/>
      </c>
    </row>
    <row r="121">
      <c r="A121" s="34">
        <f>Raw_Nationwide!A118</f>
        <v/>
      </c>
      <c r="B121" s="21">
        <f>YEAR(A121)</f>
        <v/>
      </c>
      <c r="C121" s="21">
        <f>"Q"&amp;ROUNDUP(MONTH(A121)/3,0)</f>
        <v/>
      </c>
      <c r="D121" s="21">
        <f>B121&amp;" "&amp;C121</f>
        <v/>
      </c>
      <c r="E121" s="35">
        <f>Raw_Nationwide!B118</f>
        <v/>
      </c>
      <c r="F121" s="35">
        <f>Raw_Nationwide!D118</f>
        <v/>
      </c>
      <c r="G121" s="36">
        <f>IFERROR(INDEX(CPI_Index,MATCH(B121,CPI_Year,0)),"")</f>
        <v/>
      </c>
      <c r="H121" s="37">
        <f>IF(G121="","",E121*100/G121)</f>
        <v/>
      </c>
      <c r="I121" s="38">
        <f>E121/E117-1</f>
        <v/>
      </c>
      <c r="J121" s="38">
        <f>IF(OR(H121="",H117=""),"",H121/H117-1)</f>
        <v/>
      </c>
      <c r="K121" s="39">
        <f>IF(Raw_Nationwide!C118="","",Raw_Nationwide!C118/100)</f>
        <v/>
      </c>
      <c r="L121" s="40">
        <f>IF(K121="","",(I121-K121)*100)</f>
        <v/>
      </c>
      <c r="M121" s="37">
        <f>IF(H121="","",MAX(H$5:H121))</f>
        <v/>
      </c>
      <c r="N121" s="38">
        <f>IF(H121="","",H121/M121-1)</f>
        <v/>
      </c>
    </row>
    <row r="122">
      <c r="A122" s="34">
        <f>Raw_Nationwide!A119</f>
        <v/>
      </c>
      <c r="B122" s="21">
        <f>YEAR(A122)</f>
        <v/>
      </c>
      <c r="C122" s="21">
        <f>"Q"&amp;ROUNDUP(MONTH(A122)/3,0)</f>
        <v/>
      </c>
      <c r="D122" s="21">
        <f>B122&amp;" "&amp;C122</f>
        <v/>
      </c>
      <c r="E122" s="35">
        <f>Raw_Nationwide!B119</f>
        <v/>
      </c>
      <c r="F122" s="35">
        <f>Raw_Nationwide!D119</f>
        <v/>
      </c>
      <c r="G122" s="36">
        <f>IFERROR(INDEX(CPI_Index,MATCH(B122,CPI_Year,0)),"")</f>
        <v/>
      </c>
      <c r="H122" s="37">
        <f>IF(G122="","",E122*100/G122)</f>
        <v/>
      </c>
      <c r="I122" s="38">
        <f>E122/E118-1</f>
        <v/>
      </c>
      <c r="J122" s="38">
        <f>IF(OR(H122="",H118=""),"",H122/H118-1)</f>
        <v/>
      </c>
      <c r="K122" s="39">
        <f>IF(Raw_Nationwide!C119="","",Raw_Nationwide!C119/100)</f>
        <v/>
      </c>
      <c r="L122" s="40">
        <f>IF(K122="","",(I122-K122)*100)</f>
        <v/>
      </c>
      <c r="M122" s="37">
        <f>IF(H122="","",MAX(H$5:H122))</f>
        <v/>
      </c>
      <c r="N122" s="38">
        <f>IF(H122="","",H122/M122-1)</f>
        <v/>
      </c>
    </row>
    <row r="123">
      <c r="A123" s="34">
        <f>Raw_Nationwide!A120</f>
        <v/>
      </c>
      <c r="B123" s="21">
        <f>YEAR(A123)</f>
        <v/>
      </c>
      <c r="C123" s="21">
        <f>"Q"&amp;ROUNDUP(MONTH(A123)/3,0)</f>
        <v/>
      </c>
      <c r="D123" s="21">
        <f>B123&amp;" "&amp;C123</f>
        <v/>
      </c>
      <c r="E123" s="35">
        <f>Raw_Nationwide!B120</f>
        <v/>
      </c>
      <c r="F123" s="35">
        <f>Raw_Nationwide!D120</f>
        <v/>
      </c>
      <c r="G123" s="36">
        <f>IFERROR(INDEX(CPI_Index,MATCH(B123,CPI_Year,0)),"")</f>
        <v/>
      </c>
      <c r="H123" s="37">
        <f>IF(G123="","",E123*100/G123)</f>
        <v/>
      </c>
      <c r="I123" s="38">
        <f>E123/E119-1</f>
        <v/>
      </c>
      <c r="J123" s="38">
        <f>IF(OR(H123="",H119=""),"",H123/H119-1)</f>
        <v/>
      </c>
      <c r="K123" s="39">
        <f>IF(Raw_Nationwide!C120="","",Raw_Nationwide!C120/100)</f>
        <v/>
      </c>
      <c r="L123" s="40">
        <f>IF(K123="","",(I123-K123)*100)</f>
        <v/>
      </c>
      <c r="M123" s="37">
        <f>IF(H123="","",MAX(H$5:H123))</f>
        <v/>
      </c>
      <c r="N123" s="38">
        <f>IF(H123="","",H123/M123-1)</f>
        <v/>
      </c>
    </row>
    <row r="124">
      <c r="A124" s="34">
        <f>Raw_Nationwide!A121</f>
        <v/>
      </c>
      <c r="B124" s="21">
        <f>YEAR(A124)</f>
        <v/>
      </c>
      <c r="C124" s="21">
        <f>"Q"&amp;ROUNDUP(MONTH(A124)/3,0)</f>
        <v/>
      </c>
      <c r="D124" s="21">
        <f>B124&amp;" "&amp;C124</f>
        <v/>
      </c>
      <c r="E124" s="35">
        <f>Raw_Nationwide!B121</f>
        <v/>
      </c>
      <c r="F124" s="35">
        <f>Raw_Nationwide!D121</f>
        <v/>
      </c>
      <c r="G124" s="36">
        <f>IFERROR(INDEX(CPI_Index,MATCH(B124,CPI_Year,0)),"")</f>
        <v/>
      </c>
      <c r="H124" s="37">
        <f>IF(G124="","",E124*100/G124)</f>
        <v/>
      </c>
      <c r="I124" s="38">
        <f>E124/E120-1</f>
        <v/>
      </c>
      <c r="J124" s="38">
        <f>IF(OR(H124="",H120=""),"",H124/H120-1)</f>
        <v/>
      </c>
      <c r="K124" s="39">
        <f>IF(Raw_Nationwide!C121="","",Raw_Nationwide!C121/100)</f>
        <v/>
      </c>
      <c r="L124" s="40">
        <f>IF(K124="","",(I124-K124)*100)</f>
        <v/>
      </c>
      <c r="M124" s="37">
        <f>IF(H124="","",MAX(H$5:H124))</f>
        <v/>
      </c>
      <c r="N124" s="38">
        <f>IF(H124="","",H124/M124-1)</f>
        <v/>
      </c>
    </row>
    <row r="125">
      <c r="A125" s="34">
        <f>Raw_Nationwide!A122</f>
        <v/>
      </c>
      <c r="B125" s="21">
        <f>YEAR(A125)</f>
        <v/>
      </c>
      <c r="C125" s="21">
        <f>"Q"&amp;ROUNDUP(MONTH(A125)/3,0)</f>
        <v/>
      </c>
      <c r="D125" s="21">
        <f>B125&amp;" "&amp;C125</f>
        <v/>
      </c>
      <c r="E125" s="35">
        <f>Raw_Nationwide!B122</f>
        <v/>
      </c>
      <c r="F125" s="35">
        <f>Raw_Nationwide!D122</f>
        <v/>
      </c>
      <c r="G125" s="36">
        <f>IFERROR(INDEX(CPI_Index,MATCH(B125,CPI_Year,0)),"")</f>
        <v/>
      </c>
      <c r="H125" s="37">
        <f>IF(G125="","",E125*100/G125)</f>
        <v/>
      </c>
      <c r="I125" s="38">
        <f>E125/E121-1</f>
        <v/>
      </c>
      <c r="J125" s="38">
        <f>IF(OR(H125="",H121=""),"",H125/H121-1)</f>
        <v/>
      </c>
      <c r="K125" s="39">
        <f>IF(Raw_Nationwide!C122="","",Raw_Nationwide!C122/100)</f>
        <v/>
      </c>
      <c r="L125" s="40">
        <f>IF(K125="","",(I125-K125)*100)</f>
        <v/>
      </c>
      <c r="M125" s="37">
        <f>IF(H125="","",MAX(H$5:H125))</f>
        <v/>
      </c>
      <c r="N125" s="38">
        <f>IF(H125="","",H125/M125-1)</f>
        <v/>
      </c>
    </row>
    <row r="126">
      <c r="A126" s="34">
        <f>Raw_Nationwide!A123</f>
        <v/>
      </c>
      <c r="B126" s="21">
        <f>YEAR(A126)</f>
        <v/>
      </c>
      <c r="C126" s="21">
        <f>"Q"&amp;ROUNDUP(MONTH(A126)/3,0)</f>
        <v/>
      </c>
      <c r="D126" s="21">
        <f>B126&amp;" "&amp;C126</f>
        <v/>
      </c>
      <c r="E126" s="35">
        <f>Raw_Nationwide!B123</f>
        <v/>
      </c>
      <c r="F126" s="35">
        <f>Raw_Nationwide!D123</f>
        <v/>
      </c>
      <c r="G126" s="36">
        <f>IFERROR(INDEX(CPI_Index,MATCH(B126,CPI_Year,0)),"")</f>
        <v/>
      </c>
      <c r="H126" s="37">
        <f>IF(G126="","",E126*100/G126)</f>
        <v/>
      </c>
      <c r="I126" s="38">
        <f>E126/E122-1</f>
        <v/>
      </c>
      <c r="J126" s="38">
        <f>IF(OR(H126="",H122=""),"",H126/H122-1)</f>
        <v/>
      </c>
      <c r="K126" s="39">
        <f>IF(Raw_Nationwide!C123="","",Raw_Nationwide!C123/100)</f>
        <v/>
      </c>
      <c r="L126" s="40">
        <f>IF(K126="","",(I126-K126)*100)</f>
        <v/>
      </c>
      <c r="M126" s="37">
        <f>IF(H126="","",MAX(H$5:H126))</f>
        <v/>
      </c>
      <c r="N126" s="38">
        <f>IF(H126="","",H126/M126-1)</f>
        <v/>
      </c>
    </row>
    <row r="127">
      <c r="A127" s="34">
        <f>Raw_Nationwide!A124</f>
        <v/>
      </c>
      <c r="B127" s="21">
        <f>YEAR(A127)</f>
        <v/>
      </c>
      <c r="C127" s="21">
        <f>"Q"&amp;ROUNDUP(MONTH(A127)/3,0)</f>
        <v/>
      </c>
      <c r="D127" s="21">
        <f>B127&amp;" "&amp;C127</f>
        <v/>
      </c>
      <c r="E127" s="35">
        <f>Raw_Nationwide!B124</f>
        <v/>
      </c>
      <c r="F127" s="35">
        <f>Raw_Nationwide!D124</f>
        <v/>
      </c>
      <c r="G127" s="36">
        <f>IFERROR(INDEX(CPI_Index,MATCH(B127,CPI_Year,0)),"")</f>
        <v/>
      </c>
      <c r="H127" s="37">
        <f>IF(G127="","",E127*100/G127)</f>
        <v/>
      </c>
      <c r="I127" s="38">
        <f>E127/E123-1</f>
        <v/>
      </c>
      <c r="J127" s="38">
        <f>IF(OR(H127="",H123=""),"",H127/H123-1)</f>
        <v/>
      </c>
      <c r="K127" s="39">
        <f>IF(Raw_Nationwide!C124="","",Raw_Nationwide!C124/100)</f>
        <v/>
      </c>
      <c r="L127" s="40">
        <f>IF(K127="","",(I127-K127)*100)</f>
        <v/>
      </c>
      <c r="M127" s="37">
        <f>IF(H127="","",MAX(H$5:H127))</f>
        <v/>
      </c>
      <c r="N127" s="38">
        <f>IF(H127="","",H127/M127-1)</f>
        <v/>
      </c>
    </row>
    <row r="128">
      <c r="A128" s="34">
        <f>Raw_Nationwide!A125</f>
        <v/>
      </c>
      <c r="B128" s="21">
        <f>YEAR(A128)</f>
        <v/>
      </c>
      <c r="C128" s="21">
        <f>"Q"&amp;ROUNDUP(MONTH(A128)/3,0)</f>
        <v/>
      </c>
      <c r="D128" s="21">
        <f>B128&amp;" "&amp;C128</f>
        <v/>
      </c>
      <c r="E128" s="35">
        <f>Raw_Nationwide!B125</f>
        <v/>
      </c>
      <c r="F128" s="35">
        <f>Raw_Nationwide!D125</f>
        <v/>
      </c>
      <c r="G128" s="36">
        <f>IFERROR(INDEX(CPI_Index,MATCH(B128,CPI_Year,0)),"")</f>
        <v/>
      </c>
      <c r="H128" s="37">
        <f>IF(G128="","",E128*100/G128)</f>
        <v/>
      </c>
      <c r="I128" s="38">
        <f>E128/E124-1</f>
        <v/>
      </c>
      <c r="J128" s="38">
        <f>IF(OR(H128="",H124=""),"",H128/H124-1)</f>
        <v/>
      </c>
      <c r="K128" s="39">
        <f>IF(Raw_Nationwide!C125="","",Raw_Nationwide!C125/100)</f>
        <v/>
      </c>
      <c r="L128" s="40">
        <f>IF(K128="","",(I128-K128)*100)</f>
        <v/>
      </c>
      <c r="M128" s="37">
        <f>IF(H128="","",MAX(H$5:H128))</f>
        <v/>
      </c>
      <c r="N128" s="38">
        <f>IF(H128="","",H128/M128-1)</f>
        <v/>
      </c>
    </row>
    <row r="129">
      <c r="A129" s="34">
        <f>Raw_Nationwide!A126</f>
        <v/>
      </c>
      <c r="B129" s="21">
        <f>YEAR(A129)</f>
        <v/>
      </c>
      <c r="C129" s="21">
        <f>"Q"&amp;ROUNDUP(MONTH(A129)/3,0)</f>
        <v/>
      </c>
      <c r="D129" s="21">
        <f>B129&amp;" "&amp;C129</f>
        <v/>
      </c>
      <c r="E129" s="35">
        <f>Raw_Nationwide!B126</f>
        <v/>
      </c>
      <c r="F129" s="35">
        <f>Raw_Nationwide!D126</f>
        <v/>
      </c>
      <c r="G129" s="36">
        <f>IFERROR(INDEX(CPI_Index,MATCH(B129,CPI_Year,0)),"")</f>
        <v/>
      </c>
      <c r="H129" s="37">
        <f>IF(G129="","",E129*100/G129)</f>
        <v/>
      </c>
      <c r="I129" s="38">
        <f>E129/E125-1</f>
        <v/>
      </c>
      <c r="J129" s="38">
        <f>IF(OR(H129="",H125=""),"",H129/H125-1)</f>
        <v/>
      </c>
      <c r="K129" s="39">
        <f>IF(Raw_Nationwide!C126="","",Raw_Nationwide!C126/100)</f>
        <v/>
      </c>
      <c r="L129" s="40">
        <f>IF(K129="","",(I129-K129)*100)</f>
        <v/>
      </c>
      <c r="M129" s="37">
        <f>IF(H129="","",MAX(H$5:H129))</f>
        <v/>
      </c>
      <c r="N129" s="38">
        <f>IF(H129="","",H129/M129-1)</f>
        <v/>
      </c>
    </row>
    <row r="130">
      <c r="A130" s="34">
        <f>Raw_Nationwide!A127</f>
        <v/>
      </c>
      <c r="B130" s="21">
        <f>YEAR(A130)</f>
        <v/>
      </c>
      <c r="C130" s="21">
        <f>"Q"&amp;ROUNDUP(MONTH(A130)/3,0)</f>
        <v/>
      </c>
      <c r="D130" s="21">
        <f>B130&amp;" "&amp;C130</f>
        <v/>
      </c>
      <c r="E130" s="35">
        <f>Raw_Nationwide!B127</f>
        <v/>
      </c>
      <c r="F130" s="35">
        <f>Raw_Nationwide!D127</f>
        <v/>
      </c>
      <c r="G130" s="36">
        <f>IFERROR(INDEX(CPI_Index,MATCH(B130,CPI_Year,0)),"")</f>
        <v/>
      </c>
      <c r="H130" s="37">
        <f>IF(G130="","",E130*100/G130)</f>
        <v/>
      </c>
      <c r="I130" s="38">
        <f>E130/E126-1</f>
        <v/>
      </c>
      <c r="J130" s="38">
        <f>IF(OR(H130="",H126=""),"",H130/H126-1)</f>
        <v/>
      </c>
      <c r="K130" s="39">
        <f>IF(Raw_Nationwide!C127="","",Raw_Nationwide!C127/100)</f>
        <v/>
      </c>
      <c r="L130" s="40">
        <f>IF(K130="","",(I130-K130)*100)</f>
        <v/>
      </c>
      <c r="M130" s="37">
        <f>IF(H130="","",MAX(H$5:H130))</f>
        <v/>
      </c>
      <c r="N130" s="38">
        <f>IF(H130="","",H130/M130-1)</f>
        <v/>
      </c>
    </row>
    <row r="131">
      <c r="A131" s="34">
        <f>Raw_Nationwide!A128</f>
        <v/>
      </c>
      <c r="B131" s="21">
        <f>YEAR(A131)</f>
        <v/>
      </c>
      <c r="C131" s="21">
        <f>"Q"&amp;ROUNDUP(MONTH(A131)/3,0)</f>
        <v/>
      </c>
      <c r="D131" s="21">
        <f>B131&amp;" "&amp;C131</f>
        <v/>
      </c>
      <c r="E131" s="35">
        <f>Raw_Nationwide!B128</f>
        <v/>
      </c>
      <c r="F131" s="35">
        <f>Raw_Nationwide!D128</f>
        <v/>
      </c>
      <c r="G131" s="36">
        <f>IFERROR(INDEX(CPI_Index,MATCH(B131,CPI_Year,0)),"")</f>
        <v/>
      </c>
      <c r="H131" s="37">
        <f>IF(G131="","",E131*100/G131)</f>
        <v/>
      </c>
      <c r="I131" s="38">
        <f>E131/E127-1</f>
        <v/>
      </c>
      <c r="J131" s="38">
        <f>IF(OR(H131="",H127=""),"",H131/H127-1)</f>
        <v/>
      </c>
      <c r="K131" s="39">
        <f>IF(Raw_Nationwide!C128="","",Raw_Nationwide!C128/100)</f>
        <v/>
      </c>
      <c r="L131" s="40">
        <f>IF(K131="","",(I131-K131)*100)</f>
        <v/>
      </c>
      <c r="M131" s="37">
        <f>IF(H131="","",MAX(H$5:H131))</f>
        <v/>
      </c>
      <c r="N131" s="38">
        <f>IF(H131="","",H131/M131-1)</f>
        <v/>
      </c>
    </row>
    <row r="132">
      <c r="A132" s="34">
        <f>Raw_Nationwide!A129</f>
        <v/>
      </c>
      <c r="B132" s="21">
        <f>YEAR(A132)</f>
        <v/>
      </c>
      <c r="C132" s="21">
        <f>"Q"&amp;ROUNDUP(MONTH(A132)/3,0)</f>
        <v/>
      </c>
      <c r="D132" s="21">
        <f>B132&amp;" "&amp;C132</f>
        <v/>
      </c>
      <c r="E132" s="35">
        <f>Raw_Nationwide!B129</f>
        <v/>
      </c>
      <c r="F132" s="35">
        <f>Raw_Nationwide!D129</f>
        <v/>
      </c>
      <c r="G132" s="36">
        <f>IFERROR(INDEX(CPI_Index,MATCH(B132,CPI_Year,0)),"")</f>
        <v/>
      </c>
      <c r="H132" s="37">
        <f>IF(G132="","",E132*100/G132)</f>
        <v/>
      </c>
      <c r="I132" s="38">
        <f>E132/E128-1</f>
        <v/>
      </c>
      <c r="J132" s="38">
        <f>IF(OR(H132="",H128=""),"",H132/H128-1)</f>
        <v/>
      </c>
      <c r="K132" s="39">
        <f>IF(Raw_Nationwide!C129="","",Raw_Nationwide!C129/100)</f>
        <v/>
      </c>
      <c r="L132" s="40">
        <f>IF(K132="","",(I132-K132)*100)</f>
        <v/>
      </c>
      <c r="M132" s="37">
        <f>IF(H132="","",MAX(H$5:H132))</f>
        <v/>
      </c>
      <c r="N132" s="38">
        <f>IF(H132="","",H132/M132-1)</f>
        <v/>
      </c>
    </row>
    <row r="133">
      <c r="A133" s="34">
        <f>Raw_Nationwide!A130</f>
        <v/>
      </c>
      <c r="B133" s="21">
        <f>YEAR(A133)</f>
        <v/>
      </c>
      <c r="C133" s="21">
        <f>"Q"&amp;ROUNDUP(MONTH(A133)/3,0)</f>
        <v/>
      </c>
      <c r="D133" s="21">
        <f>B133&amp;" "&amp;C133</f>
        <v/>
      </c>
      <c r="E133" s="35">
        <f>Raw_Nationwide!B130</f>
        <v/>
      </c>
      <c r="F133" s="35">
        <f>Raw_Nationwide!D130</f>
        <v/>
      </c>
      <c r="G133" s="36">
        <f>IFERROR(INDEX(CPI_Index,MATCH(B133,CPI_Year,0)),"")</f>
        <v/>
      </c>
      <c r="H133" s="37">
        <f>IF(G133="","",E133*100/G133)</f>
        <v/>
      </c>
      <c r="I133" s="38">
        <f>E133/E129-1</f>
        <v/>
      </c>
      <c r="J133" s="38">
        <f>IF(OR(H133="",H129=""),"",H133/H129-1)</f>
        <v/>
      </c>
      <c r="K133" s="39">
        <f>IF(Raw_Nationwide!C130="","",Raw_Nationwide!C130/100)</f>
        <v/>
      </c>
      <c r="L133" s="40">
        <f>IF(K133="","",(I133-K133)*100)</f>
        <v/>
      </c>
      <c r="M133" s="37">
        <f>IF(H133="","",MAX(H$5:H133))</f>
        <v/>
      </c>
      <c r="N133" s="38">
        <f>IF(H133="","",H133/M133-1)</f>
        <v/>
      </c>
    </row>
    <row r="134">
      <c r="A134" s="34">
        <f>Raw_Nationwide!A131</f>
        <v/>
      </c>
      <c r="B134" s="21">
        <f>YEAR(A134)</f>
        <v/>
      </c>
      <c r="C134" s="21">
        <f>"Q"&amp;ROUNDUP(MONTH(A134)/3,0)</f>
        <v/>
      </c>
      <c r="D134" s="21">
        <f>B134&amp;" "&amp;C134</f>
        <v/>
      </c>
      <c r="E134" s="35">
        <f>Raw_Nationwide!B131</f>
        <v/>
      </c>
      <c r="F134" s="35">
        <f>Raw_Nationwide!D131</f>
        <v/>
      </c>
      <c r="G134" s="36">
        <f>IFERROR(INDEX(CPI_Index,MATCH(B134,CPI_Year,0)),"")</f>
        <v/>
      </c>
      <c r="H134" s="37">
        <f>IF(G134="","",E134*100/G134)</f>
        <v/>
      </c>
      <c r="I134" s="38">
        <f>E134/E130-1</f>
        <v/>
      </c>
      <c r="J134" s="38">
        <f>IF(OR(H134="",H130=""),"",H134/H130-1)</f>
        <v/>
      </c>
      <c r="K134" s="39">
        <f>IF(Raw_Nationwide!C131="","",Raw_Nationwide!C131/100)</f>
        <v/>
      </c>
      <c r="L134" s="40">
        <f>IF(K134="","",(I134-K134)*100)</f>
        <v/>
      </c>
      <c r="M134" s="37">
        <f>IF(H134="","",MAX(H$5:H134))</f>
        <v/>
      </c>
      <c r="N134" s="38">
        <f>IF(H134="","",H134/M134-1)</f>
        <v/>
      </c>
    </row>
    <row r="135">
      <c r="A135" s="34">
        <f>Raw_Nationwide!A132</f>
        <v/>
      </c>
      <c r="B135" s="21">
        <f>YEAR(A135)</f>
        <v/>
      </c>
      <c r="C135" s="21">
        <f>"Q"&amp;ROUNDUP(MONTH(A135)/3,0)</f>
        <v/>
      </c>
      <c r="D135" s="21">
        <f>B135&amp;" "&amp;C135</f>
        <v/>
      </c>
      <c r="E135" s="35">
        <f>Raw_Nationwide!B132</f>
        <v/>
      </c>
      <c r="F135" s="35">
        <f>Raw_Nationwide!D132</f>
        <v/>
      </c>
      <c r="G135" s="36">
        <f>IFERROR(INDEX(CPI_Index,MATCH(B135,CPI_Year,0)),"")</f>
        <v/>
      </c>
      <c r="H135" s="37">
        <f>IF(G135="","",E135*100/G135)</f>
        <v/>
      </c>
      <c r="I135" s="38">
        <f>E135/E131-1</f>
        <v/>
      </c>
      <c r="J135" s="38">
        <f>IF(OR(H135="",H131=""),"",H135/H131-1)</f>
        <v/>
      </c>
      <c r="K135" s="39">
        <f>IF(Raw_Nationwide!C132="","",Raw_Nationwide!C132/100)</f>
        <v/>
      </c>
      <c r="L135" s="40">
        <f>IF(K135="","",(I135-K135)*100)</f>
        <v/>
      </c>
      <c r="M135" s="37">
        <f>IF(H135="","",MAX(H$5:H135))</f>
        <v/>
      </c>
      <c r="N135" s="38">
        <f>IF(H135="","",H135/M135-1)</f>
        <v/>
      </c>
    </row>
    <row r="136">
      <c r="A136" s="34">
        <f>Raw_Nationwide!A133</f>
        <v/>
      </c>
      <c r="B136" s="21">
        <f>YEAR(A136)</f>
        <v/>
      </c>
      <c r="C136" s="21">
        <f>"Q"&amp;ROUNDUP(MONTH(A136)/3,0)</f>
        <v/>
      </c>
      <c r="D136" s="21">
        <f>B136&amp;" "&amp;C136</f>
        <v/>
      </c>
      <c r="E136" s="35">
        <f>Raw_Nationwide!B133</f>
        <v/>
      </c>
      <c r="F136" s="35">
        <f>Raw_Nationwide!D133</f>
        <v/>
      </c>
      <c r="G136" s="36">
        <f>IFERROR(INDEX(CPI_Index,MATCH(B136,CPI_Year,0)),"")</f>
        <v/>
      </c>
      <c r="H136" s="37">
        <f>IF(G136="","",E136*100/G136)</f>
        <v/>
      </c>
      <c r="I136" s="38">
        <f>E136/E132-1</f>
        <v/>
      </c>
      <c r="J136" s="38">
        <f>IF(OR(H136="",H132=""),"",H136/H132-1)</f>
        <v/>
      </c>
      <c r="K136" s="39">
        <f>IF(Raw_Nationwide!C133="","",Raw_Nationwide!C133/100)</f>
        <v/>
      </c>
      <c r="L136" s="40">
        <f>IF(K136="","",(I136-K136)*100)</f>
        <v/>
      </c>
      <c r="M136" s="37">
        <f>IF(H136="","",MAX(H$5:H136))</f>
        <v/>
      </c>
      <c r="N136" s="38">
        <f>IF(H136="","",H136/M136-1)</f>
        <v/>
      </c>
    </row>
    <row r="137">
      <c r="A137" s="34">
        <f>Raw_Nationwide!A134</f>
        <v/>
      </c>
      <c r="B137" s="21">
        <f>YEAR(A137)</f>
        <v/>
      </c>
      <c r="C137" s="21">
        <f>"Q"&amp;ROUNDUP(MONTH(A137)/3,0)</f>
        <v/>
      </c>
      <c r="D137" s="21">
        <f>B137&amp;" "&amp;C137</f>
        <v/>
      </c>
      <c r="E137" s="35">
        <f>Raw_Nationwide!B134</f>
        <v/>
      </c>
      <c r="F137" s="35">
        <f>Raw_Nationwide!D134</f>
        <v/>
      </c>
      <c r="G137" s="36">
        <f>IFERROR(INDEX(CPI_Index,MATCH(B137,CPI_Year,0)),"")</f>
        <v/>
      </c>
      <c r="H137" s="37">
        <f>IF(G137="","",E137*100/G137)</f>
        <v/>
      </c>
      <c r="I137" s="38">
        <f>E137/E133-1</f>
        <v/>
      </c>
      <c r="J137" s="38">
        <f>IF(OR(H137="",H133=""),"",H137/H133-1)</f>
        <v/>
      </c>
      <c r="K137" s="39">
        <f>IF(Raw_Nationwide!C134="","",Raw_Nationwide!C134/100)</f>
        <v/>
      </c>
      <c r="L137" s="40">
        <f>IF(K137="","",(I137-K137)*100)</f>
        <v/>
      </c>
      <c r="M137" s="37">
        <f>IF(H137="","",MAX(H$5:H137))</f>
        <v/>
      </c>
      <c r="N137" s="38">
        <f>IF(H137="","",H137/M137-1)</f>
        <v/>
      </c>
    </row>
    <row r="138">
      <c r="A138" s="34">
        <f>Raw_Nationwide!A135</f>
        <v/>
      </c>
      <c r="B138" s="21">
        <f>YEAR(A138)</f>
        <v/>
      </c>
      <c r="C138" s="21">
        <f>"Q"&amp;ROUNDUP(MONTH(A138)/3,0)</f>
        <v/>
      </c>
      <c r="D138" s="21">
        <f>B138&amp;" "&amp;C138</f>
        <v/>
      </c>
      <c r="E138" s="35">
        <f>Raw_Nationwide!B135</f>
        <v/>
      </c>
      <c r="F138" s="35">
        <f>Raw_Nationwide!D135</f>
        <v/>
      </c>
      <c r="G138" s="36">
        <f>IFERROR(INDEX(CPI_Index,MATCH(B138,CPI_Year,0)),"")</f>
        <v/>
      </c>
      <c r="H138" s="37">
        <f>IF(G138="","",E138*100/G138)</f>
        <v/>
      </c>
      <c r="I138" s="38">
        <f>E138/E134-1</f>
        <v/>
      </c>
      <c r="J138" s="38">
        <f>IF(OR(H138="",H134=""),"",H138/H134-1)</f>
        <v/>
      </c>
      <c r="K138" s="39">
        <f>IF(Raw_Nationwide!C135="","",Raw_Nationwide!C135/100)</f>
        <v/>
      </c>
      <c r="L138" s="40">
        <f>IF(K138="","",(I138-K138)*100)</f>
        <v/>
      </c>
      <c r="M138" s="37">
        <f>IF(H138="","",MAX(H$5:H138))</f>
        <v/>
      </c>
      <c r="N138" s="38">
        <f>IF(H138="","",H138/M138-1)</f>
        <v/>
      </c>
    </row>
    <row r="139">
      <c r="A139" s="34">
        <f>Raw_Nationwide!A136</f>
        <v/>
      </c>
      <c r="B139" s="21">
        <f>YEAR(A139)</f>
        <v/>
      </c>
      <c r="C139" s="21">
        <f>"Q"&amp;ROUNDUP(MONTH(A139)/3,0)</f>
        <v/>
      </c>
      <c r="D139" s="21">
        <f>B139&amp;" "&amp;C139</f>
        <v/>
      </c>
      <c r="E139" s="35">
        <f>Raw_Nationwide!B136</f>
        <v/>
      </c>
      <c r="F139" s="35">
        <f>Raw_Nationwide!D136</f>
        <v/>
      </c>
      <c r="G139" s="36">
        <f>IFERROR(INDEX(CPI_Index,MATCH(B139,CPI_Year,0)),"")</f>
        <v/>
      </c>
      <c r="H139" s="37">
        <f>IF(G139="","",E139*100/G139)</f>
        <v/>
      </c>
      <c r="I139" s="38">
        <f>E139/E135-1</f>
        <v/>
      </c>
      <c r="J139" s="38">
        <f>IF(OR(H139="",H135=""),"",H139/H135-1)</f>
        <v/>
      </c>
      <c r="K139" s="39">
        <f>IF(Raw_Nationwide!C136="","",Raw_Nationwide!C136/100)</f>
        <v/>
      </c>
      <c r="L139" s="40">
        <f>IF(K139="","",(I139-K139)*100)</f>
        <v/>
      </c>
      <c r="M139" s="37">
        <f>IF(H139="","",MAX(H$5:H139))</f>
        <v/>
      </c>
      <c r="N139" s="38">
        <f>IF(H139="","",H139/M139-1)</f>
        <v/>
      </c>
    </row>
    <row r="140">
      <c r="A140" s="34">
        <f>Raw_Nationwide!A137</f>
        <v/>
      </c>
      <c r="B140" s="21">
        <f>YEAR(A140)</f>
        <v/>
      </c>
      <c r="C140" s="21">
        <f>"Q"&amp;ROUNDUP(MONTH(A140)/3,0)</f>
        <v/>
      </c>
      <c r="D140" s="21">
        <f>B140&amp;" "&amp;C140</f>
        <v/>
      </c>
      <c r="E140" s="35">
        <f>Raw_Nationwide!B137</f>
        <v/>
      </c>
      <c r="F140" s="35">
        <f>Raw_Nationwide!D137</f>
        <v/>
      </c>
      <c r="G140" s="36">
        <f>IFERROR(INDEX(CPI_Index,MATCH(B140,CPI_Year,0)),"")</f>
        <v/>
      </c>
      <c r="H140" s="37">
        <f>IF(G140="","",E140*100/G140)</f>
        <v/>
      </c>
      <c r="I140" s="38">
        <f>E140/E136-1</f>
        <v/>
      </c>
      <c r="J140" s="38">
        <f>IF(OR(H140="",H136=""),"",H140/H136-1)</f>
        <v/>
      </c>
      <c r="K140" s="39">
        <f>IF(Raw_Nationwide!C137="","",Raw_Nationwide!C137/100)</f>
        <v/>
      </c>
      <c r="L140" s="40">
        <f>IF(K140="","",(I140-K140)*100)</f>
        <v/>
      </c>
      <c r="M140" s="37">
        <f>IF(H140="","",MAX(H$5:H140))</f>
        <v/>
      </c>
      <c r="N140" s="38">
        <f>IF(H140="","",H140/M140-1)</f>
        <v/>
      </c>
    </row>
    <row r="141">
      <c r="A141" s="34">
        <f>Raw_Nationwide!A138</f>
        <v/>
      </c>
      <c r="B141" s="21">
        <f>YEAR(A141)</f>
        <v/>
      </c>
      <c r="C141" s="21">
        <f>"Q"&amp;ROUNDUP(MONTH(A141)/3,0)</f>
        <v/>
      </c>
      <c r="D141" s="21">
        <f>B141&amp;" "&amp;C141</f>
        <v/>
      </c>
      <c r="E141" s="35">
        <f>Raw_Nationwide!B138</f>
        <v/>
      </c>
      <c r="F141" s="35">
        <f>Raw_Nationwide!D138</f>
        <v/>
      </c>
      <c r="G141" s="36">
        <f>IFERROR(INDEX(CPI_Index,MATCH(B141,CPI_Year,0)),"")</f>
        <v/>
      </c>
      <c r="H141" s="37">
        <f>IF(G141="","",E141*100/G141)</f>
        <v/>
      </c>
      <c r="I141" s="38">
        <f>E141/E137-1</f>
        <v/>
      </c>
      <c r="J141" s="38">
        <f>IF(OR(H141="",H137=""),"",H141/H137-1)</f>
        <v/>
      </c>
      <c r="K141" s="39">
        <f>IF(Raw_Nationwide!C138="","",Raw_Nationwide!C138/100)</f>
        <v/>
      </c>
      <c r="L141" s="40">
        <f>IF(K141="","",(I141-K141)*100)</f>
        <v/>
      </c>
      <c r="M141" s="37">
        <f>IF(H141="","",MAX(H$5:H141))</f>
        <v/>
      </c>
      <c r="N141" s="38">
        <f>IF(H141="","",H141/M141-1)</f>
        <v/>
      </c>
    </row>
    <row r="142">
      <c r="A142" s="34">
        <f>Raw_Nationwide!A139</f>
        <v/>
      </c>
      <c r="B142" s="21">
        <f>YEAR(A142)</f>
        <v/>
      </c>
      <c r="C142" s="21">
        <f>"Q"&amp;ROUNDUP(MONTH(A142)/3,0)</f>
        <v/>
      </c>
      <c r="D142" s="21">
        <f>B142&amp;" "&amp;C142</f>
        <v/>
      </c>
      <c r="E142" s="35">
        <f>Raw_Nationwide!B139</f>
        <v/>
      </c>
      <c r="F142" s="35">
        <f>Raw_Nationwide!D139</f>
        <v/>
      </c>
      <c r="G142" s="36">
        <f>IFERROR(INDEX(CPI_Index,MATCH(B142,CPI_Year,0)),"")</f>
        <v/>
      </c>
      <c r="H142" s="37">
        <f>IF(G142="","",E142*100/G142)</f>
        <v/>
      </c>
      <c r="I142" s="38">
        <f>E142/E138-1</f>
        <v/>
      </c>
      <c r="J142" s="38">
        <f>IF(OR(H142="",H138=""),"",H142/H138-1)</f>
        <v/>
      </c>
      <c r="K142" s="39">
        <f>IF(Raw_Nationwide!C139="","",Raw_Nationwide!C139/100)</f>
        <v/>
      </c>
      <c r="L142" s="40">
        <f>IF(K142="","",(I142-K142)*100)</f>
        <v/>
      </c>
      <c r="M142" s="37">
        <f>IF(H142="","",MAX(H$5:H142))</f>
        <v/>
      </c>
      <c r="N142" s="38">
        <f>IF(H142="","",H142/M142-1)</f>
        <v/>
      </c>
    </row>
    <row r="143">
      <c r="A143" s="34">
        <f>Raw_Nationwide!A140</f>
        <v/>
      </c>
      <c r="B143" s="21">
        <f>YEAR(A143)</f>
        <v/>
      </c>
      <c r="C143" s="21">
        <f>"Q"&amp;ROUNDUP(MONTH(A143)/3,0)</f>
        <v/>
      </c>
      <c r="D143" s="21">
        <f>B143&amp;" "&amp;C143</f>
        <v/>
      </c>
      <c r="E143" s="35">
        <f>Raw_Nationwide!B140</f>
        <v/>
      </c>
      <c r="F143" s="35">
        <f>Raw_Nationwide!D140</f>
        <v/>
      </c>
      <c r="G143" s="36">
        <f>IFERROR(INDEX(CPI_Index,MATCH(B143,CPI_Year,0)),"")</f>
        <v/>
      </c>
      <c r="H143" s="37">
        <f>IF(G143="","",E143*100/G143)</f>
        <v/>
      </c>
      <c r="I143" s="38">
        <f>E143/E139-1</f>
        <v/>
      </c>
      <c r="J143" s="38">
        <f>IF(OR(H143="",H139=""),"",H143/H139-1)</f>
        <v/>
      </c>
      <c r="K143" s="39">
        <f>IF(Raw_Nationwide!C140="","",Raw_Nationwide!C140/100)</f>
        <v/>
      </c>
      <c r="L143" s="40">
        <f>IF(K143="","",(I143-K143)*100)</f>
        <v/>
      </c>
      <c r="M143" s="37">
        <f>IF(H143="","",MAX(H$5:H143))</f>
        <v/>
      </c>
      <c r="N143" s="38">
        <f>IF(H143="","",H143/M143-1)</f>
        <v/>
      </c>
    </row>
    <row r="144">
      <c r="A144" s="34">
        <f>Raw_Nationwide!A141</f>
        <v/>
      </c>
      <c r="B144" s="21">
        <f>YEAR(A144)</f>
        <v/>
      </c>
      <c r="C144" s="21">
        <f>"Q"&amp;ROUNDUP(MONTH(A144)/3,0)</f>
        <v/>
      </c>
      <c r="D144" s="21">
        <f>B144&amp;" "&amp;C144</f>
        <v/>
      </c>
      <c r="E144" s="35">
        <f>Raw_Nationwide!B141</f>
        <v/>
      </c>
      <c r="F144" s="35">
        <f>Raw_Nationwide!D141</f>
        <v/>
      </c>
      <c r="G144" s="36">
        <f>IFERROR(INDEX(CPI_Index,MATCH(B144,CPI_Year,0)),"")</f>
        <v/>
      </c>
      <c r="H144" s="37">
        <f>IF(G144="","",E144*100/G144)</f>
        <v/>
      </c>
      <c r="I144" s="38">
        <f>E144/E140-1</f>
        <v/>
      </c>
      <c r="J144" s="38">
        <f>IF(OR(H144="",H140=""),"",H144/H140-1)</f>
        <v/>
      </c>
      <c r="K144" s="39">
        <f>IF(Raw_Nationwide!C141="","",Raw_Nationwide!C141/100)</f>
        <v/>
      </c>
      <c r="L144" s="40">
        <f>IF(K144="","",(I144-K144)*100)</f>
        <v/>
      </c>
      <c r="M144" s="37">
        <f>IF(H144="","",MAX(H$5:H144))</f>
        <v/>
      </c>
      <c r="N144" s="38">
        <f>IF(H144="","",H144/M144-1)</f>
        <v/>
      </c>
    </row>
    <row r="145">
      <c r="A145" s="34">
        <f>Raw_Nationwide!A142</f>
        <v/>
      </c>
      <c r="B145" s="21">
        <f>YEAR(A145)</f>
        <v/>
      </c>
      <c r="C145" s="21">
        <f>"Q"&amp;ROUNDUP(MONTH(A145)/3,0)</f>
        <v/>
      </c>
      <c r="D145" s="21">
        <f>B145&amp;" "&amp;C145</f>
        <v/>
      </c>
      <c r="E145" s="35">
        <f>Raw_Nationwide!B142</f>
        <v/>
      </c>
      <c r="F145" s="35">
        <f>Raw_Nationwide!D142</f>
        <v/>
      </c>
      <c r="G145" s="36">
        <f>IFERROR(INDEX(CPI_Index,MATCH(B145,CPI_Year,0)),"")</f>
        <v/>
      </c>
      <c r="H145" s="37">
        <f>IF(G145="","",E145*100/G145)</f>
        <v/>
      </c>
      <c r="I145" s="38">
        <f>E145/E141-1</f>
        <v/>
      </c>
      <c r="J145" s="38">
        <f>IF(OR(H145="",H141=""),"",H145/H141-1)</f>
        <v/>
      </c>
      <c r="K145" s="39">
        <f>IF(Raw_Nationwide!C142="","",Raw_Nationwide!C142/100)</f>
        <v/>
      </c>
      <c r="L145" s="40">
        <f>IF(K145="","",(I145-K145)*100)</f>
        <v/>
      </c>
      <c r="M145" s="37">
        <f>IF(H145="","",MAX(H$5:H145))</f>
        <v/>
      </c>
      <c r="N145" s="38">
        <f>IF(H145="","",H145/M145-1)</f>
        <v/>
      </c>
    </row>
    <row r="146">
      <c r="A146" s="34">
        <f>Raw_Nationwide!A143</f>
        <v/>
      </c>
      <c r="B146" s="21">
        <f>YEAR(A146)</f>
        <v/>
      </c>
      <c r="C146" s="21">
        <f>"Q"&amp;ROUNDUP(MONTH(A146)/3,0)</f>
        <v/>
      </c>
      <c r="D146" s="21">
        <f>B146&amp;" "&amp;C146</f>
        <v/>
      </c>
      <c r="E146" s="35">
        <f>Raw_Nationwide!B143</f>
        <v/>
      </c>
      <c r="F146" s="35">
        <f>Raw_Nationwide!D143</f>
        <v/>
      </c>
      <c r="G146" s="36">
        <f>IFERROR(INDEX(CPI_Index,MATCH(B146,CPI_Year,0)),"")</f>
        <v/>
      </c>
      <c r="H146" s="37">
        <f>IF(G146="","",E146*100/G146)</f>
        <v/>
      </c>
      <c r="I146" s="38">
        <f>E146/E142-1</f>
        <v/>
      </c>
      <c r="J146" s="38">
        <f>IF(OR(H146="",H142=""),"",H146/H142-1)</f>
        <v/>
      </c>
      <c r="K146" s="39">
        <f>IF(Raw_Nationwide!C143="","",Raw_Nationwide!C143/100)</f>
        <v/>
      </c>
      <c r="L146" s="40">
        <f>IF(K146="","",(I146-K146)*100)</f>
        <v/>
      </c>
      <c r="M146" s="37">
        <f>IF(H146="","",MAX(H$5:H146))</f>
        <v/>
      </c>
      <c r="N146" s="38">
        <f>IF(H146="","",H146/M146-1)</f>
        <v/>
      </c>
    </row>
    <row r="147">
      <c r="A147" s="34">
        <f>Raw_Nationwide!A144</f>
        <v/>
      </c>
      <c r="B147" s="21">
        <f>YEAR(A147)</f>
        <v/>
      </c>
      <c r="C147" s="21">
        <f>"Q"&amp;ROUNDUP(MONTH(A147)/3,0)</f>
        <v/>
      </c>
      <c r="D147" s="21">
        <f>B147&amp;" "&amp;C147</f>
        <v/>
      </c>
      <c r="E147" s="35">
        <f>Raw_Nationwide!B144</f>
        <v/>
      </c>
      <c r="F147" s="35">
        <f>Raw_Nationwide!D144</f>
        <v/>
      </c>
      <c r="G147" s="36">
        <f>IFERROR(INDEX(CPI_Index,MATCH(B147,CPI_Year,0)),"")</f>
        <v/>
      </c>
      <c r="H147" s="37">
        <f>IF(G147="","",E147*100/G147)</f>
        <v/>
      </c>
      <c r="I147" s="38">
        <f>E147/E143-1</f>
        <v/>
      </c>
      <c r="J147" s="38">
        <f>IF(OR(H147="",H143=""),"",H147/H143-1)</f>
        <v/>
      </c>
      <c r="K147" s="39">
        <f>IF(Raw_Nationwide!C144="","",Raw_Nationwide!C144/100)</f>
        <v/>
      </c>
      <c r="L147" s="40">
        <f>IF(K147="","",(I147-K147)*100)</f>
        <v/>
      </c>
      <c r="M147" s="37">
        <f>IF(H147="","",MAX(H$5:H147))</f>
        <v/>
      </c>
      <c r="N147" s="38">
        <f>IF(H147="","",H147/M147-1)</f>
        <v/>
      </c>
    </row>
    <row r="148">
      <c r="A148" s="34">
        <f>Raw_Nationwide!A145</f>
        <v/>
      </c>
      <c r="B148" s="21">
        <f>YEAR(A148)</f>
        <v/>
      </c>
      <c r="C148" s="21">
        <f>"Q"&amp;ROUNDUP(MONTH(A148)/3,0)</f>
        <v/>
      </c>
      <c r="D148" s="21">
        <f>B148&amp;" "&amp;C148</f>
        <v/>
      </c>
      <c r="E148" s="35">
        <f>Raw_Nationwide!B145</f>
        <v/>
      </c>
      <c r="F148" s="35">
        <f>Raw_Nationwide!D145</f>
        <v/>
      </c>
      <c r="G148" s="36">
        <f>IFERROR(INDEX(CPI_Index,MATCH(B148,CPI_Year,0)),"")</f>
        <v/>
      </c>
      <c r="H148" s="37">
        <f>IF(G148="","",E148*100/G148)</f>
        <v/>
      </c>
      <c r="I148" s="38">
        <f>E148/E144-1</f>
        <v/>
      </c>
      <c r="J148" s="38">
        <f>IF(OR(H148="",H144=""),"",H148/H144-1)</f>
        <v/>
      </c>
      <c r="K148" s="39">
        <f>IF(Raw_Nationwide!C145="","",Raw_Nationwide!C145/100)</f>
        <v/>
      </c>
      <c r="L148" s="40">
        <f>IF(K148="","",(I148-K148)*100)</f>
        <v/>
      </c>
      <c r="M148" s="37">
        <f>IF(H148="","",MAX(H$5:H148))</f>
        <v/>
      </c>
      <c r="N148" s="38">
        <f>IF(H148="","",H148/M148-1)</f>
        <v/>
      </c>
    </row>
    <row r="149">
      <c r="A149" s="34">
        <f>Raw_Nationwide!A146</f>
        <v/>
      </c>
      <c r="B149" s="21">
        <f>YEAR(A149)</f>
        <v/>
      </c>
      <c r="C149" s="21">
        <f>"Q"&amp;ROUNDUP(MONTH(A149)/3,0)</f>
        <v/>
      </c>
      <c r="D149" s="21">
        <f>B149&amp;" "&amp;C149</f>
        <v/>
      </c>
      <c r="E149" s="35">
        <f>Raw_Nationwide!B146</f>
        <v/>
      </c>
      <c r="F149" s="35">
        <f>Raw_Nationwide!D146</f>
        <v/>
      </c>
      <c r="G149" s="36">
        <f>IFERROR(INDEX(CPI_Index,MATCH(B149,CPI_Year,0)),"")</f>
        <v/>
      </c>
      <c r="H149" s="37">
        <f>IF(G149="","",E149*100/G149)</f>
        <v/>
      </c>
      <c r="I149" s="38">
        <f>E149/E145-1</f>
        <v/>
      </c>
      <c r="J149" s="38">
        <f>IF(OR(H149="",H145=""),"",H149/H145-1)</f>
        <v/>
      </c>
      <c r="K149" s="39">
        <f>IF(Raw_Nationwide!C146="","",Raw_Nationwide!C146/100)</f>
        <v/>
      </c>
      <c r="L149" s="40">
        <f>IF(K149="","",(I149-K149)*100)</f>
        <v/>
      </c>
      <c r="M149" s="37">
        <f>IF(H149="","",MAX(H$5:H149))</f>
        <v/>
      </c>
      <c r="N149" s="38">
        <f>IF(H149="","",H149/M149-1)</f>
        <v/>
      </c>
    </row>
    <row r="150">
      <c r="A150" s="34">
        <f>Raw_Nationwide!A147</f>
        <v/>
      </c>
      <c r="B150" s="21">
        <f>YEAR(A150)</f>
        <v/>
      </c>
      <c r="C150" s="21">
        <f>"Q"&amp;ROUNDUP(MONTH(A150)/3,0)</f>
        <v/>
      </c>
      <c r="D150" s="21">
        <f>B150&amp;" "&amp;C150</f>
        <v/>
      </c>
      <c r="E150" s="35">
        <f>Raw_Nationwide!B147</f>
        <v/>
      </c>
      <c r="F150" s="35">
        <f>Raw_Nationwide!D147</f>
        <v/>
      </c>
      <c r="G150" s="36">
        <f>IFERROR(INDEX(CPI_Index,MATCH(B150,CPI_Year,0)),"")</f>
        <v/>
      </c>
      <c r="H150" s="37">
        <f>IF(G150="","",E150*100/G150)</f>
        <v/>
      </c>
      <c r="I150" s="38">
        <f>E150/E146-1</f>
        <v/>
      </c>
      <c r="J150" s="38">
        <f>IF(OR(H150="",H146=""),"",H150/H146-1)</f>
        <v/>
      </c>
      <c r="K150" s="39">
        <f>IF(Raw_Nationwide!C147="","",Raw_Nationwide!C147/100)</f>
        <v/>
      </c>
      <c r="L150" s="40">
        <f>IF(K150="","",(I150-K150)*100)</f>
        <v/>
      </c>
      <c r="M150" s="37">
        <f>IF(H150="","",MAX(H$5:H150))</f>
        <v/>
      </c>
      <c r="N150" s="38">
        <f>IF(H150="","",H150/M150-1)</f>
        <v/>
      </c>
    </row>
    <row r="151">
      <c r="A151" s="34">
        <f>Raw_Nationwide!A148</f>
        <v/>
      </c>
      <c r="B151" s="21">
        <f>YEAR(A151)</f>
        <v/>
      </c>
      <c r="C151" s="21">
        <f>"Q"&amp;ROUNDUP(MONTH(A151)/3,0)</f>
        <v/>
      </c>
      <c r="D151" s="21">
        <f>B151&amp;" "&amp;C151</f>
        <v/>
      </c>
      <c r="E151" s="35">
        <f>Raw_Nationwide!B148</f>
        <v/>
      </c>
      <c r="F151" s="35">
        <f>Raw_Nationwide!D148</f>
        <v/>
      </c>
      <c r="G151" s="36">
        <f>IFERROR(INDEX(CPI_Index,MATCH(B151,CPI_Year,0)),"")</f>
        <v/>
      </c>
      <c r="H151" s="37">
        <f>IF(G151="","",E151*100/G151)</f>
        <v/>
      </c>
      <c r="I151" s="38">
        <f>E151/E147-1</f>
        <v/>
      </c>
      <c r="J151" s="38">
        <f>IF(OR(H151="",H147=""),"",H151/H147-1)</f>
        <v/>
      </c>
      <c r="K151" s="39">
        <f>IF(Raw_Nationwide!C148="","",Raw_Nationwide!C148/100)</f>
        <v/>
      </c>
      <c r="L151" s="40">
        <f>IF(K151="","",(I151-K151)*100)</f>
        <v/>
      </c>
      <c r="M151" s="37">
        <f>IF(H151="","",MAX(H$5:H151))</f>
        <v/>
      </c>
      <c r="N151" s="38">
        <f>IF(H151="","",H151/M151-1)</f>
        <v/>
      </c>
    </row>
    <row r="152">
      <c r="A152" s="34">
        <f>Raw_Nationwide!A149</f>
        <v/>
      </c>
      <c r="B152" s="21">
        <f>YEAR(A152)</f>
        <v/>
      </c>
      <c r="C152" s="21">
        <f>"Q"&amp;ROUNDUP(MONTH(A152)/3,0)</f>
        <v/>
      </c>
      <c r="D152" s="21">
        <f>B152&amp;" "&amp;C152</f>
        <v/>
      </c>
      <c r="E152" s="35">
        <f>Raw_Nationwide!B149</f>
        <v/>
      </c>
      <c r="F152" s="35">
        <f>Raw_Nationwide!D149</f>
        <v/>
      </c>
      <c r="G152" s="36">
        <f>IFERROR(INDEX(CPI_Index,MATCH(B152,CPI_Year,0)),"")</f>
        <v/>
      </c>
      <c r="H152" s="37">
        <f>IF(G152="","",E152*100/G152)</f>
        <v/>
      </c>
      <c r="I152" s="38">
        <f>E152/E148-1</f>
        <v/>
      </c>
      <c r="J152" s="38">
        <f>IF(OR(H152="",H148=""),"",H152/H148-1)</f>
        <v/>
      </c>
      <c r="K152" s="39">
        <f>IF(Raw_Nationwide!C149="","",Raw_Nationwide!C149/100)</f>
        <v/>
      </c>
      <c r="L152" s="40">
        <f>IF(K152="","",(I152-K152)*100)</f>
        <v/>
      </c>
      <c r="M152" s="37">
        <f>IF(H152="","",MAX(H$5:H152))</f>
        <v/>
      </c>
      <c r="N152" s="38">
        <f>IF(H152="","",H152/M152-1)</f>
        <v/>
      </c>
    </row>
    <row r="153">
      <c r="A153" s="34">
        <f>Raw_Nationwide!A150</f>
        <v/>
      </c>
      <c r="B153" s="21">
        <f>YEAR(A153)</f>
        <v/>
      </c>
      <c r="C153" s="21">
        <f>"Q"&amp;ROUNDUP(MONTH(A153)/3,0)</f>
        <v/>
      </c>
      <c r="D153" s="21">
        <f>B153&amp;" "&amp;C153</f>
        <v/>
      </c>
      <c r="E153" s="35">
        <f>Raw_Nationwide!B150</f>
        <v/>
      </c>
      <c r="F153" s="35">
        <f>Raw_Nationwide!D150</f>
        <v/>
      </c>
      <c r="G153" s="36">
        <f>IFERROR(INDEX(CPI_Index,MATCH(B153,CPI_Year,0)),"")</f>
        <v/>
      </c>
      <c r="H153" s="37">
        <f>IF(G153="","",E153*100/G153)</f>
        <v/>
      </c>
      <c r="I153" s="38">
        <f>E153/E149-1</f>
        <v/>
      </c>
      <c r="J153" s="38">
        <f>IF(OR(H153="",H149=""),"",H153/H149-1)</f>
        <v/>
      </c>
      <c r="K153" s="39">
        <f>IF(Raw_Nationwide!C150="","",Raw_Nationwide!C150/100)</f>
        <v/>
      </c>
      <c r="L153" s="40">
        <f>IF(K153="","",(I153-K153)*100)</f>
        <v/>
      </c>
      <c r="M153" s="37">
        <f>IF(H153="","",MAX(H$5:H153))</f>
        <v/>
      </c>
      <c r="N153" s="38">
        <f>IF(H153="","",H153/M153-1)</f>
        <v/>
      </c>
    </row>
    <row r="154">
      <c r="A154" s="34">
        <f>Raw_Nationwide!A151</f>
        <v/>
      </c>
      <c r="B154" s="21">
        <f>YEAR(A154)</f>
        <v/>
      </c>
      <c r="C154" s="21">
        <f>"Q"&amp;ROUNDUP(MONTH(A154)/3,0)</f>
        <v/>
      </c>
      <c r="D154" s="21">
        <f>B154&amp;" "&amp;C154</f>
        <v/>
      </c>
      <c r="E154" s="35">
        <f>Raw_Nationwide!B151</f>
        <v/>
      </c>
      <c r="F154" s="35">
        <f>Raw_Nationwide!D151</f>
        <v/>
      </c>
      <c r="G154" s="36">
        <f>IFERROR(INDEX(CPI_Index,MATCH(B154,CPI_Year,0)),"")</f>
        <v/>
      </c>
      <c r="H154" s="37">
        <f>IF(G154="","",E154*100/G154)</f>
        <v/>
      </c>
      <c r="I154" s="38">
        <f>E154/E150-1</f>
        <v/>
      </c>
      <c r="J154" s="38">
        <f>IF(OR(H154="",H150=""),"",H154/H150-1)</f>
        <v/>
      </c>
      <c r="K154" s="39">
        <f>IF(Raw_Nationwide!C151="","",Raw_Nationwide!C151/100)</f>
        <v/>
      </c>
      <c r="L154" s="40">
        <f>IF(K154="","",(I154-K154)*100)</f>
        <v/>
      </c>
      <c r="M154" s="37">
        <f>IF(H154="","",MAX(H$5:H154))</f>
        <v/>
      </c>
      <c r="N154" s="38">
        <f>IF(H154="","",H154/M154-1)</f>
        <v/>
      </c>
    </row>
    <row r="155">
      <c r="A155" s="34">
        <f>Raw_Nationwide!A152</f>
        <v/>
      </c>
      <c r="B155" s="21">
        <f>YEAR(A155)</f>
        <v/>
      </c>
      <c r="C155" s="21">
        <f>"Q"&amp;ROUNDUP(MONTH(A155)/3,0)</f>
        <v/>
      </c>
      <c r="D155" s="21">
        <f>B155&amp;" "&amp;C155</f>
        <v/>
      </c>
      <c r="E155" s="35">
        <f>Raw_Nationwide!B152</f>
        <v/>
      </c>
      <c r="F155" s="35">
        <f>Raw_Nationwide!D152</f>
        <v/>
      </c>
      <c r="G155" s="36">
        <f>IFERROR(INDEX(CPI_Index,MATCH(B155,CPI_Year,0)),"")</f>
        <v/>
      </c>
      <c r="H155" s="37">
        <f>IF(G155="","",E155*100/G155)</f>
        <v/>
      </c>
      <c r="I155" s="38">
        <f>E155/E151-1</f>
        <v/>
      </c>
      <c r="J155" s="38">
        <f>IF(OR(H155="",H151=""),"",H155/H151-1)</f>
        <v/>
      </c>
      <c r="K155" s="39">
        <f>IF(Raw_Nationwide!C152="","",Raw_Nationwide!C152/100)</f>
        <v/>
      </c>
      <c r="L155" s="40">
        <f>IF(K155="","",(I155-K155)*100)</f>
        <v/>
      </c>
      <c r="M155" s="37">
        <f>IF(H155="","",MAX(H$5:H155))</f>
        <v/>
      </c>
      <c r="N155" s="38">
        <f>IF(H155="","",H155/M155-1)</f>
        <v/>
      </c>
    </row>
    <row r="156">
      <c r="A156" s="34">
        <f>Raw_Nationwide!A153</f>
        <v/>
      </c>
      <c r="B156" s="21">
        <f>YEAR(A156)</f>
        <v/>
      </c>
      <c r="C156" s="21">
        <f>"Q"&amp;ROUNDUP(MONTH(A156)/3,0)</f>
        <v/>
      </c>
      <c r="D156" s="21">
        <f>B156&amp;" "&amp;C156</f>
        <v/>
      </c>
      <c r="E156" s="35">
        <f>Raw_Nationwide!B153</f>
        <v/>
      </c>
      <c r="F156" s="35">
        <f>Raw_Nationwide!D153</f>
        <v/>
      </c>
      <c r="G156" s="36">
        <f>IFERROR(INDEX(CPI_Index,MATCH(B156,CPI_Year,0)),"")</f>
        <v/>
      </c>
      <c r="H156" s="37">
        <f>IF(G156="","",E156*100/G156)</f>
        <v/>
      </c>
      <c r="I156" s="38">
        <f>E156/E152-1</f>
        <v/>
      </c>
      <c r="J156" s="38">
        <f>IF(OR(H156="",H152=""),"",H156/H152-1)</f>
        <v/>
      </c>
      <c r="K156" s="39">
        <f>IF(Raw_Nationwide!C153="","",Raw_Nationwide!C153/100)</f>
        <v/>
      </c>
      <c r="L156" s="40">
        <f>IF(K156="","",(I156-K156)*100)</f>
        <v/>
      </c>
      <c r="M156" s="37">
        <f>IF(H156="","",MAX(H$5:H156))</f>
        <v/>
      </c>
      <c r="N156" s="38">
        <f>IF(H156="","",H156/M156-1)</f>
        <v/>
      </c>
    </row>
    <row r="157">
      <c r="A157" s="34">
        <f>Raw_Nationwide!A154</f>
        <v/>
      </c>
      <c r="B157" s="21">
        <f>YEAR(A157)</f>
        <v/>
      </c>
      <c r="C157" s="21">
        <f>"Q"&amp;ROUNDUP(MONTH(A157)/3,0)</f>
        <v/>
      </c>
      <c r="D157" s="21">
        <f>B157&amp;" "&amp;C157</f>
        <v/>
      </c>
      <c r="E157" s="35">
        <f>Raw_Nationwide!B154</f>
        <v/>
      </c>
      <c r="F157" s="35">
        <f>Raw_Nationwide!D154</f>
        <v/>
      </c>
      <c r="G157" s="36">
        <f>IFERROR(INDEX(CPI_Index,MATCH(B157,CPI_Year,0)),"")</f>
        <v/>
      </c>
      <c r="H157" s="37">
        <f>IF(G157="","",E157*100/G157)</f>
        <v/>
      </c>
      <c r="I157" s="38">
        <f>E157/E153-1</f>
        <v/>
      </c>
      <c r="J157" s="38">
        <f>IF(OR(H157="",H153=""),"",H157/H153-1)</f>
        <v/>
      </c>
      <c r="K157" s="39">
        <f>IF(Raw_Nationwide!C154="","",Raw_Nationwide!C154/100)</f>
        <v/>
      </c>
      <c r="L157" s="40">
        <f>IF(K157="","",(I157-K157)*100)</f>
        <v/>
      </c>
      <c r="M157" s="37">
        <f>IF(H157="","",MAX(H$5:H157))</f>
        <v/>
      </c>
      <c r="N157" s="38">
        <f>IF(H157="","",H157/M157-1)</f>
        <v/>
      </c>
    </row>
    <row r="158">
      <c r="A158" s="34">
        <f>Raw_Nationwide!A155</f>
        <v/>
      </c>
      <c r="B158" s="21">
        <f>YEAR(A158)</f>
        <v/>
      </c>
      <c r="C158" s="21">
        <f>"Q"&amp;ROUNDUP(MONTH(A158)/3,0)</f>
        <v/>
      </c>
      <c r="D158" s="21">
        <f>B158&amp;" "&amp;C158</f>
        <v/>
      </c>
      <c r="E158" s="35">
        <f>Raw_Nationwide!B155</f>
        <v/>
      </c>
      <c r="F158" s="35">
        <f>Raw_Nationwide!D155</f>
        <v/>
      </c>
      <c r="G158" s="36">
        <f>IFERROR(INDEX(CPI_Index,MATCH(B158,CPI_Year,0)),"")</f>
        <v/>
      </c>
      <c r="H158" s="37">
        <f>IF(G158="","",E158*100/G158)</f>
        <v/>
      </c>
      <c r="I158" s="38">
        <f>E158/E154-1</f>
        <v/>
      </c>
      <c r="J158" s="38">
        <f>IF(OR(H158="",H154=""),"",H158/H154-1)</f>
        <v/>
      </c>
      <c r="K158" s="39">
        <f>IF(Raw_Nationwide!C155="","",Raw_Nationwide!C155/100)</f>
        <v/>
      </c>
      <c r="L158" s="40">
        <f>IF(K158="","",(I158-K158)*100)</f>
        <v/>
      </c>
      <c r="M158" s="37">
        <f>IF(H158="","",MAX(H$5:H158))</f>
        <v/>
      </c>
      <c r="N158" s="38">
        <f>IF(H158="","",H158/M158-1)</f>
        <v/>
      </c>
    </row>
    <row r="159">
      <c r="A159" s="34">
        <f>Raw_Nationwide!A156</f>
        <v/>
      </c>
      <c r="B159" s="21">
        <f>YEAR(A159)</f>
        <v/>
      </c>
      <c r="C159" s="21">
        <f>"Q"&amp;ROUNDUP(MONTH(A159)/3,0)</f>
        <v/>
      </c>
      <c r="D159" s="21">
        <f>B159&amp;" "&amp;C159</f>
        <v/>
      </c>
      <c r="E159" s="35">
        <f>Raw_Nationwide!B156</f>
        <v/>
      </c>
      <c r="F159" s="35">
        <f>Raw_Nationwide!D156</f>
        <v/>
      </c>
      <c r="G159" s="36">
        <f>IFERROR(INDEX(CPI_Index,MATCH(B159,CPI_Year,0)),"")</f>
        <v/>
      </c>
      <c r="H159" s="37">
        <f>IF(G159="","",E159*100/G159)</f>
        <v/>
      </c>
      <c r="I159" s="38">
        <f>E159/E155-1</f>
        <v/>
      </c>
      <c r="J159" s="38">
        <f>IF(OR(H159="",H155=""),"",H159/H155-1)</f>
        <v/>
      </c>
      <c r="K159" s="39">
        <f>IF(Raw_Nationwide!C156="","",Raw_Nationwide!C156/100)</f>
        <v/>
      </c>
      <c r="L159" s="40">
        <f>IF(K159="","",(I159-K159)*100)</f>
        <v/>
      </c>
      <c r="M159" s="37">
        <f>IF(H159="","",MAX(H$5:H159))</f>
        <v/>
      </c>
      <c r="N159" s="38">
        <f>IF(H159="","",H159/M159-1)</f>
        <v/>
      </c>
    </row>
    <row r="160">
      <c r="A160" s="34">
        <f>Raw_Nationwide!A157</f>
        <v/>
      </c>
      <c r="B160" s="21">
        <f>YEAR(A160)</f>
        <v/>
      </c>
      <c r="C160" s="21">
        <f>"Q"&amp;ROUNDUP(MONTH(A160)/3,0)</f>
        <v/>
      </c>
      <c r="D160" s="21">
        <f>B160&amp;" "&amp;C160</f>
        <v/>
      </c>
      <c r="E160" s="35">
        <f>Raw_Nationwide!B157</f>
        <v/>
      </c>
      <c r="F160" s="35">
        <f>Raw_Nationwide!D157</f>
        <v/>
      </c>
      <c r="G160" s="36">
        <f>IFERROR(INDEX(CPI_Index,MATCH(B160,CPI_Year,0)),"")</f>
        <v/>
      </c>
      <c r="H160" s="37">
        <f>IF(G160="","",E160*100/G160)</f>
        <v/>
      </c>
      <c r="I160" s="38">
        <f>E160/E156-1</f>
        <v/>
      </c>
      <c r="J160" s="38">
        <f>IF(OR(H160="",H156=""),"",H160/H156-1)</f>
        <v/>
      </c>
      <c r="K160" s="39">
        <f>IF(Raw_Nationwide!C157="","",Raw_Nationwide!C157/100)</f>
        <v/>
      </c>
      <c r="L160" s="40">
        <f>IF(K160="","",(I160-K160)*100)</f>
        <v/>
      </c>
      <c r="M160" s="37">
        <f>IF(H160="","",MAX(H$5:H160))</f>
        <v/>
      </c>
      <c r="N160" s="38">
        <f>IF(H160="","",H160/M160-1)</f>
        <v/>
      </c>
    </row>
    <row r="161">
      <c r="A161" s="34">
        <f>Raw_Nationwide!A158</f>
        <v/>
      </c>
      <c r="B161" s="21">
        <f>YEAR(A161)</f>
        <v/>
      </c>
      <c r="C161" s="21">
        <f>"Q"&amp;ROUNDUP(MONTH(A161)/3,0)</f>
        <v/>
      </c>
      <c r="D161" s="21">
        <f>B161&amp;" "&amp;C161</f>
        <v/>
      </c>
      <c r="E161" s="35">
        <f>Raw_Nationwide!B158</f>
        <v/>
      </c>
      <c r="F161" s="35">
        <f>Raw_Nationwide!D158</f>
        <v/>
      </c>
      <c r="G161" s="36">
        <f>IFERROR(INDEX(CPI_Index,MATCH(B161,CPI_Year,0)),"")</f>
        <v/>
      </c>
      <c r="H161" s="37">
        <f>IF(G161="","",E161*100/G161)</f>
        <v/>
      </c>
      <c r="I161" s="38">
        <f>E161/E157-1</f>
        <v/>
      </c>
      <c r="J161" s="38">
        <f>IF(OR(H161="",H157=""),"",H161/H157-1)</f>
        <v/>
      </c>
      <c r="K161" s="39">
        <f>IF(Raw_Nationwide!C158="","",Raw_Nationwide!C158/100)</f>
        <v/>
      </c>
      <c r="L161" s="40">
        <f>IF(K161="","",(I161-K161)*100)</f>
        <v/>
      </c>
      <c r="M161" s="37">
        <f>IF(H161="","",MAX(H$5:H161))</f>
        <v/>
      </c>
      <c r="N161" s="38">
        <f>IF(H161="","",H161/M161-1)</f>
        <v/>
      </c>
    </row>
    <row r="162">
      <c r="A162" s="34">
        <f>Raw_Nationwide!A159</f>
        <v/>
      </c>
      <c r="B162" s="21">
        <f>YEAR(A162)</f>
        <v/>
      </c>
      <c r="C162" s="21">
        <f>"Q"&amp;ROUNDUP(MONTH(A162)/3,0)</f>
        <v/>
      </c>
      <c r="D162" s="21">
        <f>B162&amp;" "&amp;C162</f>
        <v/>
      </c>
      <c r="E162" s="35">
        <f>Raw_Nationwide!B159</f>
        <v/>
      </c>
      <c r="F162" s="35">
        <f>Raw_Nationwide!D159</f>
        <v/>
      </c>
      <c r="G162" s="36">
        <f>IFERROR(INDEX(CPI_Index,MATCH(B162,CPI_Year,0)),"")</f>
        <v/>
      </c>
      <c r="H162" s="37">
        <f>IF(G162="","",E162*100/G162)</f>
        <v/>
      </c>
      <c r="I162" s="38">
        <f>E162/E158-1</f>
        <v/>
      </c>
      <c r="J162" s="38">
        <f>IF(OR(H162="",H158=""),"",H162/H158-1)</f>
        <v/>
      </c>
      <c r="K162" s="39">
        <f>IF(Raw_Nationwide!C159="","",Raw_Nationwide!C159/100)</f>
        <v/>
      </c>
      <c r="L162" s="40">
        <f>IF(K162="","",(I162-K162)*100)</f>
        <v/>
      </c>
      <c r="M162" s="37">
        <f>IF(H162="","",MAX(H$5:H162))</f>
        <v/>
      </c>
      <c r="N162" s="38">
        <f>IF(H162="","",H162/M162-1)</f>
        <v/>
      </c>
    </row>
    <row r="163">
      <c r="A163" s="34">
        <f>Raw_Nationwide!A160</f>
        <v/>
      </c>
      <c r="B163" s="21">
        <f>YEAR(A163)</f>
        <v/>
      </c>
      <c r="C163" s="21">
        <f>"Q"&amp;ROUNDUP(MONTH(A163)/3,0)</f>
        <v/>
      </c>
      <c r="D163" s="21">
        <f>B163&amp;" "&amp;C163</f>
        <v/>
      </c>
      <c r="E163" s="35">
        <f>Raw_Nationwide!B160</f>
        <v/>
      </c>
      <c r="F163" s="35">
        <f>Raw_Nationwide!D160</f>
        <v/>
      </c>
      <c r="G163" s="36">
        <f>IFERROR(INDEX(CPI_Index,MATCH(B163,CPI_Year,0)),"")</f>
        <v/>
      </c>
      <c r="H163" s="37">
        <f>IF(G163="","",E163*100/G163)</f>
        <v/>
      </c>
      <c r="I163" s="38">
        <f>E163/E159-1</f>
        <v/>
      </c>
      <c r="J163" s="38">
        <f>IF(OR(H163="",H159=""),"",H163/H159-1)</f>
        <v/>
      </c>
      <c r="K163" s="39">
        <f>IF(Raw_Nationwide!C160="","",Raw_Nationwide!C160/100)</f>
        <v/>
      </c>
      <c r="L163" s="40">
        <f>IF(K163="","",(I163-K163)*100)</f>
        <v/>
      </c>
      <c r="M163" s="37">
        <f>IF(H163="","",MAX(H$5:H163))</f>
        <v/>
      </c>
      <c r="N163" s="38">
        <f>IF(H163="","",H163/M163-1)</f>
        <v/>
      </c>
    </row>
    <row r="164">
      <c r="A164" s="34">
        <f>Raw_Nationwide!A161</f>
        <v/>
      </c>
      <c r="B164" s="21">
        <f>YEAR(A164)</f>
        <v/>
      </c>
      <c r="C164" s="21">
        <f>"Q"&amp;ROUNDUP(MONTH(A164)/3,0)</f>
        <v/>
      </c>
      <c r="D164" s="21">
        <f>B164&amp;" "&amp;C164</f>
        <v/>
      </c>
      <c r="E164" s="35">
        <f>Raw_Nationwide!B161</f>
        <v/>
      </c>
      <c r="F164" s="35">
        <f>Raw_Nationwide!D161</f>
        <v/>
      </c>
      <c r="G164" s="36">
        <f>IFERROR(INDEX(CPI_Index,MATCH(B164,CPI_Year,0)),"")</f>
        <v/>
      </c>
      <c r="H164" s="37">
        <f>IF(G164="","",E164*100/G164)</f>
        <v/>
      </c>
      <c r="I164" s="38">
        <f>E164/E160-1</f>
        <v/>
      </c>
      <c r="J164" s="38">
        <f>IF(OR(H164="",H160=""),"",H164/H160-1)</f>
        <v/>
      </c>
      <c r="K164" s="39">
        <f>IF(Raw_Nationwide!C161="","",Raw_Nationwide!C161/100)</f>
        <v/>
      </c>
      <c r="L164" s="40">
        <f>IF(K164="","",(I164-K164)*100)</f>
        <v/>
      </c>
      <c r="M164" s="37">
        <f>IF(H164="","",MAX(H$5:H164))</f>
        <v/>
      </c>
      <c r="N164" s="38">
        <f>IF(H164="","",H164/M164-1)</f>
        <v/>
      </c>
    </row>
    <row r="165">
      <c r="A165" s="34">
        <f>Raw_Nationwide!A162</f>
        <v/>
      </c>
      <c r="B165" s="21">
        <f>YEAR(A165)</f>
        <v/>
      </c>
      <c r="C165" s="21">
        <f>"Q"&amp;ROUNDUP(MONTH(A165)/3,0)</f>
        <v/>
      </c>
      <c r="D165" s="21">
        <f>B165&amp;" "&amp;C165</f>
        <v/>
      </c>
      <c r="E165" s="35">
        <f>Raw_Nationwide!B162</f>
        <v/>
      </c>
      <c r="F165" s="35">
        <f>Raw_Nationwide!D162</f>
        <v/>
      </c>
      <c r="G165" s="36">
        <f>IFERROR(INDEX(CPI_Index,MATCH(B165,CPI_Year,0)),"")</f>
        <v/>
      </c>
      <c r="H165" s="37">
        <f>IF(G165="","",E165*100/G165)</f>
        <v/>
      </c>
      <c r="I165" s="38">
        <f>E165/E161-1</f>
        <v/>
      </c>
      <c r="J165" s="38">
        <f>IF(OR(H165="",H161=""),"",H165/H161-1)</f>
        <v/>
      </c>
      <c r="K165" s="39">
        <f>IF(Raw_Nationwide!C162="","",Raw_Nationwide!C162/100)</f>
        <v/>
      </c>
      <c r="L165" s="40">
        <f>IF(K165="","",(I165-K165)*100)</f>
        <v/>
      </c>
      <c r="M165" s="37">
        <f>IF(H165="","",MAX(H$5:H165))</f>
        <v/>
      </c>
      <c r="N165" s="38">
        <f>IF(H165="","",H165/M165-1)</f>
        <v/>
      </c>
    </row>
    <row r="166">
      <c r="A166" s="34">
        <f>Raw_Nationwide!A163</f>
        <v/>
      </c>
      <c r="B166" s="21">
        <f>YEAR(A166)</f>
        <v/>
      </c>
      <c r="C166" s="21">
        <f>"Q"&amp;ROUNDUP(MONTH(A166)/3,0)</f>
        <v/>
      </c>
      <c r="D166" s="21">
        <f>B166&amp;" "&amp;C166</f>
        <v/>
      </c>
      <c r="E166" s="35">
        <f>Raw_Nationwide!B163</f>
        <v/>
      </c>
      <c r="F166" s="35">
        <f>Raw_Nationwide!D163</f>
        <v/>
      </c>
      <c r="G166" s="36">
        <f>IFERROR(INDEX(CPI_Index,MATCH(B166,CPI_Year,0)),"")</f>
        <v/>
      </c>
      <c r="H166" s="37">
        <f>IF(G166="","",E166*100/G166)</f>
        <v/>
      </c>
      <c r="I166" s="38">
        <f>E166/E162-1</f>
        <v/>
      </c>
      <c r="J166" s="38">
        <f>IF(OR(H166="",H162=""),"",H166/H162-1)</f>
        <v/>
      </c>
      <c r="K166" s="39">
        <f>IF(Raw_Nationwide!C163="","",Raw_Nationwide!C163/100)</f>
        <v/>
      </c>
      <c r="L166" s="40">
        <f>IF(K166="","",(I166-K166)*100)</f>
        <v/>
      </c>
      <c r="M166" s="37">
        <f>IF(H166="","",MAX(H$5:H166))</f>
        <v/>
      </c>
      <c r="N166" s="38">
        <f>IF(H166="","",H166/M166-1)</f>
        <v/>
      </c>
    </row>
    <row r="167">
      <c r="A167" s="34">
        <f>Raw_Nationwide!A164</f>
        <v/>
      </c>
      <c r="B167" s="21">
        <f>YEAR(A167)</f>
        <v/>
      </c>
      <c r="C167" s="21">
        <f>"Q"&amp;ROUNDUP(MONTH(A167)/3,0)</f>
        <v/>
      </c>
      <c r="D167" s="21">
        <f>B167&amp;" "&amp;C167</f>
        <v/>
      </c>
      <c r="E167" s="35">
        <f>Raw_Nationwide!B164</f>
        <v/>
      </c>
      <c r="F167" s="35">
        <f>Raw_Nationwide!D164</f>
        <v/>
      </c>
      <c r="G167" s="36">
        <f>IFERROR(INDEX(CPI_Index,MATCH(B167,CPI_Year,0)),"")</f>
        <v/>
      </c>
      <c r="H167" s="37">
        <f>IF(G167="","",E167*100/G167)</f>
        <v/>
      </c>
      <c r="I167" s="38">
        <f>E167/E163-1</f>
        <v/>
      </c>
      <c r="J167" s="38">
        <f>IF(OR(H167="",H163=""),"",H167/H163-1)</f>
        <v/>
      </c>
      <c r="K167" s="39">
        <f>IF(Raw_Nationwide!C164="","",Raw_Nationwide!C164/100)</f>
        <v/>
      </c>
      <c r="L167" s="40">
        <f>IF(K167="","",(I167-K167)*100)</f>
        <v/>
      </c>
      <c r="M167" s="37">
        <f>IF(H167="","",MAX(H$5:H167))</f>
        <v/>
      </c>
      <c r="N167" s="38">
        <f>IF(H167="","",H167/M167-1)</f>
        <v/>
      </c>
    </row>
    <row r="168">
      <c r="A168" s="34">
        <f>Raw_Nationwide!A165</f>
        <v/>
      </c>
      <c r="B168" s="21">
        <f>YEAR(A168)</f>
        <v/>
      </c>
      <c r="C168" s="21">
        <f>"Q"&amp;ROUNDUP(MONTH(A168)/3,0)</f>
        <v/>
      </c>
      <c r="D168" s="21">
        <f>B168&amp;" "&amp;C168</f>
        <v/>
      </c>
      <c r="E168" s="35">
        <f>Raw_Nationwide!B165</f>
        <v/>
      </c>
      <c r="F168" s="35">
        <f>Raw_Nationwide!D165</f>
        <v/>
      </c>
      <c r="G168" s="36">
        <f>IFERROR(INDEX(CPI_Index,MATCH(B168,CPI_Year,0)),"")</f>
        <v/>
      </c>
      <c r="H168" s="37">
        <f>IF(G168="","",E168*100/G168)</f>
        <v/>
      </c>
      <c r="I168" s="38">
        <f>E168/E164-1</f>
        <v/>
      </c>
      <c r="J168" s="38">
        <f>IF(OR(H168="",H164=""),"",H168/H164-1)</f>
        <v/>
      </c>
      <c r="K168" s="39">
        <f>IF(Raw_Nationwide!C165="","",Raw_Nationwide!C165/100)</f>
        <v/>
      </c>
      <c r="L168" s="40">
        <f>IF(K168="","",(I168-K168)*100)</f>
        <v/>
      </c>
      <c r="M168" s="37">
        <f>IF(H168="","",MAX(H$5:H168))</f>
        <v/>
      </c>
      <c r="N168" s="38">
        <f>IF(H168="","",H168/M168-1)</f>
        <v/>
      </c>
    </row>
    <row r="169">
      <c r="A169" s="34">
        <f>Raw_Nationwide!A166</f>
        <v/>
      </c>
      <c r="B169" s="21">
        <f>YEAR(A169)</f>
        <v/>
      </c>
      <c r="C169" s="21">
        <f>"Q"&amp;ROUNDUP(MONTH(A169)/3,0)</f>
        <v/>
      </c>
      <c r="D169" s="21">
        <f>B169&amp;" "&amp;C169</f>
        <v/>
      </c>
      <c r="E169" s="35">
        <f>Raw_Nationwide!B166</f>
        <v/>
      </c>
      <c r="F169" s="35">
        <f>Raw_Nationwide!D166</f>
        <v/>
      </c>
      <c r="G169" s="36">
        <f>IFERROR(INDEX(CPI_Index,MATCH(B169,CPI_Year,0)),"")</f>
        <v/>
      </c>
      <c r="H169" s="37">
        <f>IF(G169="","",E169*100/G169)</f>
        <v/>
      </c>
      <c r="I169" s="38">
        <f>E169/E165-1</f>
        <v/>
      </c>
      <c r="J169" s="38">
        <f>IF(OR(H169="",H165=""),"",H169/H165-1)</f>
        <v/>
      </c>
      <c r="K169" s="39">
        <f>IF(Raw_Nationwide!C166="","",Raw_Nationwide!C166/100)</f>
        <v/>
      </c>
      <c r="L169" s="40">
        <f>IF(K169="","",(I169-K169)*100)</f>
        <v/>
      </c>
      <c r="M169" s="37">
        <f>IF(H169="","",MAX(H$5:H169))</f>
        <v/>
      </c>
      <c r="N169" s="38">
        <f>IF(H169="","",H169/M169-1)</f>
        <v/>
      </c>
    </row>
    <row r="170">
      <c r="A170" s="34">
        <f>Raw_Nationwide!A167</f>
        <v/>
      </c>
      <c r="B170" s="21">
        <f>YEAR(A170)</f>
        <v/>
      </c>
      <c r="C170" s="21">
        <f>"Q"&amp;ROUNDUP(MONTH(A170)/3,0)</f>
        <v/>
      </c>
      <c r="D170" s="21">
        <f>B170&amp;" "&amp;C170</f>
        <v/>
      </c>
      <c r="E170" s="35">
        <f>Raw_Nationwide!B167</f>
        <v/>
      </c>
      <c r="F170" s="35">
        <f>Raw_Nationwide!D167</f>
        <v/>
      </c>
      <c r="G170" s="36">
        <f>IFERROR(INDEX(CPI_Index,MATCH(B170,CPI_Year,0)),"")</f>
        <v/>
      </c>
      <c r="H170" s="37">
        <f>IF(G170="","",E170*100/G170)</f>
        <v/>
      </c>
      <c r="I170" s="38">
        <f>E170/E166-1</f>
        <v/>
      </c>
      <c r="J170" s="38">
        <f>IF(OR(H170="",H166=""),"",H170/H166-1)</f>
        <v/>
      </c>
      <c r="K170" s="39">
        <f>IF(Raw_Nationwide!C167="","",Raw_Nationwide!C167/100)</f>
        <v/>
      </c>
      <c r="L170" s="40">
        <f>IF(K170="","",(I170-K170)*100)</f>
        <v/>
      </c>
      <c r="M170" s="37">
        <f>IF(H170="","",MAX(H$5:H170))</f>
        <v/>
      </c>
      <c r="N170" s="38">
        <f>IF(H170="","",H170/M170-1)</f>
        <v/>
      </c>
    </row>
    <row r="171">
      <c r="A171" s="34">
        <f>Raw_Nationwide!A168</f>
        <v/>
      </c>
      <c r="B171" s="21">
        <f>YEAR(A171)</f>
        <v/>
      </c>
      <c r="C171" s="21">
        <f>"Q"&amp;ROUNDUP(MONTH(A171)/3,0)</f>
        <v/>
      </c>
      <c r="D171" s="21">
        <f>B171&amp;" "&amp;C171</f>
        <v/>
      </c>
      <c r="E171" s="35">
        <f>Raw_Nationwide!B168</f>
        <v/>
      </c>
      <c r="F171" s="35">
        <f>Raw_Nationwide!D168</f>
        <v/>
      </c>
      <c r="G171" s="36">
        <f>IFERROR(INDEX(CPI_Index,MATCH(B171,CPI_Year,0)),"")</f>
        <v/>
      </c>
      <c r="H171" s="37">
        <f>IF(G171="","",E171*100/G171)</f>
        <v/>
      </c>
      <c r="I171" s="38">
        <f>E171/E167-1</f>
        <v/>
      </c>
      <c r="J171" s="38">
        <f>IF(OR(H171="",H167=""),"",H171/H167-1)</f>
        <v/>
      </c>
      <c r="K171" s="39">
        <f>IF(Raw_Nationwide!C168="","",Raw_Nationwide!C168/100)</f>
        <v/>
      </c>
      <c r="L171" s="40">
        <f>IF(K171="","",(I171-K171)*100)</f>
        <v/>
      </c>
      <c r="M171" s="37">
        <f>IF(H171="","",MAX(H$5:H171))</f>
        <v/>
      </c>
      <c r="N171" s="38">
        <f>IF(H171="","",H171/M171-1)</f>
        <v/>
      </c>
    </row>
    <row r="172">
      <c r="A172" s="34">
        <f>Raw_Nationwide!A169</f>
        <v/>
      </c>
      <c r="B172" s="21">
        <f>YEAR(A172)</f>
        <v/>
      </c>
      <c r="C172" s="21">
        <f>"Q"&amp;ROUNDUP(MONTH(A172)/3,0)</f>
        <v/>
      </c>
      <c r="D172" s="21">
        <f>B172&amp;" "&amp;C172</f>
        <v/>
      </c>
      <c r="E172" s="35">
        <f>Raw_Nationwide!B169</f>
        <v/>
      </c>
      <c r="F172" s="35">
        <f>Raw_Nationwide!D169</f>
        <v/>
      </c>
      <c r="G172" s="36">
        <f>IFERROR(INDEX(CPI_Index,MATCH(B172,CPI_Year,0)),"")</f>
        <v/>
      </c>
      <c r="H172" s="37">
        <f>IF(G172="","",E172*100/G172)</f>
        <v/>
      </c>
      <c r="I172" s="38">
        <f>E172/E168-1</f>
        <v/>
      </c>
      <c r="J172" s="38">
        <f>IF(OR(H172="",H168=""),"",H172/H168-1)</f>
        <v/>
      </c>
      <c r="K172" s="39">
        <f>IF(Raw_Nationwide!C169="","",Raw_Nationwide!C169/100)</f>
        <v/>
      </c>
      <c r="L172" s="40">
        <f>IF(K172="","",(I172-K172)*100)</f>
        <v/>
      </c>
      <c r="M172" s="37">
        <f>IF(H172="","",MAX(H$5:H172))</f>
        <v/>
      </c>
      <c r="N172" s="38">
        <f>IF(H172="","",H172/M172-1)</f>
        <v/>
      </c>
    </row>
    <row r="173">
      <c r="A173" s="34">
        <f>Raw_Nationwide!A170</f>
        <v/>
      </c>
      <c r="B173" s="21">
        <f>YEAR(A173)</f>
        <v/>
      </c>
      <c r="C173" s="21">
        <f>"Q"&amp;ROUNDUP(MONTH(A173)/3,0)</f>
        <v/>
      </c>
      <c r="D173" s="21">
        <f>B173&amp;" "&amp;C173</f>
        <v/>
      </c>
      <c r="E173" s="35">
        <f>Raw_Nationwide!B170</f>
        <v/>
      </c>
      <c r="F173" s="35">
        <f>Raw_Nationwide!D170</f>
        <v/>
      </c>
      <c r="G173" s="36">
        <f>IFERROR(INDEX(CPI_Index,MATCH(B173,CPI_Year,0)),"")</f>
        <v/>
      </c>
      <c r="H173" s="37">
        <f>IF(G173="","",E173*100/G173)</f>
        <v/>
      </c>
      <c r="I173" s="38">
        <f>E173/E169-1</f>
        <v/>
      </c>
      <c r="J173" s="38">
        <f>IF(OR(H173="",H169=""),"",H173/H169-1)</f>
        <v/>
      </c>
      <c r="K173" s="39">
        <f>IF(Raw_Nationwide!C170="","",Raw_Nationwide!C170/100)</f>
        <v/>
      </c>
      <c r="L173" s="40">
        <f>IF(K173="","",(I173-K173)*100)</f>
        <v/>
      </c>
      <c r="M173" s="37">
        <f>IF(H173="","",MAX(H$5:H173))</f>
        <v/>
      </c>
      <c r="N173" s="38">
        <f>IF(H173="","",H173/M173-1)</f>
        <v/>
      </c>
    </row>
    <row r="174">
      <c r="A174" s="34">
        <f>Raw_Nationwide!A171</f>
        <v/>
      </c>
      <c r="B174" s="21">
        <f>YEAR(A174)</f>
        <v/>
      </c>
      <c r="C174" s="21">
        <f>"Q"&amp;ROUNDUP(MONTH(A174)/3,0)</f>
        <v/>
      </c>
      <c r="D174" s="21">
        <f>B174&amp;" "&amp;C174</f>
        <v/>
      </c>
      <c r="E174" s="35">
        <f>Raw_Nationwide!B171</f>
        <v/>
      </c>
      <c r="F174" s="35">
        <f>Raw_Nationwide!D171</f>
        <v/>
      </c>
      <c r="G174" s="36">
        <f>IFERROR(INDEX(CPI_Index,MATCH(B174,CPI_Year,0)),"")</f>
        <v/>
      </c>
      <c r="H174" s="37">
        <f>IF(G174="","",E174*100/G174)</f>
        <v/>
      </c>
      <c r="I174" s="38">
        <f>E174/E170-1</f>
        <v/>
      </c>
      <c r="J174" s="38">
        <f>IF(OR(H174="",H170=""),"",H174/H170-1)</f>
        <v/>
      </c>
      <c r="K174" s="39">
        <f>IF(Raw_Nationwide!C171="","",Raw_Nationwide!C171/100)</f>
        <v/>
      </c>
      <c r="L174" s="40">
        <f>IF(K174="","",(I174-K174)*100)</f>
        <v/>
      </c>
      <c r="M174" s="37">
        <f>IF(H174="","",MAX(H$5:H174))</f>
        <v/>
      </c>
      <c r="N174" s="38">
        <f>IF(H174="","",H174/M174-1)</f>
        <v/>
      </c>
    </row>
    <row r="175">
      <c r="A175" s="34">
        <f>Raw_Nationwide!A172</f>
        <v/>
      </c>
      <c r="B175" s="21">
        <f>YEAR(A175)</f>
        <v/>
      </c>
      <c r="C175" s="21">
        <f>"Q"&amp;ROUNDUP(MONTH(A175)/3,0)</f>
        <v/>
      </c>
      <c r="D175" s="21">
        <f>B175&amp;" "&amp;C175</f>
        <v/>
      </c>
      <c r="E175" s="35">
        <f>Raw_Nationwide!B172</f>
        <v/>
      </c>
      <c r="F175" s="35">
        <f>Raw_Nationwide!D172</f>
        <v/>
      </c>
      <c r="G175" s="36">
        <f>IFERROR(INDEX(CPI_Index,MATCH(B175,CPI_Year,0)),"")</f>
        <v/>
      </c>
      <c r="H175" s="37">
        <f>IF(G175="","",E175*100/G175)</f>
        <v/>
      </c>
      <c r="I175" s="38">
        <f>E175/E171-1</f>
        <v/>
      </c>
      <c r="J175" s="38">
        <f>IF(OR(H175="",H171=""),"",H175/H171-1)</f>
        <v/>
      </c>
      <c r="K175" s="39">
        <f>IF(Raw_Nationwide!C172="","",Raw_Nationwide!C172/100)</f>
        <v/>
      </c>
      <c r="L175" s="40">
        <f>IF(K175="","",(I175-K175)*100)</f>
        <v/>
      </c>
      <c r="M175" s="37">
        <f>IF(H175="","",MAX(H$5:H175))</f>
        <v/>
      </c>
      <c r="N175" s="38">
        <f>IF(H175="","",H175/M175-1)</f>
        <v/>
      </c>
    </row>
    <row r="176">
      <c r="A176" s="34">
        <f>Raw_Nationwide!A173</f>
        <v/>
      </c>
      <c r="B176" s="21">
        <f>YEAR(A176)</f>
        <v/>
      </c>
      <c r="C176" s="21">
        <f>"Q"&amp;ROUNDUP(MONTH(A176)/3,0)</f>
        <v/>
      </c>
      <c r="D176" s="21">
        <f>B176&amp;" "&amp;C176</f>
        <v/>
      </c>
      <c r="E176" s="35">
        <f>Raw_Nationwide!B173</f>
        <v/>
      </c>
      <c r="F176" s="35">
        <f>Raw_Nationwide!D173</f>
        <v/>
      </c>
      <c r="G176" s="36">
        <f>IFERROR(INDEX(CPI_Index,MATCH(B176,CPI_Year,0)),"")</f>
        <v/>
      </c>
      <c r="H176" s="37">
        <f>IF(G176="","",E176*100/G176)</f>
        <v/>
      </c>
      <c r="I176" s="38">
        <f>E176/E172-1</f>
        <v/>
      </c>
      <c r="J176" s="38">
        <f>IF(OR(H176="",H172=""),"",H176/H172-1)</f>
        <v/>
      </c>
      <c r="K176" s="39">
        <f>IF(Raw_Nationwide!C173="","",Raw_Nationwide!C173/100)</f>
        <v/>
      </c>
      <c r="L176" s="40">
        <f>IF(K176="","",(I176-K176)*100)</f>
        <v/>
      </c>
      <c r="M176" s="37">
        <f>IF(H176="","",MAX(H$5:H176))</f>
        <v/>
      </c>
      <c r="N176" s="38">
        <f>IF(H176="","",H176/M176-1)</f>
        <v/>
      </c>
    </row>
    <row r="177">
      <c r="A177" s="34">
        <f>Raw_Nationwide!A174</f>
        <v/>
      </c>
      <c r="B177" s="21">
        <f>YEAR(A177)</f>
        <v/>
      </c>
      <c r="C177" s="21">
        <f>"Q"&amp;ROUNDUP(MONTH(A177)/3,0)</f>
        <v/>
      </c>
      <c r="D177" s="21">
        <f>B177&amp;" "&amp;C177</f>
        <v/>
      </c>
      <c r="E177" s="35">
        <f>Raw_Nationwide!B174</f>
        <v/>
      </c>
      <c r="F177" s="35">
        <f>Raw_Nationwide!D174</f>
        <v/>
      </c>
      <c r="G177" s="36">
        <f>IFERROR(INDEX(CPI_Index,MATCH(B177,CPI_Year,0)),"")</f>
        <v/>
      </c>
      <c r="H177" s="37">
        <f>IF(G177="","",E177*100/G177)</f>
        <v/>
      </c>
      <c r="I177" s="38">
        <f>E177/E173-1</f>
        <v/>
      </c>
      <c r="J177" s="38">
        <f>IF(OR(H177="",H173=""),"",H177/H173-1)</f>
        <v/>
      </c>
      <c r="K177" s="39">
        <f>IF(Raw_Nationwide!C174="","",Raw_Nationwide!C174/100)</f>
        <v/>
      </c>
      <c r="L177" s="40">
        <f>IF(K177="","",(I177-K177)*100)</f>
        <v/>
      </c>
      <c r="M177" s="37">
        <f>IF(H177="","",MAX(H$5:H177))</f>
        <v/>
      </c>
      <c r="N177" s="38">
        <f>IF(H177="","",H177/M177-1)</f>
        <v/>
      </c>
    </row>
    <row r="178">
      <c r="A178" s="34">
        <f>Raw_Nationwide!A175</f>
        <v/>
      </c>
      <c r="B178" s="21">
        <f>YEAR(A178)</f>
        <v/>
      </c>
      <c r="C178" s="21">
        <f>"Q"&amp;ROUNDUP(MONTH(A178)/3,0)</f>
        <v/>
      </c>
      <c r="D178" s="21">
        <f>B178&amp;" "&amp;C178</f>
        <v/>
      </c>
      <c r="E178" s="35">
        <f>Raw_Nationwide!B175</f>
        <v/>
      </c>
      <c r="F178" s="35">
        <f>Raw_Nationwide!D175</f>
        <v/>
      </c>
      <c r="G178" s="36">
        <f>IFERROR(INDEX(CPI_Index,MATCH(B178,CPI_Year,0)),"")</f>
        <v/>
      </c>
      <c r="H178" s="37">
        <f>IF(G178="","",E178*100/G178)</f>
        <v/>
      </c>
      <c r="I178" s="38">
        <f>E178/E174-1</f>
        <v/>
      </c>
      <c r="J178" s="38">
        <f>IF(OR(H178="",H174=""),"",H178/H174-1)</f>
        <v/>
      </c>
      <c r="K178" s="39">
        <f>IF(Raw_Nationwide!C175="","",Raw_Nationwide!C175/100)</f>
        <v/>
      </c>
      <c r="L178" s="40">
        <f>IF(K178="","",(I178-K178)*100)</f>
        <v/>
      </c>
      <c r="M178" s="37">
        <f>IF(H178="","",MAX(H$5:H178))</f>
        <v/>
      </c>
      <c r="N178" s="38">
        <f>IF(H178="","",H178/M178-1)</f>
        <v/>
      </c>
    </row>
    <row r="179">
      <c r="A179" s="34">
        <f>Raw_Nationwide!A176</f>
        <v/>
      </c>
      <c r="B179" s="21">
        <f>YEAR(A179)</f>
        <v/>
      </c>
      <c r="C179" s="21">
        <f>"Q"&amp;ROUNDUP(MONTH(A179)/3,0)</f>
        <v/>
      </c>
      <c r="D179" s="21">
        <f>B179&amp;" "&amp;C179</f>
        <v/>
      </c>
      <c r="E179" s="35">
        <f>Raw_Nationwide!B176</f>
        <v/>
      </c>
      <c r="F179" s="35">
        <f>Raw_Nationwide!D176</f>
        <v/>
      </c>
      <c r="G179" s="36">
        <f>IFERROR(INDEX(CPI_Index,MATCH(B179,CPI_Year,0)),"")</f>
        <v/>
      </c>
      <c r="H179" s="37">
        <f>IF(G179="","",E179*100/G179)</f>
        <v/>
      </c>
      <c r="I179" s="38">
        <f>E179/E175-1</f>
        <v/>
      </c>
      <c r="J179" s="38">
        <f>IF(OR(H179="",H175=""),"",H179/H175-1)</f>
        <v/>
      </c>
      <c r="K179" s="39">
        <f>IF(Raw_Nationwide!C176="","",Raw_Nationwide!C176/100)</f>
        <v/>
      </c>
      <c r="L179" s="40">
        <f>IF(K179="","",(I179-K179)*100)</f>
        <v/>
      </c>
      <c r="M179" s="37">
        <f>IF(H179="","",MAX(H$5:H179))</f>
        <v/>
      </c>
      <c r="N179" s="38">
        <f>IF(H179="","",H179/M179-1)</f>
        <v/>
      </c>
    </row>
    <row r="180">
      <c r="A180" s="34">
        <f>Raw_Nationwide!A177</f>
        <v/>
      </c>
      <c r="B180" s="21">
        <f>YEAR(A180)</f>
        <v/>
      </c>
      <c r="C180" s="21">
        <f>"Q"&amp;ROUNDUP(MONTH(A180)/3,0)</f>
        <v/>
      </c>
      <c r="D180" s="21">
        <f>B180&amp;" "&amp;C180</f>
        <v/>
      </c>
      <c r="E180" s="35">
        <f>Raw_Nationwide!B177</f>
        <v/>
      </c>
      <c r="F180" s="35">
        <f>Raw_Nationwide!D177</f>
        <v/>
      </c>
      <c r="G180" s="36">
        <f>IFERROR(INDEX(CPI_Index,MATCH(B180,CPI_Year,0)),"")</f>
        <v/>
      </c>
      <c r="H180" s="37">
        <f>IF(G180="","",E180*100/G180)</f>
        <v/>
      </c>
      <c r="I180" s="38">
        <f>E180/E176-1</f>
        <v/>
      </c>
      <c r="J180" s="38">
        <f>IF(OR(H180="",H176=""),"",H180/H176-1)</f>
        <v/>
      </c>
      <c r="K180" s="39">
        <f>IF(Raw_Nationwide!C177="","",Raw_Nationwide!C177/100)</f>
        <v/>
      </c>
      <c r="L180" s="40">
        <f>IF(K180="","",(I180-K180)*100)</f>
        <v/>
      </c>
      <c r="M180" s="37">
        <f>IF(H180="","",MAX(H$5:H180))</f>
        <v/>
      </c>
      <c r="N180" s="38">
        <f>IF(H180="","",H180/M180-1)</f>
        <v/>
      </c>
    </row>
    <row r="181">
      <c r="A181" s="34">
        <f>Raw_Nationwide!A178</f>
        <v/>
      </c>
      <c r="B181" s="21">
        <f>YEAR(A181)</f>
        <v/>
      </c>
      <c r="C181" s="21">
        <f>"Q"&amp;ROUNDUP(MONTH(A181)/3,0)</f>
        <v/>
      </c>
      <c r="D181" s="21">
        <f>B181&amp;" "&amp;C181</f>
        <v/>
      </c>
      <c r="E181" s="35">
        <f>Raw_Nationwide!B178</f>
        <v/>
      </c>
      <c r="F181" s="35">
        <f>Raw_Nationwide!D178</f>
        <v/>
      </c>
      <c r="G181" s="36">
        <f>IFERROR(INDEX(CPI_Index,MATCH(B181,CPI_Year,0)),"")</f>
        <v/>
      </c>
      <c r="H181" s="37">
        <f>IF(G181="","",E181*100/G181)</f>
        <v/>
      </c>
      <c r="I181" s="38">
        <f>E181/E177-1</f>
        <v/>
      </c>
      <c r="J181" s="38">
        <f>IF(OR(H181="",H177=""),"",H181/H177-1)</f>
        <v/>
      </c>
      <c r="K181" s="39">
        <f>IF(Raw_Nationwide!C178="","",Raw_Nationwide!C178/100)</f>
        <v/>
      </c>
      <c r="L181" s="40">
        <f>IF(K181="","",(I181-K181)*100)</f>
        <v/>
      </c>
      <c r="M181" s="37">
        <f>IF(H181="","",MAX(H$5:H181))</f>
        <v/>
      </c>
      <c r="N181" s="38">
        <f>IF(H181="","",H181/M181-1)</f>
        <v/>
      </c>
    </row>
    <row r="182">
      <c r="A182" s="34">
        <f>Raw_Nationwide!A179</f>
        <v/>
      </c>
      <c r="B182" s="21">
        <f>YEAR(A182)</f>
        <v/>
      </c>
      <c r="C182" s="21">
        <f>"Q"&amp;ROUNDUP(MONTH(A182)/3,0)</f>
        <v/>
      </c>
      <c r="D182" s="21">
        <f>B182&amp;" "&amp;C182</f>
        <v/>
      </c>
      <c r="E182" s="35">
        <f>Raw_Nationwide!B179</f>
        <v/>
      </c>
      <c r="F182" s="35">
        <f>Raw_Nationwide!D179</f>
        <v/>
      </c>
      <c r="G182" s="36">
        <f>IFERROR(INDEX(CPI_Index,MATCH(B182,CPI_Year,0)),"")</f>
        <v/>
      </c>
      <c r="H182" s="37">
        <f>IF(G182="","",E182*100/G182)</f>
        <v/>
      </c>
      <c r="I182" s="38">
        <f>E182/E178-1</f>
        <v/>
      </c>
      <c r="J182" s="38">
        <f>IF(OR(H182="",H178=""),"",H182/H178-1)</f>
        <v/>
      </c>
      <c r="K182" s="39">
        <f>IF(Raw_Nationwide!C179="","",Raw_Nationwide!C179/100)</f>
        <v/>
      </c>
      <c r="L182" s="40">
        <f>IF(K182="","",(I182-K182)*100)</f>
        <v/>
      </c>
      <c r="M182" s="37">
        <f>IF(H182="","",MAX(H$5:H182))</f>
        <v/>
      </c>
      <c r="N182" s="38">
        <f>IF(H182="","",H182/M182-1)</f>
        <v/>
      </c>
    </row>
    <row r="183">
      <c r="A183" s="34">
        <f>Raw_Nationwide!A180</f>
        <v/>
      </c>
      <c r="B183" s="21">
        <f>YEAR(A183)</f>
        <v/>
      </c>
      <c r="C183" s="21">
        <f>"Q"&amp;ROUNDUP(MONTH(A183)/3,0)</f>
        <v/>
      </c>
      <c r="D183" s="21">
        <f>B183&amp;" "&amp;C183</f>
        <v/>
      </c>
      <c r="E183" s="35">
        <f>Raw_Nationwide!B180</f>
        <v/>
      </c>
      <c r="F183" s="35">
        <f>Raw_Nationwide!D180</f>
        <v/>
      </c>
      <c r="G183" s="36">
        <f>IFERROR(INDEX(CPI_Index,MATCH(B183,CPI_Year,0)),"")</f>
        <v/>
      </c>
      <c r="H183" s="37">
        <f>IF(G183="","",E183*100/G183)</f>
        <v/>
      </c>
      <c r="I183" s="38">
        <f>E183/E179-1</f>
        <v/>
      </c>
      <c r="J183" s="38">
        <f>IF(OR(H183="",H179=""),"",H183/H179-1)</f>
        <v/>
      </c>
      <c r="K183" s="39">
        <f>IF(Raw_Nationwide!C180="","",Raw_Nationwide!C180/100)</f>
        <v/>
      </c>
      <c r="L183" s="40">
        <f>IF(K183="","",(I183-K183)*100)</f>
        <v/>
      </c>
      <c r="M183" s="37">
        <f>IF(H183="","",MAX(H$5:H183))</f>
        <v/>
      </c>
      <c r="N183" s="38">
        <f>IF(H183="","",H183/M183-1)</f>
        <v/>
      </c>
    </row>
    <row r="184">
      <c r="A184" s="34">
        <f>Raw_Nationwide!A181</f>
        <v/>
      </c>
      <c r="B184" s="21">
        <f>YEAR(A184)</f>
        <v/>
      </c>
      <c r="C184" s="21">
        <f>"Q"&amp;ROUNDUP(MONTH(A184)/3,0)</f>
        <v/>
      </c>
      <c r="D184" s="21">
        <f>B184&amp;" "&amp;C184</f>
        <v/>
      </c>
      <c r="E184" s="35">
        <f>Raw_Nationwide!B181</f>
        <v/>
      </c>
      <c r="F184" s="35">
        <f>Raw_Nationwide!D181</f>
        <v/>
      </c>
      <c r="G184" s="36">
        <f>IFERROR(INDEX(CPI_Index,MATCH(B184,CPI_Year,0)),"")</f>
        <v/>
      </c>
      <c r="H184" s="37">
        <f>IF(G184="","",E184*100/G184)</f>
        <v/>
      </c>
      <c r="I184" s="38">
        <f>E184/E180-1</f>
        <v/>
      </c>
      <c r="J184" s="38">
        <f>IF(OR(H184="",H180=""),"",H184/H180-1)</f>
        <v/>
      </c>
      <c r="K184" s="39">
        <f>IF(Raw_Nationwide!C181="","",Raw_Nationwide!C181/100)</f>
        <v/>
      </c>
      <c r="L184" s="40">
        <f>IF(K184="","",(I184-K184)*100)</f>
        <v/>
      </c>
      <c r="M184" s="37">
        <f>IF(H184="","",MAX(H$5:H184))</f>
        <v/>
      </c>
      <c r="N184" s="38">
        <f>IF(H184="","",H184/M184-1)</f>
        <v/>
      </c>
    </row>
    <row r="185">
      <c r="A185" s="34">
        <f>Raw_Nationwide!A182</f>
        <v/>
      </c>
      <c r="B185" s="21">
        <f>YEAR(A185)</f>
        <v/>
      </c>
      <c r="C185" s="21">
        <f>"Q"&amp;ROUNDUP(MONTH(A185)/3,0)</f>
        <v/>
      </c>
      <c r="D185" s="21">
        <f>B185&amp;" "&amp;C185</f>
        <v/>
      </c>
      <c r="E185" s="35">
        <f>Raw_Nationwide!B182</f>
        <v/>
      </c>
      <c r="F185" s="35">
        <f>Raw_Nationwide!D182</f>
        <v/>
      </c>
      <c r="G185" s="36">
        <f>IFERROR(INDEX(CPI_Index,MATCH(B185,CPI_Year,0)),"")</f>
        <v/>
      </c>
      <c r="H185" s="37">
        <f>IF(G185="","",E185*100/G185)</f>
        <v/>
      </c>
      <c r="I185" s="38">
        <f>E185/E181-1</f>
        <v/>
      </c>
      <c r="J185" s="38">
        <f>IF(OR(H185="",H181=""),"",H185/H181-1)</f>
        <v/>
      </c>
      <c r="K185" s="39">
        <f>IF(Raw_Nationwide!C182="","",Raw_Nationwide!C182/100)</f>
        <v/>
      </c>
      <c r="L185" s="40">
        <f>IF(K185="","",(I185-K185)*100)</f>
        <v/>
      </c>
      <c r="M185" s="37">
        <f>IF(H185="","",MAX(H$5:H185))</f>
        <v/>
      </c>
      <c r="N185" s="38">
        <f>IF(H185="","",H185/M185-1)</f>
        <v/>
      </c>
    </row>
    <row r="186">
      <c r="A186" s="34">
        <f>Raw_Nationwide!A183</f>
        <v/>
      </c>
      <c r="B186" s="21">
        <f>YEAR(A186)</f>
        <v/>
      </c>
      <c r="C186" s="21">
        <f>"Q"&amp;ROUNDUP(MONTH(A186)/3,0)</f>
        <v/>
      </c>
      <c r="D186" s="21">
        <f>B186&amp;" "&amp;C186</f>
        <v/>
      </c>
      <c r="E186" s="35">
        <f>Raw_Nationwide!B183</f>
        <v/>
      </c>
      <c r="F186" s="35">
        <f>Raw_Nationwide!D183</f>
        <v/>
      </c>
      <c r="G186" s="36">
        <f>IFERROR(INDEX(CPI_Index,MATCH(B186,CPI_Year,0)),"")</f>
        <v/>
      </c>
      <c r="H186" s="37">
        <f>IF(G186="","",E186*100/G186)</f>
        <v/>
      </c>
      <c r="I186" s="38">
        <f>E186/E182-1</f>
        <v/>
      </c>
      <c r="J186" s="38">
        <f>IF(OR(H186="",H182=""),"",H186/H182-1)</f>
        <v/>
      </c>
      <c r="K186" s="39">
        <f>IF(Raw_Nationwide!C183="","",Raw_Nationwide!C183/100)</f>
        <v/>
      </c>
      <c r="L186" s="40">
        <f>IF(K186="","",(I186-K186)*100)</f>
        <v/>
      </c>
      <c r="M186" s="37">
        <f>IF(H186="","",MAX(H$5:H186))</f>
        <v/>
      </c>
      <c r="N186" s="38">
        <f>IF(H186="","",H186/M186-1)</f>
        <v/>
      </c>
    </row>
    <row r="187">
      <c r="A187" s="34">
        <f>Raw_Nationwide!A184</f>
        <v/>
      </c>
      <c r="B187" s="21">
        <f>YEAR(A187)</f>
        <v/>
      </c>
      <c r="C187" s="21">
        <f>"Q"&amp;ROUNDUP(MONTH(A187)/3,0)</f>
        <v/>
      </c>
      <c r="D187" s="21">
        <f>B187&amp;" "&amp;C187</f>
        <v/>
      </c>
      <c r="E187" s="35">
        <f>Raw_Nationwide!B184</f>
        <v/>
      </c>
      <c r="F187" s="35">
        <f>Raw_Nationwide!D184</f>
        <v/>
      </c>
      <c r="G187" s="36">
        <f>IFERROR(INDEX(CPI_Index,MATCH(B187,CPI_Year,0)),"")</f>
        <v/>
      </c>
      <c r="H187" s="37">
        <f>IF(G187="","",E187*100/G187)</f>
        <v/>
      </c>
      <c r="I187" s="38">
        <f>E187/E183-1</f>
        <v/>
      </c>
      <c r="J187" s="38">
        <f>IF(OR(H187="",H183=""),"",H187/H183-1)</f>
        <v/>
      </c>
      <c r="K187" s="39">
        <f>IF(Raw_Nationwide!C184="","",Raw_Nationwide!C184/100)</f>
        <v/>
      </c>
      <c r="L187" s="40">
        <f>IF(K187="","",(I187-K187)*100)</f>
        <v/>
      </c>
      <c r="M187" s="37">
        <f>IF(H187="","",MAX(H$5:H187))</f>
        <v/>
      </c>
      <c r="N187" s="38">
        <f>IF(H187="","",H187/M187-1)</f>
        <v/>
      </c>
    </row>
    <row r="188">
      <c r="A188" s="34">
        <f>Raw_Nationwide!A185</f>
        <v/>
      </c>
      <c r="B188" s="21">
        <f>YEAR(A188)</f>
        <v/>
      </c>
      <c r="C188" s="21">
        <f>"Q"&amp;ROUNDUP(MONTH(A188)/3,0)</f>
        <v/>
      </c>
      <c r="D188" s="21">
        <f>B188&amp;" "&amp;C188</f>
        <v/>
      </c>
      <c r="E188" s="35">
        <f>Raw_Nationwide!B185</f>
        <v/>
      </c>
      <c r="F188" s="35">
        <f>Raw_Nationwide!D185</f>
        <v/>
      </c>
      <c r="G188" s="36">
        <f>IFERROR(INDEX(CPI_Index,MATCH(B188,CPI_Year,0)),"")</f>
        <v/>
      </c>
      <c r="H188" s="37">
        <f>IF(G188="","",E188*100/G188)</f>
        <v/>
      </c>
      <c r="I188" s="38">
        <f>E188/E184-1</f>
        <v/>
      </c>
      <c r="J188" s="38">
        <f>IF(OR(H188="",H184=""),"",H188/H184-1)</f>
        <v/>
      </c>
      <c r="K188" s="39">
        <f>IF(Raw_Nationwide!C185="","",Raw_Nationwide!C185/100)</f>
        <v/>
      </c>
      <c r="L188" s="40">
        <f>IF(K188="","",(I188-K188)*100)</f>
        <v/>
      </c>
      <c r="M188" s="37">
        <f>IF(H188="","",MAX(H$5:H188))</f>
        <v/>
      </c>
      <c r="N188" s="38">
        <f>IF(H188="","",H188/M188-1)</f>
        <v/>
      </c>
    </row>
    <row r="189">
      <c r="A189" s="34">
        <f>Raw_Nationwide!A186</f>
        <v/>
      </c>
      <c r="B189" s="21">
        <f>YEAR(A189)</f>
        <v/>
      </c>
      <c r="C189" s="21">
        <f>"Q"&amp;ROUNDUP(MONTH(A189)/3,0)</f>
        <v/>
      </c>
      <c r="D189" s="21">
        <f>B189&amp;" "&amp;C189</f>
        <v/>
      </c>
      <c r="E189" s="35">
        <f>Raw_Nationwide!B186</f>
        <v/>
      </c>
      <c r="F189" s="35">
        <f>Raw_Nationwide!D186</f>
        <v/>
      </c>
      <c r="G189" s="36">
        <f>IFERROR(INDEX(CPI_Index,MATCH(B189,CPI_Year,0)),"")</f>
        <v/>
      </c>
      <c r="H189" s="37">
        <f>IF(G189="","",E189*100/G189)</f>
        <v/>
      </c>
      <c r="I189" s="38">
        <f>E189/E185-1</f>
        <v/>
      </c>
      <c r="J189" s="38">
        <f>IF(OR(H189="",H185=""),"",H189/H185-1)</f>
        <v/>
      </c>
      <c r="K189" s="39">
        <f>IF(Raw_Nationwide!C186="","",Raw_Nationwide!C186/100)</f>
        <v/>
      </c>
      <c r="L189" s="40">
        <f>IF(K189="","",(I189-K189)*100)</f>
        <v/>
      </c>
      <c r="M189" s="37">
        <f>IF(H189="","",MAX(H$5:H189))</f>
        <v/>
      </c>
      <c r="N189" s="38">
        <f>IF(H189="","",H189/M189-1)</f>
        <v/>
      </c>
    </row>
    <row r="190">
      <c r="A190" s="34">
        <f>Raw_Nationwide!A187</f>
        <v/>
      </c>
      <c r="B190" s="21">
        <f>YEAR(A190)</f>
        <v/>
      </c>
      <c r="C190" s="21">
        <f>"Q"&amp;ROUNDUP(MONTH(A190)/3,0)</f>
        <v/>
      </c>
      <c r="D190" s="21">
        <f>B190&amp;" "&amp;C190</f>
        <v/>
      </c>
      <c r="E190" s="35">
        <f>Raw_Nationwide!B187</f>
        <v/>
      </c>
      <c r="F190" s="35">
        <f>Raw_Nationwide!D187</f>
        <v/>
      </c>
      <c r="G190" s="36">
        <f>IFERROR(INDEX(CPI_Index,MATCH(B190,CPI_Year,0)),"")</f>
        <v/>
      </c>
      <c r="H190" s="37">
        <f>IF(G190="","",E190*100/G190)</f>
        <v/>
      </c>
      <c r="I190" s="38">
        <f>E190/E186-1</f>
        <v/>
      </c>
      <c r="J190" s="38">
        <f>IF(OR(H190="",H186=""),"",H190/H186-1)</f>
        <v/>
      </c>
      <c r="K190" s="39">
        <f>IF(Raw_Nationwide!C187="","",Raw_Nationwide!C187/100)</f>
        <v/>
      </c>
      <c r="L190" s="40">
        <f>IF(K190="","",(I190-K190)*100)</f>
        <v/>
      </c>
      <c r="M190" s="37">
        <f>IF(H190="","",MAX(H$5:H190))</f>
        <v/>
      </c>
      <c r="N190" s="38">
        <f>IF(H190="","",H190/M190-1)</f>
        <v/>
      </c>
    </row>
    <row r="191">
      <c r="A191" s="34">
        <f>Raw_Nationwide!A188</f>
        <v/>
      </c>
      <c r="B191" s="21">
        <f>YEAR(A191)</f>
        <v/>
      </c>
      <c r="C191" s="21">
        <f>"Q"&amp;ROUNDUP(MONTH(A191)/3,0)</f>
        <v/>
      </c>
      <c r="D191" s="21">
        <f>B191&amp;" "&amp;C191</f>
        <v/>
      </c>
      <c r="E191" s="35">
        <f>Raw_Nationwide!B188</f>
        <v/>
      </c>
      <c r="F191" s="35">
        <f>Raw_Nationwide!D188</f>
        <v/>
      </c>
      <c r="G191" s="36">
        <f>IFERROR(INDEX(CPI_Index,MATCH(B191,CPI_Year,0)),"")</f>
        <v/>
      </c>
      <c r="H191" s="37">
        <f>IF(G191="","",E191*100/G191)</f>
        <v/>
      </c>
      <c r="I191" s="38">
        <f>E191/E187-1</f>
        <v/>
      </c>
      <c r="J191" s="38">
        <f>IF(OR(H191="",H187=""),"",H191/H187-1)</f>
        <v/>
      </c>
      <c r="K191" s="39">
        <f>IF(Raw_Nationwide!C188="","",Raw_Nationwide!C188/100)</f>
        <v/>
      </c>
      <c r="L191" s="40">
        <f>IF(K191="","",(I191-K191)*100)</f>
        <v/>
      </c>
      <c r="M191" s="37">
        <f>IF(H191="","",MAX(H$5:H191))</f>
        <v/>
      </c>
      <c r="N191" s="38">
        <f>IF(H191="","",H191/M191-1)</f>
        <v/>
      </c>
    </row>
    <row r="192">
      <c r="A192" s="34">
        <f>Raw_Nationwide!A189</f>
        <v/>
      </c>
      <c r="B192" s="21">
        <f>YEAR(A192)</f>
        <v/>
      </c>
      <c r="C192" s="21">
        <f>"Q"&amp;ROUNDUP(MONTH(A192)/3,0)</f>
        <v/>
      </c>
      <c r="D192" s="21">
        <f>B192&amp;" "&amp;C192</f>
        <v/>
      </c>
      <c r="E192" s="35">
        <f>Raw_Nationwide!B189</f>
        <v/>
      </c>
      <c r="F192" s="35">
        <f>Raw_Nationwide!D189</f>
        <v/>
      </c>
      <c r="G192" s="36">
        <f>IFERROR(INDEX(CPI_Index,MATCH(B192,CPI_Year,0)),"")</f>
        <v/>
      </c>
      <c r="H192" s="37">
        <f>IF(G192="","",E192*100/G192)</f>
        <v/>
      </c>
      <c r="I192" s="38">
        <f>E192/E188-1</f>
        <v/>
      </c>
      <c r="J192" s="38">
        <f>IF(OR(H192="",H188=""),"",H192/H188-1)</f>
        <v/>
      </c>
      <c r="K192" s="39">
        <f>IF(Raw_Nationwide!C189="","",Raw_Nationwide!C189/100)</f>
        <v/>
      </c>
      <c r="L192" s="40">
        <f>IF(K192="","",(I192-K192)*100)</f>
        <v/>
      </c>
      <c r="M192" s="37">
        <f>IF(H192="","",MAX(H$5:H192))</f>
        <v/>
      </c>
      <c r="N192" s="38">
        <f>IF(H192="","",H192/M192-1)</f>
        <v/>
      </c>
    </row>
    <row r="193">
      <c r="A193" s="34">
        <f>Raw_Nationwide!A190</f>
        <v/>
      </c>
      <c r="B193" s="21">
        <f>YEAR(A193)</f>
        <v/>
      </c>
      <c r="C193" s="21">
        <f>"Q"&amp;ROUNDUP(MONTH(A193)/3,0)</f>
        <v/>
      </c>
      <c r="D193" s="21">
        <f>B193&amp;" "&amp;C193</f>
        <v/>
      </c>
      <c r="E193" s="35">
        <f>Raw_Nationwide!B190</f>
        <v/>
      </c>
      <c r="F193" s="35">
        <f>Raw_Nationwide!D190</f>
        <v/>
      </c>
      <c r="G193" s="36">
        <f>IFERROR(INDEX(CPI_Index,MATCH(B193,CPI_Year,0)),"")</f>
        <v/>
      </c>
      <c r="H193" s="37">
        <f>IF(G193="","",E193*100/G193)</f>
        <v/>
      </c>
      <c r="I193" s="38">
        <f>E193/E189-1</f>
        <v/>
      </c>
      <c r="J193" s="38">
        <f>IF(OR(H193="",H189=""),"",H193/H189-1)</f>
        <v/>
      </c>
      <c r="K193" s="39">
        <f>IF(Raw_Nationwide!C190="","",Raw_Nationwide!C190/100)</f>
        <v/>
      </c>
      <c r="L193" s="40">
        <f>IF(K193="","",(I193-K193)*100)</f>
        <v/>
      </c>
      <c r="M193" s="37">
        <f>IF(H193="","",MAX(H$5:H193))</f>
        <v/>
      </c>
      <c r="N193" s="38">
        <f>IF(H193="","",H193/M193-1)</f>
        <v/>
      </c>
    </row>
    <row r="194">
      <c r="A194" s="34">
        <f>Raw_Nationwide!A191</f>
        <v/>
      </c>
      <c r="B194" s="21">
        <f>YEAR(A194)</f>
        <v/>
      </c>
      <c r="C194" s="21">
        <f>"Q"&amp;ROUNDUP(MONTH(A194)/3,0)</f>
        <v/>
      </c>
      <c r="D194" s="21">
        <f>B194&amp;" "&amp;C194</f>
        <v/>
      </c>
      <c r="E194" s="35">
        <f>Raw_Nationwide!B191</f>
        <v/>
      </c>
      <c r="F194" s="35">
        <f>Raw_Nationwide!D191</f>
        <v/>
      </c>
      <c r="G194" s="36">
        <f>IFERROR(INDEX(CPI_Index,MATCH(B194,CPI_Year,0)),"")</f>
        <v/>
      </c>
      <c r="H194" s="37">
        <f>IF(G194="","",E194*100/G194)</f>
        <v/>
      </c>
      <c r="I194" s="38">
        <f>E194/E190-1</f>
        <v/>
      </c>
      <c r="J194" s="38">
        <f>IF(OR(H194="",H190=""),"",H194/H190-1)</f>
        <v/>
      </c>
      <c r="K194" s="39">
        <f>IF(Raw_Nationwide!C191="","",Raw_Nationwide!C191/100)</f>
        <v/>
      </c>
      <c r="L194" s="40">
        <f>IF(K194="","",(I194-K194)*100)</f>
        <v/>
      </c>
      <c r="M194" s="37">
        <f>IF(H194="","",MAX(H$5:H194))</f>
        <v/>
      </c>
      <c r="N194" s="38">
        <f>IF(H194="","",H194/M194-1)</f>
        <v/>
      </c>
    </row>
    <row r="195">
      <c r="A195" s="34">
        <f>Raw_Nationwide!A192</f>
        <v/>
      </c>
      <c r="B195" s="21">
        <f>YEAR(A195)</f>
        <v/>
      </c>
      <c r="C195" s="21">
        <f>"Q"&amp;ROUNDUP(MONTH(A195)/3,0)</f>
        <v/>
      </c>
      <c r="D195" s="21">
        <f>B195&amp;" "&amp;C195</f>
        <v/>
      </c>
      <c r="E195" s="35">
        <f>Raw_Nationwide!B192</f>
        <v/>
      </c>
      <c r="F195" s="35">
        <f>Raw_Nationwide!D192</f>
        <v/>
      </c>
      <c r="G195" s="36">
        <f>IFERROR(INDEX(CPI_Index,MATCH(B195,CPI_Year,0)),"")</f>
        <v/>
      </c>
      <c r="H195" s="37">
        <f>IF(G195="","",E195*100/G195)</f>
        <v/>
      </c>
      <c r="I195" s="38">
        <f>E195/E191-1</f>
        <v/>
      </c>
      <c r="J195" s="38">
        <f>IF(OR(H195="",H191=""),"",H195/H191-1)</f>
        <v/>
      </c>
      <c r="K195" s="39">
        <f>IF(Raw_Nationwide!C192="","",Raw_Nationwide!C192/100)</f>
        <v/>
      </c>
      <c r="L195" s="40">
        <f>IF(K195="","",(I195-K195)*100)</f>
        <v/>
      </c>
      <c r="M195" s="37">
        <f>IF(H195="","",MAX(H$5:H195))</f>
        <v/>
      </c>
      <c r="N195" s="38">
        <f>IF(H195="","",H195/M195-1)</f>
        <v/>
      </c>
    </row>
    <row r="196">
      <c r="A196" s="34">
        <f>Raw_Nationwide!A193</f>
        <v/>
      </c>
      <c r="B196" s="21">
        <f>YEAR(A196)</f>
        <v/>
      </c>
      <c r="C196" s="21">
        <f>"Q"&amp;ROUNDUP(MONTH(A196)/3,0)</f>
        <v/>
      </c>
      <c r="D196" s="21">
        <f>B196&amp;" "&amp;C196</f>
        <v/>
      </c>
      <c r="E196" s="35">
        <f>Raw_Nationwide!B193</f>
        <v/>
      </c>
      <c r="F196" s="35">
        <f>Raw_Nationwide!D193</f>
        <v/>
      </c>
      <c r="G196" s="36">
        <f>IFERROR(INDEX(CPI_Index,MATCH(B196,CPI_Year,0)),"")</f>
        <v/>
      </c>
      <c r="H196" s="37">
        <f>IF(G196="","",E196*100/G196)</f>
        <v/>
      </c>
      <c r="I196" s="38">
        <f>E196/E192-1</f>
        <v/>
      </c>
      <c r="J196" s="38">
        <f>IF(OR(H196="",H192=""),"",H196/H192-1)</f>
        <v/>
      </c>
      <c r="K196" s="39">
        <f>IF(Raw_Nationwide!C193="","",Raw_Nationwide!C193/100)</f>
        <v/>
      </c>
      <c r="L196" s="40">
        <f>IF(K196="","",(I196-K196)*100)</f>
        <v/>
      </c>
      <c r="M196" s="37">
        <f>IF(H196="","",MAX(H$5:H196))</f>
        <v/>
      </c>
      <c r="N196" s="38">
        <f>IF(H196="","",H196/M196-1)</f>
        <v/>
      </c>
    </row>
    <row r="197">
      <c r="A197" s="34">
        <f>Raw_Nationwide!A194</f>
        <v/>
      </c>
      <c r="B197" s="21">
        <f>YEAR(A197)</f>
        <v/>
      </c>
      <c r="C197" s="21">
        <f>"Q"&amp;ROUNDUP(MONTH(A197)/3,0)</f>
        <v/>
      </c>
      <c r="D197" s="21">
        <f>B197&amp;" "&amp;C197</f>
        <v/>
      </c>
      <c r="E197" s="35">
        <f>Raw_Nationwide!B194</f>
        <v/>
      </c>
      <c r="F197" s="35">
        <f>Raw_Nationwide!D194</f>
        <v/>
      </c>
      <c r="G197" s="36">
        <f>IFERROR(INDEX(CPI_Index,MATCH(B197,CPI_Year,0)),"")</f>
        <v/>
      </c>
      <c r="H197" s="37">
        <f>IF(G197="","",E197*100/G197)</f>
        <v/>
      </c>
      <c r="I197" s="38">
        <f>E197/E193-1</f>
        <v/>
      </c>
      <c r="J197" s="38">
        <f>IF(OR(H197="",H193=""),"",H197/H193-1)</f>
        <v/>
      </c>
      <c r="K197" s="39">
        <f>IF(Raw_Nationwide!C194="","",Raw_Nationwide!C194/100)</f>
        <v/>
      </c>
      <c r="L197" s="40">
        <f>IF(K197="","",(I197-K197)*100)</f>
        <v/>
      </c>
      <c r="M197" s="37">
        <f>IF(H197="","",MAX(H$5:H197))</f>
        <v/>
      </c>
      <c r="N197" s="38">
        <f>IF(H197="","",H197/M197-1)</f>
        <v/>
      </c>
    </row>
    <row r="198">
      <c r="A198" s="34">
        <f>Raw_Nationwide!A195</f>
        <v/>
      </c>
      <c r="B198" s="21">
        <f>YEAR(A198)</f>
        <v/>
      </c>
      <c r="C198" s="21">
        <f>"Q"&amp;ROUNDUP(MONTH(A198)/3,0)</f>
        <v/>
      </c>
      <c r="D198" s="21">
        <f>B198&amp;" "&amp;C198</f>
        <v/>
      </c>
      <c r="E198" s="35">
        <f>Raw_Nationwide!B195</f>
        <v/>
      </c>
      <c r="F198" s="35">
        <f>Raw_Nationwide!D195</f>
        <v/>
      </c>
      <c r="G198" s="36">
        <f>IFERROR(INDEX(CPI_Index,MATCH(B198,CPI_Year,0)),"")</f>
        <v/>
      </c>
      <c r="H198" s="37">
        <f>IF(G198="","",E198*100/G198)</f>
        <v/>
      </c>
      <c r="I198" s="38">
        <f>E198/E194-1</f>
        <v/>
      </c>
      <c r="J198" s="38">
        <f>IF(OR(H198="",H194=""),"",H198/H194-1)</f>
        <v/>
      </c>
      <c r="K198" s="39">
        <f>IF(Raw_Nationwide!C195="","",Raw_Nationwide!C195/100)</f>
        <v/>
      </c>
      <c r="L198" s="40">
        <f>IF(K198="","",(I198-K198)*100)</f>
        <v/>
      </c>
      <c r="M198" s="37">
        <f>IF(H198="","",MAX(H$5:H198))</f>
        <v/>
      </c>
      <c r="N198" s="38">
        <f>IF(H198="","",H198/M198-1)</f>
        <v/>
      </c>
    </row>
    <row r="199">
      <c r="A199" s="34">
        <f>Raw_Nationwide!A196</f>
        <v/>
      </c>
      <c r="B199" s="21">
        <f>YEAR(A199)</f>
        <v/>
      </c>
      <c r="C199" s="21">
        <f>"Q"&amp;ROUNDUP(MONTH(A199)/3,0)</f>
        <v/>
      </c>
      <c r="D199" s="21">
        <f>B199&amp;" "&amp;C199</f>
        <v/>
      </c>
      <c r="E199" s="35">
        <f>Raw_Nationwide!B196</f>
        <v/>
      </c>
      <c r="F199" s="35">
        <f>Raw_Nationwide!D196</f>
        <v/>
      </c>
      <c r="G199" s="36">
        <f>IFERROR(INDEX(CPI_Index,MATCH(B199,CPI_Year,0)),"")</f>
        <v/>
      </c>
      <c r="H199" s="37">
        <f>IF(G199="","",E199*100/G199)</f>
        <v/>
      </c>
      <c r="I199" s="38">
        <f>E199/E195-1</f>
        <v/>
      </c>
      <c r="J199" s="38">
        <f>IF(OR(H199="",H195=""),"",H199/H195-1)</f>
        <v/>
      </c>
      <c r="K199" s="39">
        <f>IF(Raw_Nationwide!C196="","",Raw_Nationwide!C196/100)</f>
        <v/>
      </c>
      <c r="L199" s="40">
        <f>IF(K199="","",(I199-K199)*100)</f>
        <v/>
      </c>
      <c r="M199" s="37">
        <f>IF(H199="","",MAX(H$5:H199))</f>
        <v/>
      </c>
      <c r="N199" s="38">
        <f>IF(H199="","",H199/M199-1)</f>
        <v/>
      </c>
    </row>
    <row r="200">
      <c r="A200" s="34">
        <f>Raw_Nationwide!A197</f>
        <v/>
      </c>
      <c r="B200" s="21">
        <f>YEAR(A200)</f>
        <v/>
      </c>
      <c r="C200" s="21">
        <f>"Q"&amp;ROUNDUP(MONTH(A200)/3,0)</f>
        <v/>
      </c>
      <c r="D200" s="21">
        <f>B200&amp;" "&amp;C200</f>
        <v/>
      </c>
      <c r="E200" s="35">
        <f>Raw_Nationwide!B197</f>
        <v/>
      </c>
      <c r="F200" s="35">
        <f>Raw_Nationwide!D197</f>
        <v/>
      </c>
      <c r="G200" s="36">
        <f>IFERROR(INDEX(CPI_Index,MATCH(B200,CPI_Year,0)),"")</f>
        <v/>
      </c>
      <c r="H200" s="37">
        <f>IF(G200="","",E200*100/G200)</f>
        <v/>
      </c>
      <c r="I200" s="38">
        <f>E200/E196-1</f>
        <v/>
      </c>
      <c r="J200" s="38">
        <f>IF(OR(H200="",H196=""),"",H200/H196-1)</f>
        <v/>
      </c>
      <c r="K200" s="39">
        <f>IF(Raw_Nationwide!C197="","",Raw_Nationwide!C197/100)</f>
        <v/>
      </c>
      <c r="L200" s="40">
        <f>IF(K200="","",(I200-K200)*100)</f>
        <v/>
      </c>
      <c r="M200" s="37">
        <f>IF(H200="","",MAX(H$5:H200))</f>
        <v/>
      </c>
      <c r="N200" s="38">
        <f>IF(H200="","",H200/M200-1)</f>
        <v/>
      </c>
    </row>
    <row r="201">
      <c r="A201" s="34">
        <f>Raw_Nationwide!A198</f>
        <v/>
      </c>
      <c r="B201" s="21">
        <f>YEAR(A201)</f>
        <v/>
      </c>
      <c r="C201" s="21">
        <f>"Q"&amp;ROUNDUP(MONTH(A201)/3,0)</f>
        <v/>
      </c>
      <c r="D201" s="21">
        <f>B201&amp;" "&amp;C201</f>
        <v/>
      </c>
      <c r="E201" s="35">
        <f>Raw_Nationwide!B198</f>
        <v/>
      </c>
      <c r="F201" s="35">
        <f>Raw_Nationwide!D198</f>
        <v/>
      </c>
      <c r="G201" s="36">
        <f>IFERROR(INDEX(CPI_Index,MATCH(B201,CPI_Year,0)),"")</f>
        <v/>
      </c>
      <c r="H201" s="37">
        <f>IF(G201="","",E201*100/G201)</f>
        <v/>
      </c>
      <c r="I201" s="38">
        <f>E201/E197-1</f>
        <v/>
      </c>
      <c r="J201" s="38">
        <f>IF(OR(H201="",H197=""),"",H201/H197-1)</f>
        <v/>
      </c>
      <c r="K201" s="39">
        <f>IF(Raw_Nationwide!C198="","",Raw_Nationwide!C198/100)</f>
        <v/>
      </c>
      <c r="L201" s="40">
        <f>IF(K201="","",(I201-K201)*100)</f>
        <v/>
      </c>
      <c r="M201" s="37">
        <f>IF(H201="","",MAX(H$5:H201))</f>
        <v/>
      </c>
      <c r="N201" s="38">
        <f>IF(H201="","",H201/M201-1)</f>
        <v/>
      </c>
    </row>
    <row r="202">
      <c r="A202" s="34">
        <f>Raw_Nationwide!A199</f>
        <v/>
      </c>
      <c r="B202" s="21">
        <f>YEAR(A202)</f>
        <v/>
      </c>
      <c r="C202" s="21">
        <f>"Q"&amp;ROUNDUP(MONTH(A202)/3,0)</f>
        <v/>
      </c>
      <c r="D202" s="21">
        <f>B202&amp;" "&amp;C202</f>
        <v/>
      </c>
      <c r="E202" s="35">
        <f>Raw_Nationwide!B199</f>
        <v/>
      </c>
      <c r="F202" s="35">
        <f>Raw_Nationwide!D199</f>
        <v/>
      </c>
      <c r="G202" s="36">
        <f>IFERROR(INDEX(CPI_Index,MATCH(B202,CPI_Year,0)),"")</f>
        <v/>
      </c>
      <c r="H202" s="37">
        <f>IF(G202="","",E202*100/G202)</f>
        <v/>
      </c>
      <c r="I202" s="38">
        <f>E202/E198-1</f>
        <v/>
      </c>
      <c r="J202" s="38">
        <f>IF(OR(H202="",H198=""),"",H202/H198-1)</f>
        <v/>
      </c>
      <c r="K202" s="39">
        <f>IF(Raw_Nationwide!C199="","",Raw_Nationwide!C199/100)</f>
        <v/>
      </c>
      <c r="L202" s="40">
        <f>IF(K202="","",(I202-K202)*100)</f>
        <v/>
      </c>
      <c r="M202" s="37">
        <f>IF(H202="","",MAX(H$5:H202))</f>
        <v/>
      </c>
      <c r="N202" s="38">
        <f>IF(H202="","",H202/M202-1)</f>
        <v/>
      </c>
    </row>
    <row r="203">
      <c r="A203" s="34">
        <f>Raw_Nationwide!A200</f>
        <v/>
      </c>
      <c r="B203" s="21">
        <f>YEAR(A203)</f>
        <v/>
      </c>
      <c r="C203" s="21">
        <f>"Q"&amp;ROUNDUP(MONTH(A203)/3,0)</f>
        <v/>
      </c>
      <c r="D203" s="21">
        <f>B203&amp;" "&amp;C203</f>
        <v/>
      </c>
      <c r="E203" s="35">
        <f>Raw_Nationwide!B200</f>
        <v/>
      </c>
      <c r="F203" s="35">
        <f>Raw_Nationwide!D200</f>
        <v/>
      </c>
      <c r="G203" s="36">
        <f>IFERROR(INDEX(CPI_Index,MATCH(B203,CPI_Year,0)),"")</f>
        <v/>
      </c>
      <c r="H203" s="37">
        <f>IF(G203="","",E203*100/G203)</f>
        <v/>
      </c>
      <c r="I203" s="38">
        <f>E203/E199-1</f>
        <v/>
      </c>
      <c r="J203" s="38">
        <f>IF(OR(H203="",H199=""),"",H203/H199-1)</f>
        <v/>
      </c>
      <c r="K203" s="39">
        <f>IF(Raw_Nationwide!C200="","",Raw_Nationwide!C200/100)</f>
        <v/>
      </c>
      <c r="L203" s="40">
        <f>IF(K203="","",(I203-K203)*100)</f>
        <v/>
      </c>
      <c r="M203" s="37">
        <f>IF(H203="","",MAX(H$5:H203))</f>
        <v/>
      </c>
      <c r="N203" s="38">
        <f>IF(H203="","",H203/M203-1)</f>
        <v/>
      </c>
    </row>
    <row r="204">
      <c r="A204" s="34">
        <f>Raw_Nationwide!A201</f>
        <v/>
      </c>
      <c r="B204" s="21">
        <f>YEAR(A204)</f>
        <v/>
      </c>
      <c r="C204" s="21">
        <f>"Q"&amp;ROUNDUP(MONTH(A204)/3,0)</f>
        <v/>
      </c>
      <c r="D204" s="21">
        <f>B204&amp;" "&amp;C204</f>
        <v/>
      </c>
      <c r="E204" s="35">
        <f>Raw_Nationwide!B201</f>
        <v/>
      </c>
      <c r="F204" s="35">
        <f>Raw_Nationwide!D201</f>
        <v/>
      </c>
      <c r="G204" s="36">
        <f>IFERROR(INDEX(CPI_Index,MATCH(B204,CPI_Year,0)),"")</f>
        <v/>
      </c>
      <c r="H204" s="37">
        <f>IF(G204="","",E204*100/G204)</f>
        <v/>
      </c>
      <c r="I204" s="38">
        <f>E204/E200-1</f>
        <v/>
      </c>
      <c r="J204" s="38">
        <f>IF(OR(H204="",H200=""),"",H204/H200-1)</f>
        <v/>
      </c>
      <c r="K204" s="39">
        <f>IF(Raw_Nationwide!C201="","",Raw_Nationwide!C201/100)</f>
        <v/>
      </c>
      <c r="L204" s="40">
        <f>IF(K204="","",(I204-K204)*100)</f>
        <v/>
      </c>
      <c r="M204" s="37">
        <f>IF(H204="","",MAX(H$5:H204))</f>
        <v/>
      </c>
      <c r="N204" s="38">
        <f>IF(H204="","",H204/M204-1)</f>
        <v/>
      </c>
    </row>
    <row r="205">
      <c r="A205" s="34">
        <f>Raw_Nationwide!A202</f>
        <v/>
      </c>
      <c r="B205" s="21">
        <f>YEAR(A205)</f>
        <v/>
      </c>
      <c r="C205" s="21">
        <f>"Q"&amp;ROUNDUP(MONTH(A205)/3,0)</f>
        <v/>
      </c>
      <c r="D205" s="21">
        <f>B205&amp;" "&amp;C205</f>
        <v/>
      </c>
      <c r="E205" s="35">
        <f>Raw_Nationwide!B202</f>
        <v/>
      </c>
      <c r="F205" s="35">
        <f>Raw_Nationwide!D202</f>
        <v/>
      </c>
      <c r="G205" s="36">
        <f>IFERROR(INDEX(CPI_Index,MATCH(B205,CPI_Year,0)),"")</f>
        <v/>
      </c>
      <c r="H205" s="37">
        <f>IF(G205="","",E205*100/G205)</f>
        <v/>
      </c>
      <c r="I205" s="38">
        <f>E205/E201-1</f>
        <v/>
      </c>
      <c r="J205" s="38">
        <f>IF(OR(H205="",H201=""),"",H205/H201-1)</f>
        <v/>
      </c>
      <c r="K205" s="39">
        <f>IF(Raw_Nationwide!C202="","",Raw_Nationwide!C202/100)</f>
        <v/>
      </c>
      <c r="L205" s="40">
        <f>IF(K205="","",(I205-K205)*100)</f>
        <v/>
      </c>
      <c r="M205" s="37">
        <f>IF(H205="","",MAX(H$5:H205))</f>
        <v/>
      </c>
      <c r="N205" s="38">
        <f>IF(H205="","",H205/M205-1)</f>
        <v/>
      </c>
    </row>
    <row r="206">
      <c r="A206" s="34">
        <f>Raw_Nationwide!A203</f>
        <v/>
      </c>
      <c r="B206" s="21">
        <f>YEAR(A206)</f>
        <v/>
      </c>
      <c r="C206" s="21">
        <f>"Q"&amp;ROUNDUP(MONTH(A206)/3,0)</f>
        <v/>
      </c>
      <c r="D206" s="21">
        <f>B206&amp;" "&amp;C206</f>
        <v/>
      </c>
      <c r="E206" s="35">
        <f>Raw_Nationwide!B203</f>
        <v/>
      </c>
      <c r="F206" s="35">
        <f>Raw_Nationwide!D203</f>
        <v/>
      </c>
      <c r="G206" s="36">
        <f>IFERROR(INDEX(CPI_Index,MATCH(B206,CPI_Year,0)),"")</f>
        <v/>
      </c>
      <c r="H206" s="37">
        <f>IF(G206="","",E206*100/G206)</f>
        <v/>
      </c>
      <c r="I206" s="38">
        <f>E206/E202-1</f>
        <v/>
      </c>
      <c r="J206" s="38">
        <f>IF(OR(H206="",H202=""),"",H206/H202-1)</f>
        <v/>
      </c>
      <c r="K206" s="39">
        <f>IF(Raw_Nationwide!C203="","",Raw_Nationwide!C203/100)</f>
        <v/>
      </c>
      <c r="L206" s="40">
        <f>IF(K206="","",(I206-K206)*100)</f>
        <v/>
      </c>
      <c r="M206" s="37">
        <f>IF(H206="","",MAX(H$5:H206))</f>
        <v/>
      </c>
      <c r="N206" s="38">
        <f>IF(H206="","",H206/M206-1)</f>
        <v/>
      </c>
    </row>
    <row r="207">
      <c r="A207" s="34">
        <f>Raw_Nationwide!A204</f>
        <v/>
      </c>
      <c r="B207" s="21">
        <f>YEAR(A207)</f>
        <v/>
      </c>
      <c r="C207" s="21">
        <f>"Q"&amp;ROUNDUP(MONTH(A207)/3,0)</f>
        <v/>
      </c>
      <c r="D207" s="21">
        <f>B207&amp;" "&amp;C207</f>
        <v/>
      </c>
      <c r="E207" s="35">
        <f>Raw_Nationwide!B204</f>
        <v/>
      </c>
      <c r="F207" s="35">
        <f>Raw_Nationwide!D204</f>
        <v/>
      </c>
      <c r="G207" s="36">
        <f>IFERROR(INDEX(CPI_Index,MATCH(B207,CPI_Year,0)),"")</f>
        <v/>
      </c>
      <c r="H207" s="37">
        <f>IF(G207="","",E207*100/G207)</f>
        <v/>
      </c>
      <c r="I207" s="38">
        <f>E207/E203-1</f>
        <v/>
      </c>
      <c r="J207" s="38">
        <f>IF(OR(H207="",H203=""),"",H207/H203-1)</f>
        <v/>
      </c>
      <c r="K207" s="39">
        <f>IF(Raw_Nationwide!C204="","",Raw_Nationwide!C204/100)</f>
        <v/>
      </c>
      <c r="L207" s="40">
        <f>IF(K207="","",(I207-K207)*100)</f>
        <v/>
      </c>
      <c r="M207" s="37">
        <f>IF(H207="","",MAX(H$5:H207))</f>
        <v/>
      </c>
      <c r="N207" s="38">
        <f>IF(H207="","",H207/M207-1)</f>
        <v/>
      </c>
    </row>
    <row r="208">
      <c r="A208" s="34">
        <f>Raw_Nationwide!A205</f>
        <v/>
      </c>
      <c r="B208" s="21">
        <f>YEAR(A208)</f>
        <v/>
      </c>
      <c r="C208" s="21">
        <f>"Q"&amp;ROUNDUP(MONTH(A208)/3,0)</f>
        <v/>
      </c>
      <c r="D208" s="21">
        <f>B208&amp;" "&amp;C208</f>
        <v/>
      </c>
      <c r="E208" s="35">
        <f>Raw_Nationwide!B205</f>
        <v/>
      </c>
      <c r="F208" s="35">
        <f>Raw_Nationwide!D205</f>
        <v/>
      </c>
      <c r="G208" s="36">
        <f>IFERROR(INDEX(CPI_Index,MATCH(B208,CPI_Year,0)),"")</f>
        <v/>
      </c>
      <c r="H208" s="37">
        <f>IF(G208="","",E208*100/G208)</f>
        <v/>
      </c>
      <c r="I208" s="38">
        <f>E208/E204-1</f>
        <v/>
      </c>
      <c r="J208" s="38">
        <f>IF(OR(H208="",H204=""),"",H208/H204-1)</f>
        <v/>
      </c>
      <c r="K208" s="39">
        <f>IF(Raw_Nationwide!C205="","",Raw_Nationwide!C205/100)</f>
        <v/>
      </c>
      <c r="L208" s="40">
        <f>IF(K208="","",(I208-K208)*100)</f>
        <v/>
      </c>
      <c r="M208" s="37">
        <f>IF(H208="","",MAX(H$5:H208))</f>
        <v/>
      </c>
      <c r="N208" s="38">
        <f>IF(H208="","",H208/M208-1)</f>
        <v/>
      </c>
    </row>
    <row r="209">
      <c r="A209" s="34">
        <f>Raw_Nationwide!A206</f>
        <v/>
      </c>
      <c r="B209" s="21">
        <f>YEAR(A209)</f>
        <v/>
      </c>
      <c r="C209" s="21">
        <f>"Q"&amp;ROUNDUP(MONTH(A209)/3,0)</f>
        <v/>
      </c>
      <c r="D209" s="21">
        <f>B209&amp;" "&amp;C209</f>
        <v/>
      </c>
      <c r="E209" s="35">
        <f>Raw_Nationwide!B206</f>
        <v/>
      </c>
      <c r="F209" s="35">
        <f>Raw_Nationwide!D206</f>
        <v/>
      </c>
      <c r="G209" s="36">
        <f>IFERROR(INDEX(CPI_Index,MATCH(B209,CPI_Year,0)),"")</f>
        <v/>
      </c>
      <c r="H209" s="37">
        <f>IF(G209="","",E209*100/G209)</f>
        <v/>
      </c>
      <c r="I209" s="38">
        <f>E209/E205-1</f>
        <v/>
      </c>
      <c r="J209" s="38">
        <f>IF(OR(H209="",H205=""),"",H209/H205-1)</f>
        <v/>
      </c>
      <c r="K209" s="39">
        <f>IF(Raw_Nationwide!C206="","",Raw_Nationwide!C206/100)</f>
        <v/>
      </c>
      <c r="L209" s="40">
        <f>IF(K209="","",(I209-K209)*100)</f>
        <v/>
      </c>
      <c r="M209" s="37">
        <f>IF(H209="","",MAX(H$5:H209))</f>
        <v/>
      </c>
      <c r="N209" s="38">
        <f>IF(H209="","",H209/M209-1)</f>
        <v/>
      </c>
    </row>
    <row r="210">
      <c r="A210" s="34">
        <f>Raw_Nationwide!A207</f>
        <v/>
      </c>
      <c r="B210" s="21">
        <f>YEAR(A210)</f>
        <v/>
      </c>
      <c r="C210" s="21">
        <f>"Q"&amp;ROUNDUP(MONTH(A210)/3,0)</f>
        <v/>
      </c>
      <c r="D210" s="21">
        <f>B210&amp;" "&amp;C210</f>
        <v/>
      </c>
      <c r="E210" s="35">
        <f>Raw_Nationwide!B207</f>
        <v/>
      </c>
      <c r="F210" s="35">
        <f>Raw_Nationwide!D207</f>
        <v/>
      </c>
      <c r="G210" s="36">
        <f>IFERROR(INDEX(CPI_Index,MATCH(B210,CPI_Year,0)),"")</f>
        <v/>
      </c>
      <c r="H210" s="37">
        <f>IF(G210="","",E210*100/G210)</f>
        <v/>
      </c>
      <c r="I210" s="38">
        <f>E210/E206-1</f>
        <v/>
      </c>
      <c r="J210" s="38">
        <f>IF(OR(H210="",H206=""),"",H210/H206-1)</f>
        <v/>
      </c>
      <c r="K210" s="39">
        <f>IF(Raw_Nationwide!C207="","",Raw_Nationwide!C207/100)</f>
        <v/>
      </c>
      <c r="L210" s="40">
        <f>IF(K210="","",(I210-K210)*100)</f>
        <v/>
      </c>
      <c r="M210" s="37">
        <f>IF(H210="","",MAX(H$5:H210))</f>
        <v/>
      </c>
      <c r="N210" s="38">
        <f>IF(H210="","",H210/M210-1)</f>
        <v/>
      </c>
    </row>
    <row r="211">
      <c r="A211" s="34">
        <f>Raw_Nationwide!A208</f>
        <v/>
      </c>
      <c r="B211" s="21">
        <f>YEAR(A211)</f>
        <v/>
      </c>
      <c r="C211" s="21">
        <f>"Q"&amp;ROUNDUP(MONTH(A211)/3,0)</f>
        <v/>
      </c>
      <c r="D211" s="21">
        <f>B211&amp;" "&amp;C211</f>
        <v/>
      </c>
      <c r="E211" s="35">
        <f>Raw_Nationwide!B208</f>
        <v/>
      </c>
      <c r="F211" s="35">
        <f>Raw_Nationwide!D208</f>
        <v/>
      </c>
      <c r="G211" s="36">
        <f>IFERROR(INDEX(CPI_Index,MATCH(B211,CPI_Year,0)),"")</f>
        <v/>
      </c>
      <c r="H211" s="37">
        <f>IF(G211="","",E211*100/G211)</f>
        <v/>
      </c>
      <c r="I211" s="38">
        <f>E211/E207-1</f>
        <v/>
      </c>
      <c r="J211" s="38">
        <f>IF(OR(H211="",H207=""),"",H211/H207-1)</f>
        <v/>
      </c>
      <c r="K211" s="39">
        <f>IF(Raw_Nationwide!C208="","",Raw_Nationwide!C208/100)</f>
        <v/>
      </c>
      <c r="L211" s="40">
        <f>IF(K211="","",(I211-K211)*100)</f>
        <v/>
      </c>
      <c r="M211" s="37">
        <f>IF(H211="","",MAX(H$5:H211))</f>
        <v/>
      </c>
      <c r="N211" s="38">
        <f>IF(H211="","",H211/M211-1)</f>
        <v/>
      </c>
    </row>
    <row r="212">
      <c r="A212" s="34">
        <f>Raw_Nationwide!A209</f>
        <v/>
      </c>
      <c r="B212" s="21">
        <f>YEAR(A212)</f>
        <v/>
      </c>
      <c r="C212" s="21">
        <f>"Q"&amp;ROUNDUP(MONTH(A212)/3,0)</f>
        <v/>
      </c>
      <c r="D212" s="21">
        <f>B212&amp;" "&amp;C212</f>
        <v/>
      </c>
      <c r="E212" s="35">
        <f>Raw_Nationwide!B209</f>
        <v/>
      </c>
      <c r="F212" s="35">
        <f>Raw_Nationwide!D209</f>
        <v/>
      </c>
      <c r="G212" s="36">
        <f>IFERROR(INDEX(CPI_Index,MATCH(B212,CPI_Year,0)),"")</f>
        <v/>
      </c>
      <c r="H212" s="37">
        <f>IF(G212="","",E212*100/G212)</f>
        <v/>
      </c>
      <c r="I212" s="38">
        <f>E212/E208-1</f>
        <v/>
      </c>
      <c r="J212" s="38">
        <f>IF(OR(H212="",H208=""),"",H212/H208-1)</f>
        <v/>
      </c>
      <c r="K212" s="39">
        <f>IF(Raw_Nationwide!C209="","",Raw_Nationwide!C209/100)</f>
        <v/>
      </c>
      <c r="L212" s="40">
        <f>IF(K212="","",(I212-K212)*100)</f>
        <v/>
      </c>
      <c r="M212" s="37">
        <f>IF(H212="","",MAX(H$5:H212))</f>
        <v/>
      </c>
      <c r="N212" s="38">
        <f>IF(H212="","",H212/M212-1)</f>
        <v/>
      </c>
    </row>
    <row r="213">
      <c r="A213" s="34">
        <f>Raw_Nationwide!A210</f>
        <v/>
      </c>
      <c r="B213" s="21">
        <f>YEAR(A213)</f>
        <v/>
      </c>
      <c r="C213" s="21">
        <f>"Q"&amp;ROUNDUP(MONTH(A213)/3,0)</f>
        <v/>
      </c>
      <c r="D213" s="21">
        <f>B213&amp;" "&amp;C213</f>
        <v/>
      </c>
      <c r="E213" s="35">
        <f>Raw_Nationwide!B210</f>
        <v/>
      </c>
      <c r="F213" s="35">
        <f>Raw_Nationwide!D210</f>
        <v/>
      </c>
      <c r="G213" s="36">
        <f>IFERROR(INDEX(CPI_Index,MATCH(B213,CPI_Year,0)),"")</f>
        <v/>
      </c>
      <c r="H213" s="37">
        <f>IF(G213="","",E213*100/G213)</f>
        <v/>
      </c>
      <c r="I213" s="38">
        <f>E213/E209-1</f>
        <v/>
      </c>
      <c r="J213" s="38">
        <f>IF(OR(H213="",H209=""),"",H213/H209-1)</f>
        <v/>
      </c>
      <c r="K213" s="39">
        <f>IF(Raw_Nationwide!C210="","",Raw_Nationwide!C210/100)</f>
        <v/>
      </c>
      <c r="L213" s="40">
        <f>IF(K213="","",(I213-K213)*100)</f>
        <v/>
      </c>
      <c r="M213" s="37">
        <f>IF(H213="","",MAX(H$5:H213))</f>
        <v/>
      </c>
      <c r="N213" s="38">
        <f>IF(H213="","",H213/M213-1)</f>
        <v/>
      </c>
    </row>
    <row r="214">
      <c r="A214" s="34">
        <f>Raw_Nationwide!A211</f>
        <v/>
      </c>
      <c r="B214" s="21">
        <f>YEAR(A214)</f>
        <v/>
      </c>
      <c r="C214" s="21">
        <f>"Q"&amp;ROUNDUP(MONTH(A214)/3,0)</f>
        <v/>
      </c>
      <c r="D214" s="21">
        <f>B214&amp;" "&amp;C214</f>
        <v/>
      </c>
      <c r="E214" s="35">
        <f>Raw_Nationwide!B211</f>
        <v/>
      </c>
      <c r="F214" s="35">
        <f>Raw_Nationwide!D211</f>
        <v/>
      </c>
      <c r="G214" s="36">
        <f>IFERROR(INDEX(CPI_Index,MATCH(B214,CPI_Year,0)),"")</f>
        <v/>
      </c>
      <c r="H214" s="37">
        <f>IF(G214="","",E214*100/G214)</f>
        <v/>
      </c>
      <c r="I214" s="38">
        <f>E214/E210-1</f>
        <v/>
      </c>
      <c r="J214" s="38">
        <f>IF(OR(H214="",H210=""),"",H214/H210-1)</f>
        <v/>
      </c>
      <c r="K214" s="39">
        <f>IF(Raw_Nationwide!C211="","",Raw_Nationwide!C211/100)</f>
        <v/>
      </c>
      <c r="L214" s="40">
        <f>IF(K214="","",(I214-K214)*100)</f>
        <v/>
      </c>
      <c r="M214" s="37">
        <f>IF(H214="","",MAX(H$5:H214))</f>
        <v/>
      </c>
      <c r="N214" s="38">
        <f>IF(H214="","",H214/M214-1)</f>
        <v/>
      </c>
    </row>
    <row r="215">
      <c r="A215" s="34">
        <f>Raw_Nationwide!A212</f>
        <v/>
      </c>
      <c r="B215" s="21">
        <f>YEAR(A215)</f>
        <v/>
      </c>
      <c r="C215" s="21">
        <f>"Q"&amp;ROUNDUP(MONTH(A215)/3,0)</f>
        <v/>
      </c>
      <c r="D215" s="21">
        <f>B215&amp;" "&amp;C215</f>
        <v/>
      </c>
      <c r="E215" s="35">
        <f>Raw_Nationwide!B212</f>
        <v/>
      </c>
      <c r="F215" s="35">
        <f>Raw_Nationwide!D212</f>
        <v/>
      </c>
      <c r="G215" s="36">
        <f>IFERROR(INDEX(CPI_Index,MATCH(B215,CPI_Year,0)),"")</f>
        <v/>
      </c>
      <c r="H215" s="37">
        <f>IF(G215="","",E215*100/G215)</f>
        <v/>
      </c>
      <c r="I215" s="38">
        <f>E215/E211-1</f>
        <v/>
      </c>
      <c r="J215" s="38">
        <f>IF(OR(H215="",H211=""),"",H215/H211-1)</f>
        <v/>
      </c>
      <c r="K215" s="39">
        <f>IF(Raw_Nationwide!C212="","",Raw_Nationwide!C212/100)</f>
        <v/>
      </c>
      <c r="L215" s="40">
        <f>IF(K215="","",(I215-K215)*100)</f>
        <v/>
      </c>
      <c r="M215" s="37">
        <f>IF(H215="","",MAX(H$5:H215))</f>
        <v/>
      </c>
      <c r="N215" s="38">
        <f>IF(H215="","",H215/M215-1)</f>
        <v/>
      </c>
    </row>
    <row r="216">
      <c r="A216" s="34">
        <f>Raw_Nationwide!A213</f>
        <v/>
      </c>
      <c r="B216" s="21">
        <f>YEAR(A216)</f>
        <v/>
      </c>
      <c r="C216" s="21">
        <f>"Q"&amp;ROUNDUP(MONTH(A216)/3,0)</f>
        <v/>
      </c>
      <c r="D216" s="21">
        <f>B216&amp;" "&amp;C216</f>
        <v/>
      </c>
      <c r="E216" s="35">
        <f>Raw_Nationwide!B213</f>
        <v/>
      </c>
      <c r="F216" s="35">
        <f>Raw_Nationwide!D213</f>
        <v/>
      </c>
      <c r="G216" s="36">
        <f>IFERROR(INDEX(CPI_Index,MATCH(B216,CPI_Year,0)),"")</f>
        <v/>
      </c>
      <c r="H216" s="37">
        <f>IF(G216="","",E216*100/G216)</f>
        <v/>
      </c>
      <c r="I216" s="38">
        <f>E216/E212-1</f>
        <v/>
      </c>
      <c r="J216" s="38">
        <f>IF(OR(H216="",H212=""),"",H216/H212-1)</f>
        <v/>
      </c>
      <c r="K216" s="39">
        <f>IF(Raw_Nationwide!C213="","",Raw_Nationwide!C213/100)</f>
        <v/>
      </c>
      <c r="L216" s="40">
        <f>IF(K216="","",(I216-K216)*100)</f>
        <v/>
      </c>
      <c r="M216" s="37">
        <f>IF(H216="","",MAX(H$5:H216))</f>
        <v/>
      </c>
      <c r="N216" s="38">
        <f>IF(H216="","",H216/M216-1)</f>
        <v/>
      </c>
    </row>
    <row r="217">
      <c r="A217" s="34">
        <f>Raw_Nationwide!A214</f>
        <v/>
      </c>
      <c r="B217" s="21">
        <f>YEAR(A217)</f>
        <v/>
      </c>
      <c r="C217" s="21">
        <f>"Q"&amp;ROUNDUP(MONTH(A217)/3,0)</f>
        <v/>
      </c>
      <c r="D217" s="21">
        <f>B217&amp;" "&amp;C217</f>
        <v/>
      </c>
      <c r="E217" s="35">
        <f>Raw_Nationwide!B214</f>
        <v/>
      </c>
      <c r="F217" s="35">
        <f>Raw_Nationwide!D214</f>
        <v/>
      </c>
      <c r="G217" s="36">
        <f>IFERROR(INDEX(CPI_Index,MATCH(B217,CPI_Year,0)),"")</f>
        <v/>
      </c>
      <c r="H217" s="37">
        <f>IF(G217="","",E217*100/G217)</f>
        <v/>
      </c>
      <c r="I217" s="38">
        <f>E217/E213-1</f>
        <v/>
      </c>
      <c r="J217" s="38">
        <f>IF(OR(H217="",H213=""),"",H217/H213-1)</f>
        <v/>
      </c>
      <c r="K217" s="39">
        <f>IF(Raw_Nationwide!C214="","",Raw_Nationwide!C214/100)</f>
        <v/>
      </c>
      <c r="L217" s="40">
        <f>IF(K217="","",(I217-K217)*100)</f>
        <v/>
      </c>
      <c r="M217" s="37">
        <f>IF(H217="","",MAX(H$5:H217))</f>
        <v/>
      </c>
      <c r="N217" s="38">
        <f>IF(H217="","",H217/M217-1)</f>
        <v/>
      </c>
    </row>
    <row r="218">
      <c r="A218" s="34">
        <f>Raw_Nationwide!A215</f>
        <v/>
      </c>
      <c r="B218" s="21">
        <f>YEAR(A218)</f>
        <v/>
      </c>
      <c r="C218" s="21">
        <f>"Q"&amp;ROUNDUP(MONTH(A218)/3,0)</f>
        <v/>
      </c>
      <c r="D218" s="21">
        <f>B218&amp;" "&amp;C218</f>
        <v/>
      </c>
      <c r="E218" s="35">
        <f>Raw_Nationwide!B215</f>
        <v/>
      </c>
      <c r="F218" s="35">
        <f>Raw_Nationwide!D215</f>
        <v/>
      </c>
      <c r="G218" s="36">
        <f>IFERROR(INDEX(CPI_Index,MATCH(B218,CPI_Year,0)),"")</f>
        <v/>
      </c>
      <c r="H218" s="37">
        <f>IF(G218="","",E218*100/G218)</f>
        <v/>
      </c>
      <c r="I218" s="38">
        <f>E218/E214-1</f>
        <v/>
      </c>
      <c r="J218" s="38">
        <f>IF(OR(H218="",H214=""),"",H218/H214-1)</f>
        <v/>
      </c>
      <c r="K218" s="39">
        <f>IF(Raw_Nationwide!C215="","",Raw_Nationwide!C215/100)</f>
        <v/>
      </c>
      <c r="L218" s="40">
        <f>IF(K218="","",(I218-K218)*100)</f>
        <v/>
      </c>
      <c r="M218" s="37">
        <f>IF(H218="","",MAX(H$5:H218))</f>
        <v/>
      </c>
      <c r="N218" s="38">
        <f>IF(H218="","",H218/M218-1)</f>
        <v/>
      </c>
    </row>
    <row r="219">
      <c r="A219" s="34">
        <f>Raw_Nationwide!A216</f>
        <v/>
      </c>
      <c r="B219" s="21">
        <f>YEAR(A219)</f>
        <v/>
      </c>
      <c r="C219" s="21">
        <f>"Q"&amp;ROUNDUP(MONTH(A219)/3,0)</f>
        <v/>
      </c>
      <c r="D219" s="21">
        <f>B219&amp;" "&amp;C219</f>
        <v/>
      </c>
      <c r="E219" s="35">
        <f>Raw_Nationwide!B216</f>
        <v/>
      </c>
      <c r="F219" s="35">
        <f>Raw_Nationwide!D216</f>
        <v/>
      </c>
      <c r="G219" s="36">
        <f>IFERROR(INDEX(CPI_Index,MATCH(B219,CPI_Year,0)),"")</f>
        <v/>
      </c>
      <c r="H219" s="37">
        <f>IF(G219="","",E219*100/G219)</f>
        <v/>
      </c>
      <c r="I219" s="38">
        <f>E219/E215-1</f>
        <v/>
      </c>
      <c r="J219" s="38">
        <f>IF(OR(H219="",H215=""),"",H219/H215-1)</f>
        <v/>
      </c>
      <c r="K219" s="39">
        <f>IF(Raw_Nationwide!C216="","",Raw_Nationwide!C216/100)</f>
        <v/>
      </c>
      <c r="L219" s="40">
        <f>IF(K219="","",(I219-K219)*100)</f>
        <v/>
      </c>
      <c r="M219" s="37">
        <f>IF(H219="","",MAX(H$5:H219))</f>
        <v/>
      </c>
      <c r="N219" s="38">
        <f>IF(H219="","",H219/M219-1)</f>
        <v/>
      </c>
    </row>
    <row r="220">
      <c r="A220" s="34">
        <f>Raw_Nationwide!A217</f>
        <v/>
      </c>
      <c r="B220" s="21">
        <f>YEAR(A220)</f>
        <v/>
      </c>
      <c r="C220" s="21">
        <f>"Q"&amp;ROUNDUP(MONTH(A220)/3,0)</f>
        <v/>
      </c>
      <c r="D220" s="21">
        <f>B220&amp;" "&amp;C220</f>
        <v/>
      </c>
      <c r="E220" s="35">
        <f>Raw_Nationwide!B217</f>
        <v/>
      </c>
      <c r="F220" s="35">
        <f>Raw_Nationwide!D217</f>
        <v/>
      </c>
      <c r="G220" s="36">
        <f>IFERROR(INDEX(CPI_Index,MATCH(B220,CPI_Year,0)),"")</f>
        <v/>
      </c>
      <c r="H220" s="37">
        <f>IF(G220="","",E220*100/G220)</f>
        <v/>
      </c>
      <c r="I220" s="38">
        <f>E220/E216-1</f>
        <v/>
      </c>
      <c r="J220" s="38">
        <f>IF(OR(H220="",H216=""),"",H220/H216-1)</f>
        <v/>
      </c>
      <c r="K220" s="39">
        <f>IF(Raw_Nationwide!C217="","",Raw_Nationwide!C217/100)</f>
        <v/>
      </c>
      <c r="L220" s="40">
        <f>IF(K220="","",(I220-K220)*100)</f>
        <v/>
      </c>
      <c r="M220" s="37">
        <f>IF(H220="","",MAX(H$5:H220))</f>
        <v/>
      </c>
      <c r="N220" s="38">
        <f>IF(H220="","",H220/M220-1)</f>
        <v/>
      </c>
    </row>
    <row r="221">
      <c r="A221" s="34">
        <f>Raw_Nationwide!A218</f>
        <v/>
      </c>
      <c r="B221" s="21">
        <f>YEAR(A221)</f>
        <v/>
      </c>
      <c r="C221" s="21">
        <f>"Q"&amp;ROUNDUP(MONTH(A221)/3,0)</f>
        <v/>
      </c>
      <c r="D221" s="21">
        <f>B221&amp;" "&amp;C221</f>
        <v/>
      </c>
      <c r="E221" s="35">
        <f>Raw_Nationwide!B218</f>
        <v/>
      </c>
      <c r="F221" s="35">
        <f>Raw_Nationwide!D218</f>
        <v/>
      </c>
      <c r="G221" s="36">
        <f>IFERROR(INDEX(CPI_Index,MATCH(B221,CPI_Year,0)),"")</f>
        <v/>
      </c>
      <c r="H221" s="37">
        <f>IF(G221="","",E221*100/G221)</f>
        <v/>
      </c>
      <c r="I221" s="38">
        <f>E221/E217-1</f>
        <v/>
      </c>
      <c r="J221" s="38">
        <f>IF(OR(H221="",H217=""),"",H221/H217-1)</f>
        <v/>
      </c>
      <c r="K221" s="39">
        <f>IF(Raw_Nationwide!C218="","",Raw_Nationwide!C218/100)</f>
        <v/>
      </c>
      <c r="L221" s="40">
        <f>IF(K221="","",(I221-K221)*100)</f>
        <v/>
      </c>
      <c r="M221" s="37">
        <f>IF(H221="","",MAX(H$5:H221))</f>
        <v/>
      </c>
      <c r="N221" s="38">
        <f>IF(H221="","",H221/M221-1)</f>
        <v/>
      </c>
    </row>
    <row r="222">
      <c r="A222" s="34">
        <f>Raw_Nationwide!A219</f>
        <v/>
      </c>
      <c r="B222" s="21">
        <f>YEAR(A222)</f>
        <v/>
      </c>
      <c r="C222" s="21">
        <f>"Q"&amp;ROUNDUP(MONTH(A222)/3,0)</f>
        <v/>
      </c>
      <c r="D222" s="21">
        <f>B222&amp;" "&amp;C222</f>
        <v/>
      </c>
      <c r="E222" s="35">
        <f>Raw_Nationwide!B219</f>
        <v/>
      </c>
      <c r="F222" s="35">
        <f>Raw_Nationwide!D219</f>
        <v/>
      </c>
      <c r="G222" s="36">
        <f>IFERROR(INDEX(CPI_Index,MATCH(B222,CPI_Year,0)),"")</f>
        <v/>
      </c>
      <c r="H222" s="37">
        <f>IF(G222="","",E222*100/G222)</f>
        <v/>
      </c>
      <c r="I222" s="38">
        <f>E222/E218-1</f>
        <v/>
      </c>
      <c r="J222" s="38">
        <f>IF(OR(H222="",H218=""),"",H222/H218-1)</f>
        <v/>
      </c>
      <c r="K222" s="39">
        <f>IF(Raw_Nationwide!C219="","",Raw_Nationwide!C219/100)</f>
        <v/>
      </c>
      <c r="L222" s="40">
        <f>IF(K222="","",(I222-K222)*100)</f>
        <v/>
      </c>
      <c r="M222" s="37">
        <f>IF(H222="","",MAX(H$5:H222))</f>
        <v/>
      </c>
      <c r="N222" s="38">
        <f>IF(H222="","",H222/M222-1)</f>
        <v/>
      </c>
    </row>
    <row r="223">
      <c r="A223" s="34">
        <f>Raw_Nationwide!A220</f>
        <v/>
      </c>
      <c r="B223" s="21">
        <f>YEAR(A223)</f>
        <v/>
      </c>
      <c r="C223" s="21">
        <f>"Q"&amp;ROUNDUP(MONTH(A223)/3,0)</f>
        <v/>
      </c>
      <c r="D223" s="21">
        <f>B223&amp;" "&amp;C223</f>
        <v/>
      </c>
      <c r="E223" s="35">
        <f>Raw_Nationwide!B220</f>
        <v/>
      </c>
      <c r="F223" s="35">
        <f>Raw_Nationwide!D220</f>
        <v/>
      </c>
      <c r="G223" s="36">
        <f>IFERROR(INDEX(CPI_Index,MATCH(B223,CPI_Year,0)),"")</f>
        <v/>
      </c>
      <c r="H223" s="37">
        <f>IF(G223="","",E223*100/G223)</f>
        <v/>
      </c>
      <c r="I223" s="38">
        <f>E223/E219-1</f>
        <v/>
      </c>
      <c r="J223" s="38">
        <f>IF(OR(H223="",H219=""),"",H223/H219-1)</f>
        <v/>
      </c>
      <c r="K223" s="39">
        <f>IF(Raw_Nationwide!C220="","",Raw_Nationwide!C220/100)</f>
        <v/>
      </c>
      <c r="L223" s="40">
        <f>IF(K223="","",(I223-K223)*100)</f>
        <v/>
      </c>
      <c r="M223" s="37">
        <f>IF(H223="","",MAX(H$5:H223))</f>
        <v/>
      </c>
      <c r="N223" s="38">
        <f>IF(H223="","",H223/M223-1)</f>
        <v/>
      </c>
    </row>
    <row r="224">
      <c r="A224" s="34">
        <f>Raw_Nationwide!A221</f>
        <v/>
      </c>
      <c r="B224" s="21">
        <f>YEAR(A224)</f>
        <v/>
      </c>
      <c r="C224" s="21">
        <f>"Q"&amp;ROUNDUP(MONTH(A224)/3,0)</f>
        <v/>
      </c>
      <c r="D224" s="21">
        <f>B224&amp;" "&amp;C224</f>
        <v/>
      </c>
      <c r="E224" s="35">
        <f>Raw_Nationwide!B221</f>
        <v/>
      </c>
      <c r="F224" s="35">
        <f>Raw_Nationwide!D221</f>
        <v/>
      </c>
      <c r="G224" s="36">
        <f>IFERROR(INDEX(CPI_Index,MATCH(B224,CPI_Year,0)),"")</f>
        <v/>
      </c>
      <c r="H224" s="37">
        <f>IF(G224="","",E224*100/G224)</f>
        <v/>
      </c>
      <c r="I224" s="38">
        <f>E224/E220-1</f>
        <v/>
      </c>
      <c r="J224" s="38">
        <f>IF(OR(H224="",H220=""),"",H224/H220-1)</f>
        <v/>
      </c>
      <c r="K224" s="39">
        <f>IF(Raw_Nationwide!C221="","",Raw_Nationwide!C221/100)</f>
        <v/>
      </c>
      <c r="L224" s="40">
        <f>IF(K224="","",(I224-K224)*100)</f>
        <v/>
      </c>
      <c r="M224" s="37">
        <f>IF(H224="","",MAX(H$5:H224))</f>
        <v/>
      </c>
      <c r="N224" s="38">
        <f>IF(H224="","",H224/M224-1)</f>
        <v/>
      </c>
    </row>
    <row r="225">
      <c r="A225" s="34">
        <f>Raw_Nationwide!A222</f>
        <v/>
      </c>
      <c r="B225" s="21">
        <f>YEAR(A225)</f>
        <v/>
      </c>
      <c r="C225" s="21">
        <f>"Q"&amp;ROUNDUP(MONTH(A225)/3,0)</f>
        <v/>
      </c>
      <c r="D225" s="21">
        <f>B225&amp;" "&amp;C225</f>
        <v/>
      </c>
      <c r="E225" s="35">
        <f>Raw_Nationwide!B222</f>
        <v/>
      </c>
      <c r="F225" s="35">
        <f>Raw_Nationwide!D222</f>
        <v/>
      </c>
      <c r="G225" s="36">
        <f>IFERROR(INDEX(CPI_Index,MATCH(B225,CPI_Year,0)),"")</f>
        <v/>
      </c>
      <c r="H225" s="37">
        <f>IF(G225="","",E225*100/G225)</f>
        <v/>
      </c>
      <c r="I225" s="38">
        <f>E225/E221-1</f>
        <v/>
      </c>
      <c r="J225" s="38">
        <f>IF(OR(H225="",H221=""),"",H225/H221-1)</f>
        <v/>
      </c>
      <c r="K225" s="39">
        <f>IF(Raw_Nationwide!C222="","",Raw_Nationwide!C222/100)</f>
        <v/>
      </c>
      <c r="L225" s="40">
        <f>IF(K225="","",(I225-K225)*100)</f>
        <v/>
      </c>
      <c r="M225" s="37">
        <f>IF(H225="","",MAX(H$5:H225))</f>
        <v/>
      </c>
      <c r="N225" s="38">
        <f>IF(H225="","",H225/M225-1)</f>
        <v/>
      </c>
    </row>
    <row r="226">
      <c r="A226" s="34">
        <f>Raw_Nationwide!A223</f>
        <v/>
      </c>
      <c r="B226" s="21">
        <f>YEAR(A226)</f>
        <v/>
      </c>
      <c r="C226" s="21">
        <f>"Q"&amp;ROUNDUP(MONTH(A226)/3,0)</f>
        <v/>
      </c>
      <c r="D226" s="21">
        <f>B226&amp;" "&amp;C226</f>
        <v/>
      </c>
      <c r="E226" s="35">
        <f>Raw_Nationwide!B223</f>
        <v/>
      </c>
      <c r="F226" s="35">
        <f>Raw_Nationwide!D223</f>
        <v/>
      </c>
      <c r="G226" s="36">
        <f>IFERROR(INDEX(CPI_Index,MATCH(B226,CPI_Year,0)),"")</f>
        <v/>
      </c>
      <c r="H226" s="37">
        <f>IF(G226="","",E226*100/G226)</f>
        <v/>
      </c>
      <c r="I226" s="38">
        <f>E226/E222-1</f>
        <v/>
      </c>
      <c r="J226" s="38">
        <f>IF(OR(H226="",H222=""),"",H226/H222-1)</f>
        <v/>
      </c>
      <c r="K226" s="39">
        <f>IF(Raw_Nationwide!C223="","",Raw_Nationwide!C223/100)</f>
        <v/>
      </c>
      <c r="L226" s="40">
        <f>IF(K226="","",(I226-K226)*100)</f>
        <v/>
      </c>
      <c r="M226" s="37">
        <f>IF(H226="","",MAX(H$5:H226))</f>
        <v/>
      </c>
      <c r="N226" s="38">
        <f>IF(H226="","",H226/M226-1)</f>
        <v/>
      </c>
    </row>
    <row r="227">
      <c r="A227" s="34">
        <f>Raw_Nationwide!A224</f>
        <v/>
      </c>
      <c r="B227" s="21">
        <f>YEAR(A227)</f>
        <v/>
      </c>
      <c r="C227" s="21">
        <f>"Q"&amp;ROUNDUP(MONTH(A227)/3,0)</f>
        <v/>
      </c>
      <c r="D227" s="21">
        <f>B227&amp;" "&amp;C227</f>
        <v/>
      </c>
      <c r="E227" s="35">
        <f>Raw_Nationwide!B224</f>
        <v/>
      </c>
      <c r="F227" s="35">
        <f>Raw_Nationwide!D224</f>
        <v/>
      </c>
      <c r="G227" s="36">
        <f>IFERROR(INDEX(CPI_Index,MATCH(B227,CPI_Year,0)),"")</f>
        <v/>
      </c>
      <c r="H227" s="37">
        <f>IF(G227="","",E227*100/G227)</f>
        <v/>
      </c>
      <c r="I227" s="38">
        <f>E227/E223-1</f>
        <v/>
      </c>
      <c r="J227" s="38">
        <f>IF(OR(H227="",H223=""),"",H227/H223-1)</f>
        <v/>
      </c>
      <c r="K227" s="39">
        <f>IF(Raw_Nationwide!C224="","",Raw_Nationwide!C224/100)</f>
        <v/>
      </c>
      <c r="L227" s="40">
        <f>IF(K227="","",(I227-K227)*100)</f>
        <v/>
      </c>
      <c r="M227" s="37">
        <f>IF(H227="","",MAX(H$5:H227))</f>
        <v/>
      </c>
      <c r="N227" s="38">
        <f>IF(H227="","",H227/M227-1)</f>
        <v/>
      </c>
    </row>
    <row r="228">
      <c r="A228" s="34">
        <f>Raw_Nationwide!A225</f>
        <v/>
      </c>
      <c r="B228" s="21">
        <f>YEAR(A228)</f>
        <v/>
      </c>
      <c r="C228" s="21">
        <f>"Q"&amp;ROUNDUP(MONTH(A228)/3,0)</f>
        <v/>
      </c>
      <c r="D228" s="21">
        <f>B228&amp;" "&amp;C228</f>
        <v/>
      </c>
      <c r="E228" s="35">
        <f>Raw_Nationwide!B225</f>
        <v/>
      </c>
      <c r="F228" s="35">
        <f>Raw_Nationwide!D225</f>
        <v/>
      </c>
      <c r="G228" s="36">
        <f>IFERROR(INDEX(CPI_Index,MATCH(B228,CPI_Year,0)),"")</f>
        <v/>
      </c>
      <c r="H228" s="37">
        <f>IF(G228="","",E228*100/G228)</f>
        <v/>
      </c>
      <c r="I228" s="38">
        <f>E228/E224-1</f>
        <v/>
      </c>
      <c r="J228" s="38">
        <f>IF(OR(H228="",H224=""),"",H228/H224-1)</f>
        <v/>
      </c>
      <c r="K228" s="39">
        <f>IF(Raw_Nationwide!C225="","",Raw_Nationwide!C225/100)</f>
        <v/>
      </c>
      <c r="L228" s="40">
        <f>IF(K228="","",(I228-K228)*100)</f>
        <v/>
      </c>
      <c r="M228" s="37">
        <f>IF(H228="","",MAX(H$5:H228))</f>
        <v/>
      </c>
      <c r="N228" s="38">
        <f>IF(H228="","",H228/M228-1)</f>
        <v/>
      </c>
    </row>
    <row r="229">
      <c r="A229" s="34">
        <f>Raw_Nationwide!A226</f>
        <v/>
      </c>
      <c r="B229" s="21">
        <f>YEAR(A229)</f>
        <v/>
      </c>
      <c r="C229" s="21">
        <f>"Q"&amp;ROUNDUP(MONTH(A229)/3,0)</f>
        <v/>
      </c>
      <c r="D229" s="21">
        <f>B229&amp;" "&amp;C229</f>
        <v/>
      </c>
      <c r="E229" s="35">
        <f>Raw_Nationwide!B226</f>
        <v/>
      </c>
      <c r="F229" s="35">
        <f>Raw_Nationwide!D226</f>
        <v/>
      </c>
      <c r="G229" s="36">
        <f>IFERROR(INDEX(CPI_Index,MATCH(B229,CPI_Year,0)),"")</f>
        <v/>
      </c>
      <c r="H229" s="37">
        <f>IF(G229="","",E229*100/G229)</f>
        <v/>
      </c>
      <c r="I229" s="38">
        <f>E229/E225-1</f>
        <v/>
      </c>
      <c r="J229" s="38">
        <f>IF(OR(H229="",H225=""),"",H229/H225-1)</f>
        <v/>
      </c>
      <c r="K229" s="39">
        <f>IF(Raw_Nationwide!C226="","",Raw_Nationwide!C226/100)</f>
        <v/>
      </c>
      <c r="L229" s="40">
        <f>IF(K229="","",(I229-K229)*100)</f>
        <v/>
      </c>
      <c r="M229" s="37">
        <f>IF(H229="","",MAX(H$5:H229))</f>
        <v/>
      </c>
      <c r="N229" s="38">
        <f>IF(H229="","",H229/M229-1)</f>
        <v/>
      </c>
    </row>
    <row r="230">
      <c r="A230" s="34">
        <f>Raw_Nationwide!A227</f>
        <v/>
      </c>
      <c r="B230" s="21">
        <f>YEAR(A230)</f>
        <v/>
      </c>
      <c r="C230" s="21">
        <f>"Q"&amp;ROUNDUP(MONTH(A230)/3,0)</f>
        <v/>
      </c>
      <c r="D230" s="21">
        <f>B230&amp;" "&amp;C230</f>
        <v/>
      </c>
      <c r="E230" s="35">
        <f>Raw_Nationwide!B227</f>
        <v/>
      </c>
      <c r="F230" s="35">
        <f>Raw_Nationwide!D227</f>
        <v/>
      </c>
      <c r="G230" s="36">
        <f>IFERROR(INDEX(CPI_Index,MATCH(B230,CPI_Year,0)),"")</f>
        <v/>
      </c>
      <c r="H230" s="37">
        <f>IF(G230="","",E230*100/G230)</f>
        <v/>
      </c>
      <c r="I230" s="38">
        <f>E230/E226-1</f>
        <v/>
      </c>
      <c r="J230" s="38">
        <f>IF(OR(H230="",H226=""),"",H230/H226-1)</f>
        <v/>
      </c>
      <c r="K230" s="39">
        <f>IF(Raw_Nationwide!C227="","",Raw_Nationwide!C227/100)</f>
        <v/>
      </c>
      <c r="L230" s="40">
        <f>IF(K230="","",(I230-K230)*100)</f>
        <v/>
      </c>
      <c r="M230" s="37">
        <f>IF(H230="","",MAX(H$5:H230))</f>
        <v/>
      </c>
      <c r="N230" s="38">
        <f>IF(H230="","",H230/M230-1)</f>
        <v/>
      </c>
    </row>
    <row r="231">
      <c r="A231" s="34">
        <f>Raw_Nationwide!A228</f>
        <v/>
      </c>
      <c r="B231" s="21">
        <f>YEAR(A231)</f>
        <v/>
      </c>
      <c r="C231" s="21">
        <f>"Q"&amp;ROUNDUP(MONTH(A231)/3,0)</f>
        <v/>
      </c>
      <c r="D231" s="21">
        <f>B231&amp;" "&amp;C231</f>
        <v/>
      </c>
      <c r="E231" s="35">
        <f>Raw_Nationwide!B228</f>
        <v/>
      </c>
      <c r="F231" s="35">
        <f>Raw_Nationwide!D228</f>
        <v/>
      </c>
      <c r="G231" s="36">
        <f>IFERROR(INDEX(CPI_Index,MATCH(B231,CPI_Year,0)),"")</f>
        <v/>
      </c>
      <c r="H231" s="37">
        <f>IF(G231="","",E231*100/G231)</f>
        <v/>
      </c>
      <c r="I231" s="38">
        <f>E231/E227-1</f>
        <v/>
      </c>
      <c r="J231" s="38">
        <f>IF(OR(H231="",H227=""),"",H231/H227-1)</f>
        <v/>
      </c>
      <c r="K231" s="39">
        <f>IF(Raw_Nationwide!C228="","",Raw_Nationwide!C228/100)</f>
        <v/>
      </c>
      <c r="L231" s="40">
        <f>IF(K231="","",(I231-K231)*100)</f>
        <v/>
      </c>
      <c r="M231" s="37">
        <f>IF(H231="","",MAX(H$5:H231))</f>
        <v/>
      </c>
      <c r="N231" s="38">
        <f>IF(H231="","",H231/M231-1)</f>
        <v/>
      </c>
    </row>
    <row r="232">
      <c r="A232" s="34">
        <f>Raw_Nationwide!A229</f>
        <v/>
      </c>
      <c r="B232" s="21">
        <f>YEAR(A232)</f>
        <v/>
      </c>
      <c r="C232" s="21">
        <f>"Q"&amp;ROUNDUP(MONTH(A232)/3,0)</f>
        <v/>
      </c>
      <c r="D232" s="21">
        <f>B232&amp;" "&amp;C232</f>
        <v/>
      </c>
      <c r="E232" s="35">
        <f>Raw_Nationwide!B229</f>
        <v/>
      </c>
      <c r="F232" s="35">
        <f>Raw_Nationwide!D229</f>
        <v/>
      </c>
      <c r="G232" s="36">
        <f>IFERROR(INDEX(CPI_Index,MATCH(B232,CPI_Year,0)),"")</f>
        <v/>
      </c>
      <c r="H232" s="37">
        <f>IF(G232="","",E232*100/G232)</f>
        <v/>
      </c>
      <c r="I232" s="38">
        <f>E232/E228-1</f>
        <v/>
      </c>
      <c r="J232" s="38">
        <f>IF(OR(H232="",H228=""),"",H232/H228-1)</f>
        <v/>
      </c>
      <c r="K232" s="39">
        <f>IF(Raw_Nationwide!C229="","",Raw_Nationwide!C229/100)</f>
        <v/>
      </c>
      <c r="L232" s="40">
        <f>IF(K232="","",(I232-K232)*100)</f>
        <v/>
      </c>
      <c r="M232" s="37">
        <f>IF(H232="","",MAX(H$5:H232))</f>
        <v/>
      </c>
      <c r="N232" s="38">
        <f>IF(H232="","",H232/M232-1)</f>
        <v/>
      </c>
    </row>
    <row r="233">
      <c r="A233" s="34">
        <f>Raw_Nationwide!A230</f>
        <v/>
      </c>
      <c r="B233" s="21">
        <f>YEAR(A233)</f>
        <v/>
      </c>
      <c r="C233" s="21">
        <f>"Q"&amp;ROUNDUP(MONTH(A233)/3,0)</f>
        <v/>
      </c>
      <c r="D233" s="21">
        <f>B233&amp;" "&amp;C233</f>
        <v/>
      </c>
      <c r="E233" s="35">
        <f>Raw_Nationwide!B230</f>
        <v/>
      </c>
      <c r="F233" s="35">
        <f>Raw_Nationwide!D230</f>
        <v/>
      </c>
      <c r="G233" s="36">
        <f>IFERROR(INDEX(CPI_Index,MATCH(B233,CPI_Year,0)),"")</f>
        <v/>
      </c>
      <c r="H233" s="37">
        <f>IF(G233="","",E233*100/G233)</f>
        <v/>
      </c>
      <c r="I233" s="38">
        <f>E233/E229-1</f>
        <v/>
      </c>
      <c r="J233" s="38">
        <f>IF(OR(H233="",H229=""),"",H233/H229-1)</f>
        <v/>
      </c>
      <c r="K233" s="39">
        <f>IF(Raw_Nationwide!C230="","",Raw_Nationwide!C230/100)</f>
        <v/>
      </c>
      <c r="L233" s="40">
        <f>IF(K233="","",(I233-K233)*100)</f>
        <v/>
      </c>
      <c r="M233" s="37">
        <f>IF(H233="","",MAX(H$5:H233))</f>
        <v/>
      </c>
      <c r="N233" s="38">
        <f>IF(H233="","",H233/M233-1)</f>
        <v/>
      </c>
    </row>
    <row r="234">
      <c r="A234" s="34">
        <f>Raw_Nationwide!A231</f>
        <v/>
      </c>
      <c r="B234" s="21">
        <f>YEAR(A234)</f>
        <v/>
      </c>
      <c r="C234" s="21">
        <f>"Q"&amp;ROUNDUP(MONTH(A234)/3,0)</f>
        <v/>
      </c>
      <c r="D234" s="21">
        <f>B234&amp;" "&amp;C234</f>
        <v/>
      </c>
      <c r="E234" s="35">
        <f>Raw_Nationwide!B231</f>
        <v/>
      </c>
      <c r="F234" s="35">
        <f>Raw_Nationwide!D231</f>
        <v/>
      </c>
      <c r="G234" s="36">
        <f>IFERROR(INDEX(CPI_Index,MATCH(B234,CPI_Year,0)),"")</f>
        <v/>
      </c>
      <c r="H234" s="37">
        <f>IF(G234="","",E234*100/G234)</f>
        <v/>
      </c>
      <c r="I234" s="38">
        <f>E234/E230-1</f>
        <v/>
      </c>
      <c r="J234" s="38">
        <f>IF(OR(H234="",H230=""),"",H234/H230-1)</f>
        <v/>
      </c>
      <c r="K234" s="39">
        <f>IF(Raw_Nationwide!C231="","",Raw_Nationwide!C231/100)</f>
        <v/>
      </c>
      <c r="L234" s="40">
        <f>IF(K234="","",(I234-K234)*100)</f>
        <v/>
      </c>
      <c r="M234" s="37">
        <f>IF(H234="","",MAX(H$5:H234))</f>
        <v/>
      </c>
      <c r="N234" s="38">
        <f>IF(H234="","",H234/M234-1)</f>
        <v/>
      </c>
    </row>
    <row r="235">
      <c r="A235" s="34">
        <f>Raw_Nationwide!A232</f>
        <v/>
      </c>
      <c r="B235" s="21">
        <f>YEAR(A235)</f>
        <v/>
      </c>
      <c r="C235" s="21">
        <f>"Q"&amp;ROUNDUP(MONTH(A235)/3,0)</f>
        <v/>
      </c>
      <c r="D235" s="21">
        <f>B235&amp;" "&amp;C235</f>
        <v/>
      </c>
      <c r="E235" s="35">
        <f>Raw_Nationwide!B232</f>
        <v/>
      </c>
      <c r="F235" s="35">
        <f>Raw_Nationwide!D232</f>
        <v/>
      </c>
      <c r="G235" s="36">
        <f>IFERROR(INDEX(CPI_Index,MATCH(B235,CPI_Year,0)),"")</f>
        <v/>
      </c>
      <c r="H235" s="37">
        <f>IF(G235="","",E235*100/G235)</f>
        <v/>
      </c>
      <c r="I235" s="38">
        <f>E235/E231-1</f>
        <v/>
      </c>
      <c r="J235" s="38">
        <f>IF(OR(H235="",H231=""),"",H235/H231-1)</f>
        <v/>
      </c>
      <c r="K235" s="39">
        <f>IF(Raw_Nationwide!C232="","",Raw_Nationwide!C232/100)</f>
        <v/>
      </c>
      <c r="L235" s="40">
        <f>IF(K235="","",(I235-K235)*100)</f>
        <v/>
      </c>
      <c r="M235" s="37">
        <f>IF(H235="","",MAX(H$5:H235))</f>
        <v/>
      </c>
      <c r="N235" s="38">
        <f>IF(H235="","",H235/M235-1)</f>
        <v/>
      </c>
    </row>
    <row r="236">
      <c r="A236" s="34">
        <f>Raw_Nationwide!A233</f>
        <v/>
      </c>
      <c r="B236" s="21">
        <f>YEAR(A236)</f>
        <v/>
      </c>
      <c r="C236" s="21">
        <f>"Q"&amp;ROUNDUP(MONTH(A236)/3,0)</f>
        <v/>
      </c>
      <c r="D236" s="21">
        <f>B236&amp;" "&amp;C236</f>
        <v/>
      </c>
      <c r="E236" s="35">
        <f>Raw_Nationwide!B233</f>
        <v/>
      </c>
      <c r="F236" s="35">
        <f>Raw_Nationwide!D233</f>
        <v/>
      </c>
      <c r="G236" s="36">
        <f>IFERROR(INDEX(CPI_Index,MATCH(B236,CPI_Year,0)),"")</f>
        <v/>
      </c>
      <c r="H236" s="37">
        <f>IF(G236="","",E236*100/G236)</f>
        <v/>
      </c>
      <c r="I236" s="38">
        <f>E236/E232-1</f>
        <v/>
      </c>
      <c r="J236" s="38">
        <f>IF(OR(H236="",H232=""),"",H236/H232-1)</f>
        <v/>
      </c>
      <c r="K236" s="39">
        <f>IF(Raw_Nationwide!C233="","",Raw_Nationwide!C233/100)</f>
        <v/>
      </c>
      <c r="L236" s="40">
        <f>IF(K236="","",(I236-K236)*100)</f>
        <v/>
      </c>
      <c r="M236" s="37">
        <f>IF(H236="","",MAX(H$5:H236))</f>
        <v/>
      </c>
      <c r="N236" s="38">
        <f>IF(H236="","",H236/M236-1)</f>
        <v/>
      </c>
    </row>
    <row r="237">
      <c r="A237" s="34">
        <f>Raw_Nationwide!A234</f>
        <v/>
      </c>
      <c r="B237" s="21">
        <f>YEAR(A237)</f>
        <v/>
      </c>
      <c r="C237" s="21">
        <f>"Q"&amp;ROUNDUP(MONTH(A237)/3,0)</f>
        <v/>
      </c>
      <c r="D237" s="21">
        <f>B237&amp;" "&amp;C237</f>
        <v/>
      </c>
      <c r="E237" s="35">
        <f>Raw_Nationwide!B234</f>
        <v/>
      </c>
      <c r="F237" s="35">
        <f>Raw_Nationwide!D234</f>
        <v/>
      </c>
      <c r="G237" s="36">
        <f>IFERROR(INDEX(CPI_Index,MATCH(B237,CPI_Year,0)),"")</f>
        <v/>
      </c>
      <c r="H237" s="37">
        <f>IF(G237="","",E237*100/G237)</f>
        <v/>
      </c>
      <c r="I237" s="38">
        <f>E237/E233-1</f>
        <v/>
      </c>
      <c r="J237" s="38">
        <f>IF(OR(H237="",H233=""),"",H237/H233-1)</f>
        <v/>
      </c>
      <c r="K237" s="39">
        <f>IF(Raw_Nationwide!C234="","",Raw_Nationwide!C234/100)</f>
        <v/>
      </c>
      <c r="L237" s="40">
        <f>IF(K237="","",(I237-K237)*100)</f>
        <v/>
      </c>
      <c r="M237" s="37">
        <f>IF(H237="","",MAX(H$5:H237))</f>
        <v/>
      </c>
      <c r="N237" s="38">
        <f>IF(H237="","",H237/M237-1)</f>
        <v/>
      </c>
    </row>
    <row r="238">
      <c r="A238" s="34">
        <f>Raw_Nationwide!A235</f>
        <v/>
      </c>
      <c r="B238" s="21">
        <f>YEAR(A238)</f>
        <v/>
      </c>
      <c r="C238" s="21">
        <f>"Q"&amp;ROUNDUP(MONTH(A238)/3,0)</f>
        <v/>
      </c>
      <c r="D238" s="21">
        <f>B238&amp;" "&amp;C238</f>
        <v/>
      </c>
      <c r="E238" s="35">
        <f>Raw_Nationwide!B235</f>
        <v/>
      </c>
      <c r="F238" s="35">
        <f>Raw_Nationwide!D235</f>
        <v/>
      </c>
      <c r="G238" s="36">
        <f>IFERROR(INDEX(CPI_Index,MATCH(B238,CPI_Year,0)),"")</f>
        <v/>
      </c>
      <c r="H238" s="37">
        <f>IF(G238="","",E238*100/G238)</f>
        <v/>
      </c>
      <c r="I238" s="38">
        <f>E238/E234-1</f>
        <v/>
      </c>
      <c r="J238" s="38">
        <f>IF(OR(H238="",H234=""),"",H238/H234-1)</f>
        <v/>
      </c>
      <c r="K238" s="39">
        <f>IF(Raw_Nationwide!C235="","",Raw_Nationwide!C235/100)</f>
        <v/>
      </c>
      <c r="L238" s="40">
        <f>IF(K238="","",(I238-K238)*100)</f>
        <v/>
      </c>
      <c r="M238" s="37">
        <f>IF(H238="","",MAX(H$5:H238))</f>
        <v/>
      </c>
      <c r="N238" s="38">
        <f>IF(H238="","",H238/M238-1)</f>
        <v/>
      </c>
    </row>
    <row r="239">
      <c r="A239" s="34">
        <f>Raw_Nationwide!A236</f>
        <v/>
      </c>
      <c r="B239" s="21">
        <f>YEAR(A239)</f>
        <v/>
      </c>
      <c r="C239" s="21">
        <f>"Q"&amp;ROUNDUP(MONTH(A239)/3,0)</f>
        <v/>
      </c>
      <c r="D239" s="21">
        <f>B239&amp;" "&amp;C239</f>
        <v/>
      </c>
      <c r="E239" s="35">
        <f>Raw_Nationwide!B236</f>
        <v/>
      </c>
      <c r="F239" s="35">
        <f>Raw_Nationwide!D236</f>
        <v/>
      </c>
      <c r="G239" s="36">
        <f>IFERROR(INDEX(CPI_Index,MATCH(B239,CPI_Year,0)),"")</f>
        <v/>
      </c>
      <c r="H239" s="37">
        <f>IF(G239="","",E239*100/G239)</f>
        <v/>
      </c>
      <c r="I239" s="38">
        <f>E239/E235-1</f>
        <v/>
      </c>
      <c r="J239" s="38">
        <f>IF(OR(H239="",H235=""),"",H239/H235-1)</f>
        <v/>
      </c>
      <c r="K239" s="39">
        <f>IF(Raw_Nationwide!C236="","",Raw_Nationwide!C236/100)</f>
        <v/>
      </c>
      <c r="L239" s="40">
        <f>IF(K239="","",(I239-K239)*100)</f>
        <v/>
      </c>
      <c r="M239" s="37">
        <f>IF(H239="","",MAX(H$5:H239))</f>
        <v/>
      </c>
      <c r="N239" s="38">
        <f>IF(H239="","",H239/M239-1)</f>
        <v/>
      </c>
    </row>
    <row r="240">
      <c r="A240" s="34">
        <f>Raw_Nationwide!A237</f>
        <v/>
      </c>
      <c r="B240" s="21">
        <f>YEAR(A240)</f>
        <v/>
      </c>
      <c r="C240" s="21">
        <f>"Q"&amp;ROUNDUP(MONTH(A240)/3,0)</f>
        <v/>
      </c>
      <c r="D240" s="21">
        <f>B240&amp;" "&amp;C240</f>
        <v/>
      </c>
      <c r="E240" s="35">
        <f>Raw_Nationwide!B237</f>
        <v/>
      </c>
      <c r="F240" s="35">
        <f>Raw_Nationwide!D237</f>
        <v/>
      </c>
      <c r="G240" s="36">
        <f>IFERROR(INDEX(CPI_Index,MATCH(B240,CPI_Year,0)),"")</f>
        <v/>
      </c>
      <c r="H240" s="37">
        <f>IF(G240="","",E240*100/G240)</f>
        <v/>
      </c>
      <c r="I240" s="38">
        <f>E240/E236-1</f>
        <v/>
      </c>
      <c r="J240" s="38">
        <f>IF(OR(H240="",H236=""),"",H240/H236-1)</f>
        <v/>
      </c>
      <c r="K240" s="39">
        <f>IF(Raw_Nationwide!C237="","",Raw_Nationwide!C237/100)</f>
        <v/>
      </c>
      <c r="L240" s="40">
        <f>IF(K240="","",(I240-K240)*100)</f>
        <v/>
      </c>
      <c r="M240" s="37">
        <f>IF(H240="","",MAX(H$5:H240))</f>
        <v/>
      </c>
      <c r="N240" s="38">
        <f>IF(H240="","",H240/M240-1)</f>
        <v/>
      </c>
    </row>
    <row r="241">
      <c r="A241" s="34">
        <f>Raw_Nationwide!A238</f>
        <v/>
      </c>
      <c r="B241" s="21">
        <f>YEAR(A241)</f>
        <v/>
      </c>
      <c r="C241" s="21">
        <f>"Q"&amp;ROUNDUP(MONTH(A241)/3,0)</f>
        <v/>
      </c>
      <c r="D241" s="21">
        <f>B241&amp;" "&amp;C241</f>
        <v/>
      </c>
      <c r="E241" s="35">
        <f>Raw_Nationwide!B238</f>
        <v/>
      </c>
      <c r="F241" s="35">
        <f>Raw_Nationwide!D238</f>
        <v/>
      </c>
      <c r="G241" s="36">
        <f>IFERROR(INDEX(CPI_Index,MATCH(B241,CPI_Year,0)),"")</f>
        <v/>
      </c>
      <c r="H241" s="37">
        <f>IF(G241="","",E241*100/G241)</f>
        <v/>
      </c>
      <c r="I241" s="38">
        <f>E241/E237-1</f>
        <v/>
      </c>
      <c r="J241" s="38">
        <f>IF(OR(H241="",H237=""),"",H241/H237-1)</f>
        <v/>
      </c>
      <c r="K241" s="39">
        <f>IF(Raw_Nationwide!C238="","",Raw_Nationwide!C238/100)</f>
        <v/>
      </c>
      <c r="L241" s="40">
        <f>IF(K241="","",(I241-K241)*100)</f>
        <v/>
      </c>
      <c r="M241" s="37">
        <f>IF(H241="","",MAX(H$5:H241))</f>
        <v/>
      </c>
      <c r="N241" s="38">
        <f>IF(H241="","",H241/M241-1)</f>
        <v/>
      </c>
    </row>
    <row r="242">
      <c r="A242" s="34">
        <f>Raw_Nationwide!A239</f>
        <v/>
      </c>
      <c r="B242" s="21">
        <f>YEAR(A242)</f>
        <v/>
      </c>
      <c r="C242" s="21">
        <f>"Q"&amp;ROUNDUP(MONTH(A242)/3,0)</f>
        <v/>
      </c>
      <c r="D242" s="21">
        <f>B242&amp;" "&amp;C242</f>
        <v/>
      </c>
      <c r="E242" s="35">
        <f>Raw_Nationwide!B239</f>
        <v/>
      </c>
      <c r="F242" s="35">
        <f>Raw_Nationwide!D239</f>
        <v/>
      </c>
      <c r="G242" s="36">
        <f>IFERROR(INDEX(CPI_Index,MATCH(B242,CPI_Year,0)),"")</f>
        <v/>
      </c>
      <c r="H242" s="37">
        <f>IF(G242="","",E242*100/G242)</f>
        <v/>
      </c>
      <c r="I242" s="38">
        <f>E242/E238-1</f>
        <v/>
      </c>
      <c r="J242" s="38">
        <f>IF(OR(H242="",H238=""),"",H242/H238-1)</f>
        <v/>
      </c>
      <c r="K242" s="39">
        <f>IF(Raw_Nationwide!C239="","",Raw_Nationwide!C239/100)</f>
        <v/>
      </c>
      <c r="L242" s="40">
        <f>IF(K242="","",(I242-K242)*100)</f>
        <v/>
      </c>
      <c r="M242" s="37">
        <f>IF(H242="","",MAX(H$5:H242))</f>
        <v/>
      </c>
      <c r="N242" s="38">
        <f>IF(H242="","",H242/M242-1)</f>
        <v/>
      </c>
    </row>
    <row r="243">
      <c r="A243" s="34">
        <f>Raw_Nationwide!A240</f>
        <v/>
      </c>
      <c r="B243" s="21">
        <f>YEAR(A243)</f>
        <v/>
      </c>
      <c r="C243" s="21">
        <f>"Q"&amp;ROUNDUP(MONTH(A243)/3,0)</f>
        <v/>
      </c>
      <c r="D243" s="21">
        <f>B243&amp;" "&amp;C243</f>
        <v/>
      </c>
      <c r="E243" s="35">
        <f>Raw_Nationwide!B240</f>
        <v/>
      </c>
      <c r="F243" s="35">
        <f>Raw_Nationwide!D240</f>
        <v/>
      </c>
      <c r="G243" s="36">
        <f>IFERROR(INDEX(CPI_Index,MATCH(B243,CPI_Year,0)),"")</f>
        <v/>
      </c>
      <c r="H243" s="37">
        <f>IF(G243="","",E243*100/G243)</f>
        <v/>
      </c>
      <c r="I243" s="38">
        <f>E243/E239-1</f>
        <v/>
      </c>
      <c r="J243" s="38">
        <f>IF(OR(H243="",H239=""),"",H243/H239-1)</f>
        <v/>
      </c>
      <c r="K243" s="39">
        <f>IF(Raw_Nationwide!C240="","",Raw_Nationwide!C240/100)</f>
        <v/>
      </c>
      <c r="L243" s="40">
        <f>IF(K243="","",(I243-K243)*100)</f>
        <v/>
      </c>
      <c r="M243" s="37">
        <f>IF(H243="","",MAX(H$5:H243))</f>
        <v/>
      </c>
      <c r="N243" s="38">
        <f>IF(H243="","",H243/M243-1)</f>
        <v/>
      </c>
    </row>
    <row r="244">
      <c r="A244" s="34">
        <f>Raw_Nationwide!A241</f>
        <v/>
      </c>
      <c r="B244" s="21">
        <f>YEAR(A244)</f>
        <v/>
      </c>
      <c r="C244" s="21">
        <f>"Q"&amp;ROUNDUP(MONTH(A244)/3,0)</f>
        <v/>
      </c>
      <c r="D244" s="21">
        <f>B244&amp;" "&amp;C244</f>
        <v/>
      </c>
      <c r="E244" s="35">
        <f>Raw_Nationwide!B241</f>
        <v/>
      </c>
      <c r="F244" s="35">
        <f>Raw_Nationwide!D241</f>
        <v/>
      </c>
      <c r="G244" s="36">
        <f>IFERROR(INDEX(CPI_Index,MATCH(B244,CPI_Year,0)),"")</f>
        <v/>
      </c>
      <c r="H244" s="37">
        <f>IF(G244="","",E244*100/G244)</f>
        <v/>
      </c>
      <c r="I244" s="38">
        <f>E244/E240-1</f>
        <v/>
      </c>
      <c r="J244" s="38">
        <f>IF(OR(H244="",H240=""),"",H244/H240-1)</f>
        <v/>
      </c>
      <c r="K244" s="39">
        <f>IF(Raw_Nationwide!C241="","",Raw_Nationwide!C241/100)</f>
        <v/>
      </c>
      <c r="L244" s="40">
        <f>IF(K244="","",(I244-K244)*100)</f>
        <v/>
      </c>
      <c r="M244" s="37">
        <f>IF(H244="","",MAX(H$5:H244))</f>
        <v/>
      </c>
      <c r="N244" s="38">
        <f>IF(H244="","",H244/M244-1)</f>
        <v/>
      </c>
    </row>
    <row r="245">
      <c r="A245" s="34">
        <f>Raw_Nationwide!A242</f>
        <v/>
      </c>
      <c r="B245" s="21">
        <f>YEAR(A245)</f>
        <v/>
      </c>
      <c r="C245" s="21">
        <f>"Q"&amp;ROUNDUP(MONTH(A245)/3,0)</f>
        <v/>
      </c>
      <c r="D245" s="21">
        <f>B245&amp;" "&amp;C245</f>
        <v/>
      </c>
      <c r="E245" s="35">
        <f>Raw_Nationwide!B242</f>
        <v/>
      </c>
      <c r="F245" s="35">
        <f>Raw_Nationwide!D242</f>
        <v/>
      </c>
      <c r="G245" s="36">
        <f>IFERROR(INDEX(CPI_Index,MATCH(B245,CPI_Year,0)),"")</f>
        <v/>
      </c>
      <c r="H245" s="37">
        <f>IF(G245="","",E245*100/G245)</f>
        <v/>
      </c>
      <c r="I245" s="38">
        <f>E245/E241-1</f>
        <v/>
      </c>
      <c r="J245" s="38">
        <f>IF(OR(H245="",H241=""),"",H245/H241-1)</f>
        <v/>
      </c>
      <c r="K245" s="39">
        <f>IF(Raw_Nationwide!C242="","",Raw_Nationwide!C242/100)</f>
        <v/>
      </c>
      <c r="L245" s="40">
        <f>IF(K245="","",(I245-K245)*100)</f>
        <v/>
      </c>
      <c r="M245" s="37">
        <f>IF(H245="","",MAX(H$5:H245))</f>
        <v/>
      </c>
      <c r="N245" s="38">
        <f>IF(H245="","",H245/M245-1)</f>
        <v/>
      </c>
    </row>
    <row r="246">
      <c r="A246" s="34">
        <f>Raw_Nationwide!A243</f>
        <v/>
      </c>
      <c r="B246" s="21">
        <f>YEAR(A246)</f>
        <v/>
      </c>
      <c r="C246" s="21">
        <f>"Q"&amp;ROUNDUP(MONTH(A246)/3,0)</f>
        <v/>
      </c>
      <c r="D246" s="21">
        <f>B246&amp;" "&amp;C246</f>
        <v/>
      </c>
      <c r="E246" s="35">
        <f>Raw_Nationwide!B243</f>
        <v/>
      </c>
      <c r="F246" s="35">
        <f>Raw_Nationwide!D243</f>
        <v/>
      </c>
      <c r="G246" s="36">
        <f>IFERROR(INDEX(CPI_Index,MATCH(B246,CPI_Year,0)),"")</f>
        <v/>
      </c>
      <c r="H246" s="37">
        <f>IF(G246="","",E246*100/G246)</f>
        <v/>
      </c>
      <c r="I246" s="38">
        <f>E246/E242-1</f>
        <v/>
      </c>
      <c r="J246" s="38">
        <f>IF(OR(H246="",H242=""),"",H246/H242-1)</f>
        <v/>
      </c>
      <c r="K246" s="39">
        <f>IF(Raw_Nationwide!C243="","",Raw_Nationwide!C243/100)</f>
        <v/>
      </c>
      <c r="L246" s="40">
        <f>IF(K246="","",(I246-K246)*100)</f>
        <v/>
      </c>
      <c r="M246" s="37">
        <f>IF(H246="","",MAX(H$5:H246))</f>
        <v/>
      </c>
      <c r="N246" s="38">
        <f>IF(H246="","",H246/M246-1)</f>
        <v/>
      </c>
    </row>
    <row r="247">
      <c r="A247" s="34">
        <f>Raw_Nationwide!A244</f>
        <v/>
      </c>
      <c r="B247" s="21">
        <f>YEAR(A247)</f>
        <v/>
      </c>
      <c r="C247" s="21">
        <f>"Q"&amp;ROUNDUP(MONTH(A247)/3,0)</f>
        <v/>
      </c>
      <c r="D247" s="21">
        <f>B247&amp;" "&amp;C247</f>
        <v/>
      </c>
      <c r="E247" s="35">
        <f>Raw_Nationwide!B244</f>
        <v/>
      </c>
      <c r="F247" s="35">
        <f>Raw_Nationwide!D244</f>
        <v/>
      </c>
      <c r="G247" s="36">
        <f>IFERROR(INDEX(CPI_Index,MATCH(B247,CPI_Year,0)),"")</f>
        <v/>
      </c>
      <c r="H247" s="37">
        <f>IF(G247="","",E247*100/G247)</f>
        <v/>
      </c>
      <c r="I247" s="38">
        <f>E247/E243-1</f>
        <v/>
      </c>
      <c r="J247" s="38">
        <f>IF(OR(H247="",H243=""),"",H247/H243-1)</f>
        <v/>
      </c>
      <c r="K247" s="39">
        <f>IF(Raw_Nationwide!C244="","",Raw_Nationwide!C244/100)</f>
        <v/>
      </c>
      <c r="L247" s="40">
        <f>IF(K247="","",(I247-K247)*100)</f>
        <v/>
      </c>
      <c r="M247" s="37">
        <f>IF(H247="","",MAX(H$5:H247))</f>
        <v/>
      </c>
      <c r="N247" s="38">
        <f>IF(H247="","",H247/M247-1)</f>
        <v/>
      </c>
    </row>
    <row r="248">
      <c r="A248" s="34">
        <f>Raw_Nationwide!A245</f>
        <v/>
      </c>
      <c r="B248" s="21">
        <f>YEAR(A248)</f>
        <v/>
      </c>
      <c r="C248" s="21">
        <f>"Q"&amp;ROUNDUP(MONTH(A248)/3,0)</f>
        <v/>
      </c>
      <c r="D248" s="21">
        <f>B248&amp;" "&amp;C248</f>
        <v/>
      </c>
      <c r="E248" s="35">
        <f>Raw_Nationwide!B245</f>
        <v/>
      </c>
      <c r="F248" s="35">
        <f>Raw_Nationwide!D245</f>
        <v/>
      </c>
      <c r="G248" s="36">
        <f>IFERROR(INDEX(CPI_Index,MATCH(B248,CPI_Year,0)),"")</f>
        <v/>
      </c>
      <c r="H248" s="37">
        <f>IF(G248="","",E248*100/G248)</f>
        <v/>
      </c>
      <c r="I248" s="38">
        <f>E248/E244-1</f>
        <v/>
      </c>
      <c r="J248" s="38">
        <f>IF(OR(H248="",H244=""),"",H248/H244-1)</f>
        <v/>
      </c>
      <c r="K248" s="39">
        <f>IF(Raw_Nationwide!C245="","",Raw_Nationwide!C245/100)</f>
        <v/>
      </c>
      <c r="L248" s="40">
        <f>IF(K248="","",(I248-K248)*100)</f>
        <v/>
      </c>
      <c r="M248" s="37">
        <f>IF(H248="","",MAX(H$5:H248))</f>
        <v/>
      </c>
      <c r="N248" s="38">
        <f>IF(H248="","",H248/M248-1)</f>
        <v/>
      </c>
    </row>
    <row r="249">
      <c r="A249" s="34">
        <f>Raw_Nationwide!A246</f>
        <v/>
      </c>
      <c r="B249" s="21">
        <f>YEAR(A249)</f>
        <v/>
      </c>
      <c r="C249" s="21">
        <f>"Q"&amp;ROUNDUP(MONTH(A249)/3,0)</f>
        <v/>
      </c>
      <c r="D249" s="21">
        <f>B249&amp;" "&amp;C249</f>
        <v/>
      </c>
      <c r="E249" s="35">
        <f>Raw_Nationwide!B246</f>
        <v/>
      </c>
      <c r="F249" s="35">
        <f>Raw_Nationwide!D246</f>
        <v/>
      </c>
      <c r="G249" s="36">
        <f>IFERROR(INDEX(CPI_Index,MATCH(B249,CPI_Year,0)),"")</f>
        <v/>
      </c>
      <c r="H249" s="37">
        <f>IF(G249="","",E249*100/G249)</f>
        <v/>
      </c>
      <c r="I249" s="38">
        <f>E249/E245-1</f>
        <v/>
      </c>
      <c r="J249" s="38">
        <f>IF(OR(H249="",H245=""),"",H249/H245-1)</f>
        <v/>
      </c>
      <c r="K249" s="39">
        <f>IF(Raw_Nationwide!C246="","",Raw_Nationwide!C246/100)</f>
        <v/>
      </c>
      <c r="L249" s="40">
        <f>IF(K249="","",(I249-K249)*100)</f>
        <v/>
      </c>
      <c r="M249" s="37">
        <f>IF(H249="","",MAX(H$5:H249))</f>
        <v/>
      </c>
      <c r="N249" s="38">
        <f>IF(H249="","",H249/M249-1)</f>
        <v/>
      </c>
    </row>
    <row r="250">
      <c r="A250" s="34">
        <f>Raw_Nationwide!A247</f>
        <v/>
      </c>
      <c r="B250" s="21">
        <f>YEAR(A250)</f>
        <v/>
      </c>
      <c r="C250" s="21">
        <f>"Q"&amp;ROUNDUP(MONTH(A250)/3,0)</f>
        <v/>
      </c>
      <c r="D250" s="21">
        <f>B250&amp;" "&amp;C250</f>
        <v/>
      </c>
      <c r="E250" s="35">
        <f>Raw_Nationwide!B247</f>
        <v/>
      </c>
      <c r="F250" s="35">
        <f>Raw_Nationwide!D247</f>
        <v/>
      </c>
      <c r="G250" s="36">
        <f>IFERROR(INDEX(CPI_Index,MATCH(B250,CPI_Year,0)),"")</f>
        <v/>
      </c>
      <c r="H250" s="37">
        <f>IF(G250="","",E250*100/G250)</f>
        <v/>
      </c>
      <c r="I250" s="38">
        <f>E250/E246-1</f>
        <v/>
      </c>
      <c r="J250" s="38">
        <f>IF(OR(H250="",H246=""),"",H250/H246-1)</f>
        <v/>
      </c>
      <c r="K250" s="39">
        <f>IF(Raw_Nationwide!C247="","",Raw_Nationwide!C247/100)</f>
        <v/>
      </c>
      <c r="L250" s="40">
        <f>IF(K250="","",(I250-K250)*100)</f>
        <v/>
      </c>
      <c r="M250" s="37">
        <f>IF(H250="","",MAX(H$5:H250))</f>
        <v/>
      </c>
      <c r="N250" s="38">
        <f>IF(H250="","",H250/M250-1)</f>
        <v/>
      </c>
    </row>
    <row r="251">
      <c r="A251" s="34">
        <f>Raw_Nationwide!A248</f>
        <v/>
      </c>
      <c r="B251" s="21">
        <f>YEAR(A251)</f>
        <v/>
      </c>
      <c r="C251" s="21">
        <f>"Q"&amp;ROUNDUP(MONTH(A251)/3,0)</f>
        <v/>
      </c>
      <c r="D251" s="21">
        <f>B251&amp;" "&amp;C251</f>
        <v/>
      </c>
      <c r="E251" s="35">
        <f>Raw_Nationwide!B248</f>
        <v/>
      </c>
      <c r="F251" s="35">
        <f>Raw_Nationwide!D248</f>
        <v/>
      </c>
      <c r="G251" s="36">
        <f>IFERROR(INDEX(CPI_Index,MATCH(B251,CPI_Year,0)),"")</f>
        <v/>
      </c>
      <c r="H251" s="37">
        <f>IF(G251="","",E251*100/G251)</f>
        <v/>
      </c>
      <c r="I251" s="38">
        <f>E251/E247-1</f>
        <v/>
      </c>
      <c r="J251" s="38">
        <f>IF(OR(H251="",H247=""),"",H251/H247-1)</f>
        <v/>
      </c>
      <c r="K251" s="39">
        <f>IF(Raw_Nationwide!C248="","",Raw_Nationwide!C248/100)</f>
        <v/>
      </c>
      <c r="L251" s="40">
        <f>IF(K251="","",(I251-K251)*100)</f>
        <v/>
      </c>
      <c r="M251" s="37">
        <f>IF(H251="","",MAX(H$5:H251))</f>
        <v/>
      </c>
      <c r="N251" s="38">
        <f>IF(H251="","",H251/M251-1)</f>
        <v/>
      </c>
    </row>
    <row r="252">
      <c r="A252" s="34">
        <f>Raw_Nationwide!A249</f>
        <v/>
      </c>
      <c r="B252" s="21">
        <f>YEAR(A252)</f>
        <v/>
      </c>
      <c r="C252" s="21">
        <f>"Q"&amp;ROUNDUP(MONTH(A252)/3,0)</f>
        <v/>
      </c>
      <c r="D252" s="21">
        <f>B252&amp;" "&amp;C252</f>
        <v/>
      </c>
      <c r="E252" s="35">
        <f>Raw_Nationwide!B249</f>
        <v/>
      </c>
      <c r="F252" s="35">
        <f>Raw_Nationwide!D249</f>
        <v/>
      </c>
      <c r="G252" s="36">
        <f>IFERROR(INDEX(CPI_Index,MATCH(B252,CPI_Year,0)),"")</f>
        <v/>
      </c>
      <c r="H252" s="37">
        <f>IF(G252="","",E252*100/G252)</f>
        <v/>
      </c>
      <c r="I252" s="38">
        <f>E252/E248-1</f>
        <v/>
      </c>
      <c r="J252" s="38">
        <f>IF(OR(H252="",H248=""),"",H252/H248-1)</f>
        <v/>
      </c>
      <c r="K252" s="39">
        <f>IF(Raw_Nationwide!C249="","",Raw_Nationwide!C249/100)</f>
        <v/>
      </c>
      <c r="L252" s="40">
        <f>IF(K252="","",(I252-K252)*100)</f>
        <v/>
      </c>
      <c r="M252" s="37">
        <f>IF(H252="","",MAX(H$5:H252))</f>
        <v/>
      </c>
      <c r="N252" s="38">
        <f>IF(H252="","",H252/M252-1)</f>
        <v/>
      </c>
    </row>
    <row r="253">
      <c r="A253" s="34">
        <f>Raw_Nationwide!A250</f>
        <v/>
      </c>
      <c r="B253" s="21">
        <f>YEAR(A253)</f>
        <v/>
      </c>
      <c r="C253" s="21">
        <f>"Q"&amp;ROUNDUP(MONTH(A253)/3,0)</f>
        <v/>
      </c>
      <c r="D253" s="21">
        <f>B253&amp;" "&amp;C253</f>
        <v/>
      </c>
      <c r="E253" s="35">
        <f>Raw_Nationwide!B250</f>
        <v/>
      </c>
      <c r="F253" s="35">
        <f>Raw_Nationwide!D250</f>
        <v/>
      </c>
      <c r="G253" s="36">
        <f>IFERROR(INDEX(CPI_Index,MATCH(B253,CPI_Year,0)),"")</f>
        <v/>
      </c>
      <c r="H253" s="37">
        <f>IF(G253="","",E253*100/G253)</f>
        <v/>
      </c>
      <c r="I253" s="38">
        <f>E253/E249-1</f>
        <v/>
      </c>
      <c r="J253" s="38">
        <f>IF(OR(H253="",H249=""),"",H253/H249-1)</f>
        <v/>
      </c>
      <c r="K253" s="39">
        <f>IF(Raw_Nationwide!C250="","",Raw_Nationwide!C250/100)</f>
        <v/>
      </c>
      <c r="L253" s="40">
        <f>IF(K253="","",(I253-K253)*100)</f>
        <v/>
      </c>
      <c r="M253" s="37">
        <f>IF(H253="","",MAX(H$5:H253))</f>
        <v/>
      </c>
      <c r="N253" s="38">
        <f>IF(H253="","",H253/M253-1)</f>
        <v/>
      </c>
    </row>
    <row r="254">
      <c r="A254" s="34">
        <f>Raw_Nationwide!A251</f>
        <v/>
      </c>
      <c r="B254" s="21">
        <f>YEAR(A254)</f>
        <v/>
      </c>
      <c r="C254" s="21">
        <f>"Q"&amp;ROUNDUP(MONTH(A254)/3,0)</f>
        <v/>
      </c>
      <c r="D254" s="21">
        <f>B254&amp;" "&amp;C254</f>
        <v/>
      </c>
      <c r="E254" s="35">
        <f>Raw_Nationwide!B251</f>
        <v/>
      </c>
      <c r="F254" s="35">
        <f>Raw_Nationwide!D251</f>
        <v/>
      </c>
      <c r="G254" s="36">
        <f>IFERROR(INDEX(CPI_Index,MATCH(B254,CPI_Year,0)),"")</f>
        <v/>
      </c>
      <c r="H254" s="37">
        <f>IF(G254="","",E254*100/G254)</f>
        <v/>
      </c>
      <c r="I254" s="38">
        <f>E254/E250-1</f>
        <v/>
      </c>
      <c r="J254" s="38">
        <f>IF(OR(H254="",H250=""),"",H254/H250-1)</f>
        <v/>
      </c>
      <c r="K254" s="39">
        <f>IF(Raw_Nationwide!C251="","",Raw_Nationwide!C251/100)</f>
        <v/>
      </c>
      <c r="L254" s="40">
        <f>IF(K254="","",(I254-K254)*100)</f>
        <v/>
      </c>
      <c r="M254" s="37">
        <f>IF(H254="","",MAX(H$5:H254))</f>
        <v/>
      </c>
      <c r="N254" s="38">
        <f>IF(H254="","",H254/M254-1)</f>
        <v/>
      </c>
    </row>
    <row r="255">
      <c r="A255" s="34">
        <f>Raw_Nationwide!A252</f>
        <v/>
      </c>
      <c r="B255" s="21">
        <f>YEAR(A255)</f>
        <v/>
      </c>
      <c r="C255" s="21">
        <f>"Q"&amp;ROUNDUP(MONTH(A255)/3,0)</f>
        <v/>
      </c>
      <c r="D255" s="21">
        <f>B255&amp;" "&amp;C255</f>
        <v/>
      </c>
      <c r="E255" s="35">
        <f>Raw_Nationwide!B252</f>
        <v/>
      </c>
      <c r="F255" s="35">
        <f>Raw_Nationwide!D252</f>
        <v/>
      </c>
      <c r="G255" s="36">
        <f>IFERROR(INDEX(CPI_Index,MATCH(B255,CPI_Year,0)),"")</f>
        <v/>
      </c>
      <c r="H255" s="37">
        <f>IF(G255="","",E255*100/G255)</f>
        <v/>
      </c>
      <c r="I255" s="38">
        <f>E255/E251-1</f>
        <v/>
      </c>
      <c r="J255" s="38">
        <f>IF(OR(H255="",H251=""),"",H255/H251-1)</f>
        <v/>
      </c>
      <c r="K255" s="39">
        <f>IF(Raw_Nationwide!C252="","",Raw_Nationwide!C252/100)</f>
        <v/>
      </c>
      <c r="L255" s="40">
        <f>IF(K255="","",(I255-K255)*100)</f>
        <v/>
      </c>
      <c r="M255" s="37">
        <f>IF(H255="","",MAX(H$5:H255))</f>
        <v/>
      </c>
      <c r="N255" s="38">
        <f>IF(H255="","",H255/M255-1)</f>
        <v/>
      </c>
    </row>
    <row r="256">
      <c r="A256" s="34">
        <f>Raw_Nationwide!A253</f>
        <v/>
      </c>
      <c r="B256" s="21">
        <f>YEAR(A256)</f>
        <v/>
      </c>
      <c r="C256" s="21">
        <f>"Q"&amp;ROUNDUP(MONTH(A256)/3,0)</f>
        <v/>
      </c>
      <c r="D256" s="21">
        <f>B256&amp;" "&amp;C256</f>
        <v/>
      </c>
      <c r="E256" s="35">
        <f>Raw_Nationwide!B253</f>
        <v/>
      </c>
      <c r="F256" s="35">
        <f>Raw_Nationwide!D253</f>
        <v/>
      </c>
      <c r="G256" s="36">
        <f>IFERROR(INDEX(CPI_Index,MATCH(B256,CPI_Year,0)),"")</f>
        <v/>
      </c>
      <c r="H256" s="37">
        <f>IF(G256="","",E256*100/G256)</f>
        <v/>
      </c>
      <c r="I256" s="38">
        <f>E256/E252-1</f>
        <v/>
      </c>
      <c r="J256" s="38">
        <f>IF(OR(H256="",H252=""),"",H256/H252-1)</f>
        <v/>
      </c>
      <c r="K256" s="39">
        <f>IF(Raw_Nationwide!C253="","",Raw_Nationwide!C253/100)</f>
        <v/>
      </c>
      <c r="L256" s="40">
        <f>IF(K256="","",(I256-K256)*100)</f>
        <v/>
      </c>
      <c r="M256" s="37">
        <f>IF(H256="","",MAX(H$5:H256))</f>
        <v/>
      </c>
      <c r="N256" s="38">
        <f>IF(H256="","",H256/M256-1)</f>
        <v/>
      </c>
    </row>
    <row r="257">
      <c r="A257" s="34">
        <f>Raw_Nationwide!A254</f>
        <v/>
      </c>
      <c r="B257" s="21">
        <f>YEAR(A257)</f>
        <v/>
      </c>
      <c r="C257" s="21">
        <f>"Q"&amp;ROUNDUP(MONTH(A257)/3,0)</f>
        <v/>
      </c>
      <c r="D257" s="21">
        <f>B257&amp;" "&amp;C257</f>
        <v/>
      </c>
      <c r="E257" s="35">
        <f>Raw_Nationwide!B254</f>
        <v/>
      </c>
      <c r="F257" s="35">
        <f>Raw_Nationwide!D254</f>
        <v/>
      </c>
      <c r="G257" s="36">
        <f>IFERROR(INDEX(CPI_Index,MATCH(B257,CPI_Year,0)),"")</f>
        <v/>
      </c>
      <c r="H257" s="37">
        <f>IF(G257="","",E257*100/G257)</f>
        <v/>
      </c>
      <c r="I257" s="38">
        <f>E257/E253-1</f>
        <v/>
      </c>
      <c r="J257" s="38">
        <f>IF(OR(H257="",H253=""),"",H257/H253-1)</f>
        <v/>
      </c>
      <c r="K257" s="39">
        <f>IF(Raw_Nationwide!C254="","",Raw_Nationwide!C254/100)</f>
        <v/>
      </c>
      <c r="L257" s="40">
        <f>IF(K257="","",(I257-K257)*100)</f>
        <v/>
      </c>
      <c r="M257" s="37">
        <f>IF(H257="","",MAX(H$5:H257))</f>
        <v/>
      </c>
      <c r="N257" s="38">
        <f>IF(H257="","",H257/M257-1)</f>
        <v/>
      </c>
    </row>
    <row r="258">
      <c r="A258" s="34">
        <f>Raw_Nationwide!A255</f>
        <v/>
      </c>
      <c r="B258" s="21">
        <f>YEAR(A258)</f>
        <v/>
      </c>
      <c r="C258" s="21">
        <f>"Q"&amp;ROUNDUP(MONTH(A258)/3,0)</f>
        <v/>
      </c>
      <c r="D258" s="21">
        <f>B258&amp;" "&amp;C258</f>
        <v/>
      </c>
      <c r="E258" s="35">
        <f>Raw_Nationwide!B255</f>
        <v/>
      </c>
      <c r="F258" s="35">
        <f>Raw_Nationwide!D255</f>
        <v/>
      </c>
      <c r="G258" s="36">
        <f>IFERROR(INDEX(CPI_Index,MATCH(B258,CPI_Year,0)),"")</f>
        <v/>
      </c>
      <c r="H258" s="37">
        <f>IF(G258="","",E258*100/G258)</f>
        <v/>
      </c>
      <c r="I258" s="38">
        <f>E258/E254-1</f>
        <v/>
      </c>
      <c r="J258" s="38">
        <f>IF(OR(H258="",H254=""),"",H258/H254-1)</f>
        <v/>
      </c>
      <c r="K258" s="39">
        <f>IF(Raw_Nationwide!C255="","",Raw_Nationwide!C255/100)</f>
        <v/>
      </c>
      <c r="L258" s="40">
        <f>IF(K258="","",(I258-K258)*100)</f>
        <v/>
      </c>
      <c r="M258" s="37">
        <f>IF(H258="","",MAX(H$5:H258))</f>
        <v/>
      </c>
      <c r="N258" s="38">
        <f>IF(H258="","",H258/M258-1)</f>
        <v/>
      </c>
    </row>
    <row r="259">
      <c r="A259" s="34">
        <f>Raw_Nationwide!A256</f>
        <v/>
      </c>
      <c r="B259" s="21">
        <f>YEAR(A259)</f>
        <v/>
      </c>
      <c r="C259" s="21">
        <f>"Q"&amp;ROUNDUP(MONTH(A259)/3,0)</f>
        <v/>
      </c>
      <c r="D259" s="21">
        <f>B259&amp;" "&amp;C259</f>
        <v/>
      </c>
      <c r="E259" s="35">
        <f>Raw_Nationwide!B256</f>
        <v/>
      </c>
      <c r="F259" s="35">
        <f>Raw_Nationwide!D256</f>
        <v/>
      </c>
      <c r="G259" s="36">
        <f>IFERROR(INDEX(CPI_Index,MATCH(B259,CPI_Year,0)),"")</f>
        <v/>
      </c>
      <c r="H259" s="37">
        <f>IF(G259="","",E259*100/G259)</f>
        <v/>
      </c>
      <c r="I259" s="38">
        <f>E259/E255-1</f>
        <v/>
      </c>
      <c r="J259" s="38">
        <f>IF(OR(H259="",H255=""),"",H259/H255-1)</f>
        <v/>
      </c>
      <c r="K259" s="39">
        <f>IF(Raw_Nationwide!C256="","",Raw_Nationwide!C256/100)</f>
        <v/>
      </c>
      <c r="L259" s="40">
        <f>IF(K259="","",(I259-K259)*100)</f>
        <v/>
      </c>
      <c r="M259" s="37">
        <f>IF(H259="","",MAX(H$5:H259))</f>
        <v/>
      </c>
      <c r="N259" s="38">
        <f>IF(H259="","",H259/M259-1)</f>
        <v/>
      </c>
    </row>
    <row r="260">
      <c r="A260" s="34">
        <f>Raw_Nationwide!A257</f>
        <v/>
      </c>
      <c r="B260" s="21">
        <f>YEAR(A260)</f>
        <v/>
      </c>
      <c r="C260" s="21">
        <f>"Q"&amp;ROUNDUP(MONTH(A260)/3,0)</f>
        <v/>
      </c>
      <c r="D260" s="21">
        <f>B260&amp;" "&amp;C260</f>
        <v/>
      </c>
      <c r="E260" s="35">
        <f>Raw_Nationwide!B257</f>
        <v/>
      </c>
      <c r="F260" s="35">
        <f>Raw_Nationwide!D257</f>
        <v/>
      </c>
      <c r="G260" s="36">
        <f>IFERROR(INDEX(CPI_Index,MATCH(B260,CPI_Year,0)),"")</f>
        <v/>
      </c>
      <c r="H260" s="37">
        <f>IF(G260="","",E260*100/G260)</f>
        <v/>
      </c>
      <c r="I260" s="38">
        <f>E260/E256-1</f>
        <v/>
      </c>
      <c r="J260" s="38">
        <f>IF(OR(H260="",H256=""),"",H260/H256-1)</f>
        <v/>
      </c>
      <c r="K260" s="39">
        <f>IF(Raw_Nationwide!C257="","",Raw_Nationwide!C257/100)</f>
        <v/>
      </c>
      <c r="L260" s="40">
        <f>IF(K260="","",(I260-K260)*100)</f>
        <v/>
      </c>
      <c r="M260" s="37">
        <f>IF(H260="","",MAX(H$5:H260))</f>
        <v/>
      </c>
      <c r="N260" s="38">
        <f>IF(H260="","",H260/M260-1)</f>
        <v/>
      </c>
    </row>
    <row r="261">
      <c r="A261" s="34">
        <f>Raw_Nationwide!A258</f>
        <v/>
      </c>
      <c r="B261" s="21">
        <f>YEAR(A261)</f>
        <v/>
      </c>
      <c r="C261" s="21">
        <f>"Q"&amp;ROUNDUP(MONTH(A261)/3,0)</f>
        <v/>
      </c>
      <c r="D261" s="21">
        <f>B261&amp;" "&amp;C261</f>
        <v/>
      </c>
      <c r="E261" s="35">
        <f>Raw_Nationwide!B258</f>
        <v/>
      </c>
      <c r="F261" s="35">
        <f>Raw_Nationwide!D258</f>
        <v/>
      </c>
      <c r="G261" s="36">
        <f>IFERROR(INDEX(CPI_Index,MATCH(B261,CPI_Year,0)),"")</f>
        <v/>
      </c>
      <c r="H261" s="37">
        <f>IF(G261="","",E261*100/G261)</f>
        <v/>
      </c>
      <c r="I261" s="38">
        <f>E261/E257-1</f>
        <v/>
      </c>
      <c r="J261" s="38">
        <f>IF(OR(H261="",H257=""),"",H261/H257-1)</f>
        <v/>
      </c>
      <c r="K261" s="39">
        <f>IF(Raw_Nationwide!C258="","",Raw_Nationwide!C258/100)</f>
        <v/>
      </c>
      <c r="L261" s="40">
        <f>IF(K261="","",(I261-K261)*100)</f>
        <v/>
      </c>
      <c r="M261" s="37">
        <f>IF(H261="","",MAX(H$5:H261))</f>
        <v/>
      </c>
      <c r="N261" s="38">
        <f>IF(H261="","",H261/M261-1)</f>
        <v/>
      </c>
    </row>
    <row r="262">
      <c r="A262" s="34">
        <f>Raw_Nationwide!A259</f>
        <v/>
      </c>
      <c r="B262" s="21">
        <f>YEAR(A262)</f>
        <v/>
      </c>
      <c r="C262" s="21">
        <f>"Q"&amp;ROUNDUP(MONTH(A262)/3,0)</f>
        <v/>
      </c>
      <c r="D262" s="21">
        <f>B262&amp;" "&amp;C262</f>
        <v/>
      </c>
      <c r="E262" s="35">
        <f>Raw_Nationwide!B259</f>
        <v/>
      </c>
      <c r="F262" s="35">
        <f>Raw_Nationwide!D259</f>
        <v/>
      </c>
      <c r="G262" s="36">
        <f>IFERROR(INDEX(CPI_Index,MATCH(B262,CPI_Year,0)),"")</f>
        <v/>
      </c>
      <c r="H262" s="37">
        <f>IF(G262="","",E262*100/G262)</f>
        <v/>
      </c>
      <c r="I262" s="38">
        <f>E262/E258-1</f>
        <v/>
      </c>
      <c r="J262" s="38">
        <f>IF(OR(H262="",H258=""),"",H262/H258-1)</f>
        <v/>
      </c>
      <c r="K262" s="39">
        <f>IF(Raw_Nationwide!C259="","",Raw_Nationwide!C259/100)</f>
        <v/>
      </c>
      <c r="L262" s="40">
        <f>IF(K262="","",(I262-K262)*100)</f>
        <v/>
      </c>
      <c r="M262" s="37">
        <f>IF(H262="","",MAX(H$5:H262))</f>
        <v/>
      </c>
      <c r="N262" s="38">
        <f>IF(H262="","",H262/M262-1)</f>
        <v/>
      </c>
    </row>
    <row r="263">
      <c r="A263" s="34">
        <f>Raw_Nationwide!A260</f>
        <v/>
      </c>
      <c r="B263" s="21">
        <f>YEAR(A263)</f>
        <v/>
      </c>
      <c r="C263" s="21">
        <f>"Q"&amp;ROUNDUP(MONTH(A263)/3,0)</f>
        <v/>
      </c>
      <c r="D263" s="21">
        <f>B263&amp;" "&amp;C263</f>
        <v/>
      </c>
      <c r="E263" s="35">
        <f>Raw_Nationwide!B260</f>
        <v/>
      </c>
      <c r="F263" s="35">
        <f>Raw_Nationwide!D260</f>
        <v/>
      </c>
      <c r="G263" s="36">
        <f>IFERROR(INDEX(CPI_Index,MATCH(B263,CPI_Year,0)),"")</f>
        <v/>
      </c>
      <c r="H263" s="37">
        <f>IF(G263="","",E263*100/G263)</f>
        <v/>
      </c>
      <c r="I263" s="38">
        <f>E263/E259-1</f>
        <v/>
      </c>
      <c r="J263" s="38">
        <f>IF(OR(H263="",H259=""),"",H263/H259-1)</f>
        <v/>
      </c>
      <c r="K263" s="39">
        <f>IF(Raw_Nationwide!C260="","",Raw_Nationwide!C260/100)</f>
        <v/>
      </c>
      <c r="L263" s="40">
        <f>IF(K263="","",(I263-K263)*100)</f>
        <v/>
      </c>
      <c r="M263" s="37">
        <f>IF(H263="","",MAX(H$5:H263))</f>
        <v/>
      </c>
      <c r="N263" s="38">
        <f>IF(H263="","",H263/M263-1)</f>
        <v/>
      </c>
    </row>
    <row r="264">
      <c r="A264" s="34">
        <f>Raw_Nationwide!A261</f>
        <v/>
      </c>
      <c r="B264" s="21">
        <f>YEAR(A264)</f>
        <v/>
      </c>
      <c r="C264" s="21">
        <f>"Q"&amp;ROUNDUP(MONTH(A264)/3,0)</f>
        <v/>
      </c>
      <c r="D264" s="21">
        <f>B264&amp;" "&amp;C264</f>
        <v/>
      </c>
      <c r="E264" s="35">
        <f>Raw_Nationwide!B261</f>
        <v/>
      </c>
      <c r="F264" s="35">
        <f>Raw_Nationwide!D261</f>
        <v/>
      </c>
      <c r="G264" s="36">
        <f>IFERROR(INDEX(CPI_Index,MATCH(B264,CPI_Year,0)),"")</f>
        <v/>
      </c>
      <c r="H264" s="37">
        <f>IF(G264="","",E264*100/G264)</f>
        <v/>
      </c>
      <c r="I264" s="38">
        <f>E264/E260-1</f>
        <v/>
      </c>
      <c r="J264" s="38">
        <f>IF(OR(H264="",H260=""),"",H264/H260-1)</f>
        <v/>
      </c>
      <c r="K264" s="39">
        <f>IF(Raw_Nationwide!C261="","",Raw_Nationwide!C261/100)</f>
        <v/>
      </c>
      <c r="L264" s="40">
        <f>IF(K264="","",(I264-K264)*100)</f>
        <v/>
      </c>
      <c r="M264" s="37">
        <f>IF(H264="","",MAX(H$5:H264))</f>
        <v/>
      </c>
      <c r="N264" s="38">
        <f>IF(H264="","",H264/M264-1)</f>
        <v/>
      </c>
    </row>
    <row r="265">
      <c r="A265" s="34">
        <f>Raw_Nationwide!A262</f>
        <v/>
      </c>
      <c r="B265" s="21">
        <f>YEAR(A265)</f>
        <v/>
      </c>
      <c r="C265" s="21">
        <f>"Q"&amp;ROUNDUP(MONTH(A265)/3,0)</f>
        <v/>
      </c>
      <c r="D265" s="21">
        <f>B265&amp;" "&amp;C265</f>
        <v/>
      </c>
      <c r="E265" s="35">
        <f>Raw_Nationwide!B262</f>
        <v/>
      </c>
      <c r="F265" s="35">
        <f>Raw_Nationwide!D262</f>
        <v/>
      </c>
      <c r="G265" s="36">
        <f>IFERROR(INDEX(CPI_Index,MATCH(B265,CPI_Year,0)),"")</f>
        <v/>
      </c>
      <c r="H265" s="37">
        <f>IF(G265="","",E265*100/G265)</f>
        <v/>
      </c>
      <c r="I265" s="38">
        <f>E265/E261-1</f>
        <v/>
      </c>
      <c r="J265" s="38">
        <f>IF(OR(H265="",H261=""),"",H265/H261-1)</f>
        <v/>
      </c>
      <c r="K265" s="39">
        <f>IF(Raw_Nationwide!C262="","",Raw_Nationwide!C262/100)</f>
        <v/>
      </c>
      <c r="L265" s="40">
        <f>IF(K265="","",(I265-K265)*100)</f>
        <v/>
      </c>
      <c r="M265" s="37">
        <f>IF(H265="","",MAX(H$5:H265))</f>
        <v/>
      </c>
      <c r="N265" s="38">
        <f>IF(H265="","",H265/M265-1)</f>
        <v/>
      </c>
    </row>
    <row r="266">
      <c r="A266" s="34">
        <f>Raw_Nationwide!A263</f>
        <v/>
      </c>
      <c r="B266" s="21">
        <f>YEAR(A266)</f>
        <v/>
      </c>
      <c r="C266" s="21">
        <f>"Q"&amp;ROUNDUP(MONTH(A266)/3,0)</f>
        <v/>
      </c>
      <c r="D266" s="21">
        <f>B266&amp;" "&amp;C266</f>
        <v/>
      </c>
      <c r="E266" s="35">
        <f>Raw_Nationwide!B263</f>
        <v/>
      </c>
      <c r="F266" s="35">
        <f>Raw_Nationwide!D263</f>
        <v/>
      </c>
      <c r="G266" s="36">
        <f>IFERROR(INDEX(CPI_Index,MATCH(B266,CPI_Year,0)),"")</f>
        <v/>
      </c>
      <c r="H266" s="37">
        <f>IF(G266="","",E266*100/G266)</f>
        <v/>
      </c>
      <c r="I266" s="38">
        <f>E266/E262-1</f>
        <v/>
      </c>
      <c r="J266" s="38">
        <f>IF(OR(H266="",H262=""),"",H266/H262-1)</f>
        <v/>
      </c>
      <c r="K266" s="39">
        <f>IF(Raw_Nationwide!C263="","",Raw_Nationwide!C263/100)</f>
        <v/>
      </c>
      <c r="L266" s="40">
        <f>IF(K266="","",(I266-K266)*100)</f>
        <v/>
      </c>
      <c r="M266" s="37">
        <f>IF(H266="","",MAX(H$5:H266))</f>
        <v/>
      </c>
      <c r="N266" s="38">
        <f>IF(H266="","",H266/M266-1)</f>
        <v/>
      </c>
    </row>
    <row r="267">
      <c r="A267" s="34">
        <f>Raw_Nationwide!A264</f>
        <v/>
      </c>
      <c r="B267" s="21">
        <f>YEAR(A267)</f>
        <v/>
      </c>
      <c r="C267" s="21">
        <f>"Q"&amp;ROUNDUP(MONTH(A267)/3,0)</f>
        <v/>
      </c>
      <c r="D267" s="21">
        <f>B267&amp;" "&amp;C267</f>
        <v/>
      </c>
      <c r="E267" s="35">
        <f>Raw_Nationwide!B264</f>
        <v/>
      </c>
      <c r="F267" s="35">
        <f>Raw_Nationwide!D264</f>
        <v/>
      </c>
      <c r="G267" s="36">
        <f>IFERROR(INDEX(CPI_Index,MATCH(B267,CPI_Year,0)),"")</f>
        <v/>
      </c>
      <c r="H267" s="37">
        <f>IF(G267="","",E267*100/G267)</f>
        <v/>
      </c>
      <c r="I267" s="38">
        <f>E267/E263-1</f>
        <v/>
      </c>
      <c r="J267" s="38">
        <f>IF(OR(H267="",H263=""),"",H267/H263-1)</f>
        <v/>
      </c>
      <c r="K267" s="39">
        <f>IF(Raw_Nationwide!C264="","",Raw_Nationwide!C264/100)</f>
        <v/>
      </c>
      <c r="L267" s="40">
        <f>IF(K267="","",(I267-K267)*100)</f>
        <v/>
      </c>
      <c r="M267" s="37">
        <f>IF(H267="","",MAX(H$5:H267))</f>
        <v/>
      </c>
      <c r="N267" s="38">
        <f>IF(H267="","",H267/M267-1)</f>
        <v/>
      </c>
    </row>
    <row r="268">
      <c r="A268" s="34">
        <f>Raw_Nationwide!A265</f>
        <v/>
      </c>
      <c r="B268" s="21">
        <f>YEAR(A268)</f>
        <v/>
      </c>
      <c r="C268" s="21">
        <f>"Q"&amp;ROUNDUP(MONTH(A268)/3,0)</f>
        <v/>
      </c>
      <c r="D268" s="21">
        <f>B268&amp;" "&amp;C268</f>
        <v/>
      </c>
      <c r="E268" s="35">
        <f>Raw_Nationwide!B265</f>
        <v/>
      </c>
      <c r="F268" s="35">
        <f>Raw_Nationwide!D265</f>
        <v/>
      </c>
      <c r="G268" s="36">
        <f>IFERROR(INDEX(CPI_Index,MATCH(B268,CPI_Year,0)),"")</f>
        <v/>
      </c>
      <c r="H268" s="37">
        <f>IF(G268="","",E268*100/G268)</f>
        <v/>
      </c>
      <c r="I268" s="38">
        <f>E268/E264-1</f>
        <v/>
      </c>
      <c r="J268" s="38">
        <f>IF(OR(H268="",H264=""),"",H268/H264-1)</f>
        <v/>
      </c>
      <c r="K268" s="39">
        <f>IF(Raw_Nationwide!C265="","",Raw_Nationwide!C265/100)</f>
        <v/>
      </c>
      <c r="L268" s="40">
        <f>IF(K268="","",(I268-K268)*100)</f>
        <v/>
      </c>
      <c r="M268" s="37">
        <f>IF(H268="","",MAX(H$5:H268))</f>
        <v/>
      </c>
      <c r="N268" s="38">
        <f>IF(H268="","",H268/M268-1)</f>
        <v/>
      </c>
    </row>
    <row r="269">
      <c r="A269" s="34">
        <f>Raw_Nationwide!A266</f>
        <v/>
      </c>
      <c r="B269" s="21">
        <f>YEAR(A269)</f>
        <v/>
      </c>
      <c r="C269" s="21">
        <f>"Q"&amp;ROUNDUP(MONTH(A269)/3,0)</f>
        <v/>
      </c>
      <c r="D269" s="21">
        <f>B269&amp;" "&amp;C269</f>
        <v/>
      </c>
      <c r="E269" s="35">
        <f>Raw_Nationwide!B266</f>
        <v/>
      </c>
      <c r="F269" s="35">
        <f>Raw_Nationwide!D266</f>
        <v/>
      </c>
      <c r="G269" s="36">
        <f>IFERROR(INDEX(CPI_Index,MATCH(B269,CPI_Year,0)),"")</f>
        <v/>
      </c>
      <c r="H269" s="37">
        <f>IF(G269="","",E269*100/G269)</f>
        <v/>
      </c>
      <c r="I269" s="38">
        <f>E269/E265-1</f>
        <v/>
      </c>
      <c r="J269" s="38">
        <f>IF(OR(H269="",H265=""),"",H269/H265-1)</f>
        <v/>
      </c>
      <c r="K269" s="39">
        <f>IF(Raw_Nationwide!C266="","",Raw_Nationwide!C266/100)</f>
        <v/>
      </c>
      <c r="L269" s="40">
        <f>IF(K269="","",(I269-K269)*100)</f>
        <v/>
      </c>
      <c r="M269" s="37">
        <f>IF(H269="","",MAX(H$5:H269))</f>
        <v/>
      </c>
      <c r="N269" s="38">
        <f>IF(H269="","",H269/M269-1)</f>
        <v/>
      </c>
    </row>
    <row r="270">
      <c r="A270" s="34">
        <f>Raw_Nationwide!A267</f>
        <v/>
      </c>
      <c r="B270" s="21">
        <f>YEAR(A270)</f>
        <v/>
      </c>
      <c r="C270" s="21">
        <f>"Q"&amp;ROUNDUP(MONTH(A270)/3,0)</f>
        <v/>
      </c>
      <c r="D270" s="21">
        <f>B270&amp;" "&amp;C270</f>
        <v/>
      </c>
      <c r="E270" s="35">
        <f>Raw_Nationwide!B267</f>
        <v/>
      </c>
      <c r="F270" s="35">
        <f>Raw_Nationwide!D267</f>
        <v/>
      </c>
      <c r="G270" s="36">
        <f>IFERROR(INDEX(CPI_Index,MATCH(B270,CPI_Year,0)),"")</f>
        <v/>
      </c>
      <c r="H270" s="37">
        <f>IF(G270="","",E270*100/G270)</f>
        <v/>
      </c>
      <c r="I270" s="38">
        <f>E270/E266-1</f>
        <v/>
      </c>
      <c r="J270" s="38">
        <f>IF(OR(H270="",H266=""),"",H270/H266-1)</f>
        <v/>
      </c>
      <c r="K270" s="39">
        <f>IF(Raw_Nationwide!C267="","",Raw_Nationwide!C267/100)</f>
        <v/>
      </c>
      <c r="L270" s="40">
        <f>IF(K270="","",(I270-K270)*100)</f>
        <v/>
      </c>
      <c r="M270" s="37">
        <f>IF(H270="","",MAX(H$5:H270))</f>
        <v/>
      </c>
      <c r="N270" s="38">
        <f>IF(H270="","",H270/M270-1)</f>
        <v/>
      </c>
    </row>
    <row r="271">
      <c r="A271" s="34">
        <f>Raw_Nationwide!A268</f>
        <v/>
      </c>
      <c r="B271" s="21">
        <f>YEAR(A271)</f>
        <v/>
      </c>
      <c r="C271" s="21">
        <f>"Q"&amp;ROUNDUP(MONTH(A271)/3,0)</f>
        <v/>
      </c>
      <c r="D271" s="21">
        <f>B271&amp;" "&amp;C271</f>
        <v/>
      </c>
      <c r="E271" s="35">
        <f>Raw_Nationwide!B268</f>
        <v/>
      </c>
      <c r="F271" s="35">
        <f>Raw_Nationwide!D268</f>
        <v/>
      </c>
      <c r="G271" s="36">
        <f>IFERROR(INDEX(CPI_Index,MATCH(B271,CPI_Year,0)),"")</f>
        <v/>
      </c>
      <c r="H271" s="37">
        <f>IF(G271="","",E271*100/G271)</f>
        <v/>
      </c>
      <c r="I271" s="38">
        <f>E271/E267-1</f>
        <v/>
      </c>
      <c r="J271" s="38">
        <f>IF(OR(H271="",H267=""),"",H271/H267-1)</f>
        <v/>
      </c>
      <c r="K271" s="39">
        <f>IF(Raw_Nationwide!C268="","",Raw_Nationwide!C268/100)</f>
        <v/>
      </c>
      <c r="L271" s="40">
        <f>IF(K271="","",(I271-K271)*100)</f>
        <v/>
      </c>
      <c r="M271" s="37">
        <f>IF(H271="","",MAX(H$5:H271))</f>
        <v/>
      </c>
      <c r="N271" s="38">
        <f>IF(H271="","",H271/M271-1)</f>
        <v/>
      </c>
    </row>
    <row r="272">
      <c r="A272" s="34">
        <f>Raw_Nationwide!A269</f>
        <v/>
      </c>
      <c r="B272" s="21">
        <f>YEAR(A272)</f>
        <v/>
      </c>
      <c r="C272" s="21">
        <f>"Q"&amp;ROUNDUP(MONTH(A272)/3,0)</f>
        <v/>
      </c>
      <c r="D272" s="21">
        <f>B272&amp;" "&amp;C272</f>
        <v/>
      </c>
      <c r="E272" s="35">
        <f>Raw_Nationwide!B269</f>
        <v/>
      </c>
      <c r="F272" s="35">
        <f>Raw_Nationwide!D269</f>
        <v/>
      </c>
      <c r="G272" s="36">
        <f>IFERROR(INDEX(CPI_Index,MATCH(B272,CPI_Year,0)),"")</f>
        <v/>
      </c>
      <c r="H272" s="37">
        <f>IF(G272="","",E272*100/G272)</f>
        <v/>
      </c>
      <c r="I272" s="38">
        <f>E272/E268-1</f>
        <v/>
      </c>
      <c r="J272" s="38">
        <f>IF(OR(H272="",H268=""),"",H272/H268-1)</f>
        <v/>
      </c>
      <c r="K272" s="39">
        <f>IF(Raw_Nationwide!C269="","",Raw_Nationwide!C269/100)</f>
        <v/>
      </c>
      <c r="L272" s="40">
        <f>IF(K272="","",(I272-K272)*100)</f>
        <v/>
      </c>
      <c r="M272" s="37">
        <f>IF(H272="","",MAX(H$5:H272))</f>
        <v/>
      </c>
      <c r="N272" s="38">
        <f>IF(H272="","",H272/M272-1)</f>
        <v/>
      </c>
    </row>
    <row r="273">
      <c r="A273" s="34">
        <f>Raw_Nationwide!A270</f>
        <v/>
      </c>
      <c r="B273" s="21">
        <f>YEAR(A273)</f>
        <v/>
      </c>
      <c r="C273" s="21">
        <f>"Q"&amp;ROUNDUP(MONTH(A273)/3,0)</f>
        <v/>
      </c>
      <c r="D273" s="21">
        <f>B273&amp;" "&amp;C273</f>
        <v/>
      </c>
      <c r="E273" s="35">
        <f>Raw_Nationwide!B270</f>
        <v/>
      </c>
      <c r="F273" s="35">
        <f>Raw_Nationwide!D270</f>
        <v/>
      </c>
      <c r="G273" s="36">
        <f>IFERROR(INDEX(CPI_Index,MATCH(B273,CPI_Year,0)),"")</f>
        <v/>
      </c>
      <c r="H273" s="37">
        <f>IF(G273="","",E273*100/G273)</f>
        <v/>
      </c>
      <c r="I273" s="38">
        <f>E273/E269-1</f>
        <v/>
      </c>
      <c r="J273" s="38">
        <f>IF(OR(H273="",H269=""),"",H273/H269-1)</f>
        <v/>
      </c>
      <c r="K273" s="39">
        <f>IF(Raw_Nationwide!C270="","",Raw_Nationwide!C270/100)</f>
        <v/>
      </c>
      <c r="L273" s="40">
        <f>IF(K273="","",(I273-K273)*100)</f>
        <v/>
      </c>
      <c r="M273" s="37">
        <f>IF(H273="","",MAX(H$5:H273))</f>
        <v/>
      </c>
      <c r="N273" s="38">
        <f>IF(H273="","",H273/M273-1)</f>
        <v/>
      </c>
    </row>
    <row r="274">
      <c r="A274" s="34">
        <f>Raw_Nationwide!A271</f>
        <v/>
      </c>
      <c r="B274" s="21">
        <f>YEAR(A274)</f>
        <v/>
      </c>
      <c r="C274" s="21">
        <f>"Q"&amp;ROUNDUP(MONTH(A274)/3,0)</f>
        <v/>
      </c>
      <c r="D274" s="21">
        <f>B274&amp;" "&amp;C274</f>
        <v/>
      </c>
      <c r="E274" s="35">
        <f>Raw_Nationwide!B271</f>
        <v/>
      </c>
      <c r="F274" s="35">
        <f>Raw_Nationwide!D271</f>
        <v/>
      </c>
      <c r="G274" s="36">
        <f>IFERROR(INDEX(CPI_Index,MATCH(B274,CPI_Year,0)),"")</f>
        <v/>
      </c>
      <c r="H274" s="37">
        <f>IF(G274="","",E274*100/G274)</f>
        <v/>
      </c>
      <c r="I274" s="38">
        <f>E274/E270-1</f>
        <v/>
      </c>
      <c r="J274" s="38">
        <f>IF(OR(H274="",H270=""),"",H274/H270-1)</f>
        <v/>
      </c>
      <c r="K274" s="39">
        <f>IF(Raw_Nationwide!C271="","",Raw_Nationwide!C271/100)</f>
        <v/>
      </c>
      <c r="L274" s="40">
        <f>IF(K274="","",(I274-K274)*100)</f>
        <v/>
      </c>
      <c r="M274" s="37">
        <f>IF(H274="","",MAX(H$5:H274))</f>
        <v/>
      </c>
      <c r="N274" s="38">
        <f>IF(H274="","",H274/M274-1)</f>
        <v/>
      </c>
    </row>
    <row r="275">
      <c r="A275" s="34">
        <f>Raw_Nationwide!A272</f>
        <v/>
      </c>
      <c r="B275" s="21">
        <f>YEAR(A275)</f>
        <v/>
      </c>
      <c r="C275" s="21">
        <f>"Q"&amp;ROUNDUP(MONTH(A275)/3,0)</f>
        <v/>
      </c>
      <c r="D275" s="21">
        <f>B275&amp;" "&amp;C275</f>
        <v/>
      </c>
      <c r="E275" s="35">
        <f>Raw_Nationwide!B272</f>
        <v/>
      </c>
      <c r="F275" s="35">
        <f>Raw_Nationwide!D272</f>
        <v/>
      </c>
      <c r="G275" s="36">
        <f>IFERROR(INDEX(CPI_Index,MATCH(B275,CPI_Year,0)),"")</f>
        <v/>
      </c>
      <c r="H275" s="37">
        <f>IF(G275="","",E275*100/G275)</f>
        <v/>
      </c>
      <c r="I275" s="38">
        <f>E275/E271-1</f>
        <v/>
      </c>
      <c r="J275" s="38">
        <f>IF(OR(H275="",H271=""),"",H275/H271-1)</f>
        <v/>
      </c>
      <c r="K275" s="39">
        <f>IF(Raw_Nationwide!C272="","",Raw_Nationwide!C272/100)</f>
        <v/>
      </c>
      <c r="L275" s="40">
        <f>IF(K275="","",(I275-K275)*100)</f>
        <v/>
      </c>
      <c r="M275" s="37">
        <f>IF(H275="","",MAX(H$5:H275))</f>
        <v/>
      </c>
      <c r="N275" s="38">
        <f>IF(H275="","",H275/M275-1)</f>
        <v/>
      </c>
    </row>
    <row r="276">
      <c r="A276" s="34">
        <f>Raw_Nationwide!A273</f>
        <v/>
      </c>
      <c r="B276" s="21">
        <f>YEAR(A276)</f>
        <v/>
      </c>
      <c r="C276" s="21">
        <f>"Q"&amp;ROUNDUP(MONTH(A276)/3,0)</f>
        <v/>
      </c>
      <c r="D276" s="21">
        <f>B276&amp;" "&amp;C276</f>
        <v/>
      </c>
      <c r="E276" s="35">
        <f>Raw_Nationwide!B273</f>
        <v/>
      </c>
      <c r="F276" s="35">
        <f>Raw_Nationwide!D273</f>
        <v/>
      </c>
      <c r="G276" s="36">
        <f>IFERROR(INDEX(CPI_Index,MATCH(B276,CPI_Year,0)),"")</f>
        <v/>
      </c>
      <c r="H276" s="37">
        <f>IF(G276="","",E276*100/G276)</f>
        <v/>
      </c>
      <c r="I276" s="38">
        <f>E276/E272-1</f>
        <v/>
      </c>
      <c r="J276" s="38">
        <f>IF(OR(H276="",H272=""),"",H276/H272-1)</f>
        <v/>
      </c>
      <c r="K276" s="39">
        <f>IF(Raw_Nationwide!C273="","",Raw_Nationwide!C273/100)</f>
        <v/>
      </c>
      <c r="L276" s="40">
        <f>IF(K276="","",(I276-K276)*100)</f>
        <v/>
      </c>
      <c r="M276" s="37">
        <f>IF(H276="","",MAX(H$5:H276))</f>
        <v/>
      </c>
      <c r="N276" s="38">
        <f>IF(H276="","",H276/M276-1)</f>
        <v/>
      </c>
    </row>
    <row r="277">
      <c r="A277" s="34">
        <f>Raw_Nationwide!A274</f>
        <v/>
      </c>
      <c r="B277" s="21">
        <f>YEAR(A277)</f>
        <v/>
      </c>
      <c r="C277" s="21">
        <f>"Q"&amp;ROUNDUP(MONTH(A277)/3,0)</f>
        <v/>
      </c>
      <c r="D277" s="21">
        <f>B277&amp;" "&amp;C277</f>
        <v/>
      </c>
      <c r="E277" s="35">
        <f>Raw_Nationwide!B274</f>
        <v/>
      </c>
      <c r="F277" s="35">
        <f>Raw_Nationwide!D274</f>
        <v/>
      </c>
      <c r="G277" s="36">
        <f>IFERROR(INDEX(CPI_Index,MATCH(B277,CPI_Year,0)),"")</f>
        <v/>
      </c>
      <c r="H277" s="37">
        <f>IF(G277="","",E277*100/G277)</f>
        <v/>
      </c>
      <c r="I277" s="38">
        <f>E277/E273-1</f>
        <v/>
      </c>
      <c r="J277" s="38">
        <f>IF(OR(H277="",H273=""),"",H277/H273-1)</f>
        <v/>
      </c>
      <c r="K277" s="39">
        <f>IF(Raw_Nationwide!C274="","",Raw_Nationwide!C274/100)</f>
        <v/>
      </c>
      <c r="L277" s="40">
        <f>IF(K277="","",(I277-K277)*100)</f>
        <v/>
      </c>
      <c r="M277" s="37">
        <f>IF(H277="","",MAX(H$5:H277))</f>
        <v/>
      </c>
      <c r="N277" s="38">
        <f>IF(H277="","",H277/M277-1)</f>
        <v/>
      </c>
    </row>
    <row r="278">
      <c r="A278" s="34">
        <f>Raw_Nationwide!A275</f>
        <v/>
      </c>
      <c r="B278" s="21">
        <f>YEAR(A278)</f>
        <v/>
      </c>
      <c r="C278" s="21">
        <f>"Q"&amp;ROUNDUP(MONTH(A278)/3,0)</f>
        <v/>
      </c>
      <c r="D278" s="21">
        <f>B278&amp;" "&amp;C278</f>
        <v/>
      </c>
      <c r="E278" s="35">
        <f>Raw_Nationwide!B275</f>
        <v/>
      </c>
      <c r="F278" s="35">
        <f>Raw_Nationwide!D275</f>
        <v/>
      </c>
      <c r="G278" s="36">
        <f>IFERROR(INDEX(CPI_Index,MATCH(B278,CPI_Year,0)),"")</f>
        <v/>
      </c>
      <c r="H278" s="37">
        <f>IF(G278="","",E278*100/G278)</f>
        <v/>
      </c>
      <c r="I278" s="38">
        <f>E278/E274-1</f>
        <v/>
      </c>
      <c r="J278" s="38">
        <f>IF(OR(H278="",H274=""),"",H278/H274-1)</f>
        <v/>
      </c>
      <c r="K278" s="39">
        <f>IF(Raw_Nationwide!C275="","",Raw_Nationwide!C275/100)</f>
        <v/>
      </c>
      <c r="L278" s="40">
        <f>IF(K278="","",(I278-K278)*100)</f>
        <v/>
      </c>
      <c r="M278" s="37">
        <f>IF(H278="","",MAX(H$5:H278))</f>
        <v/>
      </c>
      <c r="N278" s="38">
        <f>IF(H278="","",H278/M278-1)</f>
        <v/>
      </c>
    </row>
    <row r="279">
      <c r="A279" s="34">
        <f>Raw_Nationwide!A276</f>
        <v/>
      </c>
      <c r="B279" s="21">
        <f>YEAR(A279)</f>
        <v/>
      </c>
      <c r="C279" s="21">
        <f>"Q"&amp;ROUNDUP(MONTH(A279)/3,0)</f>
        <v/>
      </c>
      <c r="D279" s="21">
        <f>B279&amp;" "&amp;C279</f>
        <v/>
      </c>
      <c r="E279" s="35">
        <f>Raw_Nationwide!B276</f>
        <v/>
      </c>
      <c r="F279" s="35">
        <f>Raw_Nationwide!D276</f>
        <v/>
      </c>
      <c r="G279" s="36">
        <f>IFERROR(INDEX(CPI_Index,MATCH(B279,CPI_Year,0)),"")</f>
        <v/>
      </c>
      <c r="H279" s="37">
        <f>IF(G279="","",E279*100/G279)</f>
        <v/>
      </c>
      <c r="I279" s="38">
        <f>E279/E275-1</f>
        <v/>
      </c>
      <c r="J279" s="38">
        <f>IF(OR(H279="",H275=""),"",H279/H275-1)</f>
        <v/>
      </c>
      <c r="K279" s="39">
        <f>IF(Raw_Nationwide!C276="","",Raw_Nationwide!C276/100)</f>
        <v/>
      </c>
      <c r="L279" s="40">
        <f>IF(K279="","",(I279-K279)*100)</f>
        <v/>
      </c>
      <c r="M279" s="37">
        <f>IF(H279="","",MAX(H$5:H279))</f>
        <v/>
      </c>
      <c r="N279" s="38">
        <f>IF(H279="","",H279/M279-1)</f>
        <v/>
      </c>
    </row>
    <row r="280">
      <c r="A280" s="34">
        <f>Raw_Nationwide!A277</f>
        <v/>
      </c>
      <c r="B280" s="21">
        <f>YEAR(A280)</f>
        <v/>
      </c>
      <c r="C280" s="21">
        <f>"Q"&amp;ROUNDUP(MONTH(A280)/3,0)</f>
        <v/>
      </c>
      <c r="D280" s="21">
        <f>B280&amp;" "&amp;C280</f>
        <v/>
      </c>
      <c r="E280" s="35">
        <f>Raw_Nationwide!B277</f>
        <v/>
      </c>
      <c r="F280" s="35">
        <f>Raw_Nationwide!D277</f>
        <v/>
      </c>
      <c r="G280" s="36">
        <f>IFERROR(INDEX(CPI_Index,MATCH(B280,CPI_Year,0)),"")</f>
        <v/>
      </c>
      <c r="H280" s="37">
        <f>IF(G280="","",E280*100/G280)</f>
        <v/>
      </c>
      <c r="I280" s="38">
        <f>E280/E276-1</f>
        <v/>
      </c>
      <c r="J280" s="38">
        <f>IF(OR(H280="",H276=""),"",H280/H276-1)</f>
        <v/>
      </c>
      <c r="K280" s="39">
        <f>IF(Raw_Nationwide!C277="","",Raw_Nationwide!C277/100)</f>
        <v/>
      </c>
      <c r="L280" s="40">
        <f>IF(K280="","",(I280-K280)*100)</f>
        <v/>
      </c>
      <c r="M280" s="37">
        <f>IF(H280="","",MAX(H$5:H280))</f>
        <v/>
      </c>
      <c r="N280" s="38">
        <f>IF(H280="","",H280/M280-1)</f>
        <v/>
      </c>
    </row>
    <row r="281">
      <c r="A281" s="34">
        <f>Raw_Nationwide!A278</f>
        <v/>
      </c>
      <c r="B281" s="21">
        <f>YEAR(A281)</f>
        <v/>
      </c>
      <c r="C281" s="21">
        <f>"Q"&amp;ROUNDUP(MONTH(A281)/3,0)</f>
        <v/>
      </c>
      <c r="D281" s="21">
        <f>B281&amp;" "&amp;C281</f>
        <v/>
      </c>
      <c r="E281" s="35">
        <f>Raw_Nationwide!B278</f>
        <v/>
      </c>
      <c r="F281" s="35">
        <f>Raw_Nationwide!D278</f>
        <v/>
      </c>
      <c r="G281" s="36">
        <f>IFERROR(INDEX(CPI_Index,MATCH(B281,CPI_Year,0)),"")</f>
        <v/>
      </c>
      <c r="H281" s="37">
        <f>IF(G281="","",E281*100/G281)</f>
        <v/>
      </c>
      <c r="I281" s="38">
        <f>E281/E277-1</f>
        <v/>
      </c>
      <c r="J281" s="38">
        <f>IF(OR(H281="",H277=""),"",H281/H277-1)</f>
        <v/>
      </c>
      <c r="K281" s="39">
        <f>IF(Raw_Nationwide!C278="","",Raw_Nationwide!C278/100)</f>
        <v/>
      </c>
      <c r="L281" s="40">
        <f>IF(K281="","",(I281-K281)*100)</f>
        <v/>
      </c>
      <c r="M281" s="37">
        <f>IF(H281="","",MAX(H$5:H281))</f>
        <v/>
      </c>
      <c r="N281" s="38">
        <f>IF(H281="","",H281/M281-1)</f>
        <v/>
      </c>
    </row>
    <row r="282">
      <c r="A282" s="34">
        <f>Raw_Nationwide!A279</f>
        <v/>
      </c>
      <c r="B282" s="21">
        <f>YEAR(A282)</f>
        <v/>
      </c>
      <c r="C282" s="21">
        <f>"Q"&amp;ROUNDUP(MONTH(A282)/3,0)</f>
        <v/>
      </c>
      <c r="D282" s="21">
        <f>B282&amp;" "&amp;C282</f>
        <v/>
      </c>
      <c r="E282" s="35">
        <f>Raw_Nationwide!B279</f>
        <v/>
      </c>
      <c r="F282" s="35">
        <f>Raw_Nationwide!D279</f>
        <v/>
      </c>
      <c r="G282" s="36">
        <f>IFERROR(INDEX(CPI_Index,MATCH(B282,CPI_Year,0)),"")</f>
        <v/>
      </c>
      <c r="H282" s="37">
        <f>IF(G282="","",E282*100/G282)</f>
        <v/>
      </c>
      <c r="I282" s="38">
        <f>E282/E278-1</f>
        <v/>
      </c>
      <c r="J282" s="38">
        <f>IF(OR(H282="",H278=""),"",H282/H278-1)</f>
        <v/>
      </c>
      <c r="K282" s="39">
        <f>IF(Raw_Nationwide!C279="","",Raw_Nationwide!C279/100)</f>
        <v/>
      </c>
      <c r="L282" s="40">
        <f>IF(K282="","",(I282-K282)*100)</f>
        <v/>
      </c>
      <c r="M282" s="37">
        <f>IF(H282="","",MAX(H$5:H282))</f>
        <v/>
      </c>
      <c r="N282" s="38">
        <f>IF(H282="","",H282/M282-1)</f>
        <v/>
      </c>
    </row>
    <row r="283">
      <c r="A283" s="34">
        <f>Raw_Nationwide!A280</f>
        <v/>
      </c>
      <c r="B283" s="21">
        <f>YEAR(A283)</f>
        <v/>
      </c>
      <c r="C283" s="21">
        <f>"Q"&amp;ROUNDUP(MONTH(A283)/3,0)</f>
        <v/>
      </c>
      <c r="D283" s="21">
        <f>B283&amp;" "&amp;C283</f>
        <v/>
      </c>
      <c r="E283" s="35">
        <f>Raw_Nationwide!B280</f>
        <v/>
      </c>
      <c r="F283" s="35">
        <f>Raw_Nationwide!D280</f>
        <v/>
      </c>
      <c r="G283" s="36">
        <f>IFERROR(INDEX(CPI_Index,MATCH(B283,CPI_Year,0)),"")</f>
        <v/>
      </c>
      <c r="H283" s="37">
        <f>IF(G283="","",E283*100/G283)</f>
        <v/>
      </c>
      <c r="I283" s="38">
        <f>E283/E279-1</f>
        <v/>
      </c>
      <c r="J283" s="38">
        <f>IF(OR(H283="",H279=""),"",H283/H279-1)</f>
        <v/>
      </c>
      <c r="K283" s="39">
        <f>IF(Raw_Nationwide!C280="","",Raw_Nationwide!C280/100)</f>
        <v/>
      </c>
      <c r="L283" s="40">
        <f>IF(K283="","",(I283-K283)*100)</f>
        <v/>
      </c>
      <c r="M283" s="37">
        <f>IF(H283="","",MAX(H$5:H283))</f>
        <v/>
      </c>
      <c r="N283" s="38">
        <f>IF(H283="","",H283/M283-1)</f>
        <v/>
      </c>
    </row>
    <row r="284">
      <c r="A284" s="34">
        <f>Raw_Nationwide!A281</f>
        <v/>
      </c>
      <c r="B284" s="21">
        <f>YEAR(A284)</f>
        <v/>
      </c>
      <c r="C284" s="21">
        <f>"Q"&amp;ROUNDUP(MONTH(A284)/3,0)</f>
        <v/>
      </c>
      <c r="D284" s="21">
        <f>B284&amp;" "&amp;C284</f>
        <v/>
      </c>
      <c r="E284" s="35">
        <f>Raw_Nationwide!B281</f>
        <v/>
      </c>
      <c r="F284" s="35">
        <f>Raw_Nationwide!D281</f>
        <v/>
      </c>
      <c r="G284" s="36">
        <f>IFERROR(INDEX(CPI_Index,MATCH(B284,CPI_Year,0)),"")</f>
        <v/>
      </c>
      <c r="H284" s="37">
        <f>IF(G284="","",E284*100/G284)</f>
        <v/>
      </c>
      <c r="I284" s="38">
        <f>E284/E280-1</f>
        <v/>
      </c>
      <c r="J284" s="38">
        <f>IF(OR(H284="",H280=""),"",H284/H280-1)</f>
        <v/>
      </c>
      <c r="K284" s="39">
        <f>IF(Raw_Nationwide!C281="","",Raw_Nationwide!C281/100)</f>
        <v/>
      </c>
      <c r="L284" s="40">
        <f>IF(K284="","",(I284-K284)*100)</f>
        <v/>
      </c>
      <c r="M284" s="37">
        <f>IF(H284="","",MAX(H$5:H284))</f>
        <v/>
      </c>
      <c r="N284" s="38">
        <f>IF(H284="","",H284/M284-1)</f>
        <v/>
      </c>
    </row>
    <row r="285">
      <c r="A285" s="34">
        <f>Raw_Nationwide!A282</f>
        <v/>
      </c>
      <c r="B285" s="21">
        <f>YEAR(A285)</f>
        <v/>
      </c>
      <c r="C285" s="21">
        <f>"Q"&amp;ROUNDUP(MONTH(A285)/3,0)</f>
        <v/>
      </c>
      <c r="D285" s="21">
        <f>B285&amp;" "&amp;C285</f>
        <v/>
      </c>
      <c r="E285" s="35">
        <f>Raw_Nationwide!B282</f>
        <v/>
      </c>
      <c r="F285" s="35">
        <f>Raw_Nationwide!D282</f>
        <v/>
      </c>
      <c r="G285" s="36">
        <f>IFERROR(INDEX(CPI_Index,MATCH(B285,CPI_Year,0)),"")</f>
        <v/>
      </c>
      <c r="H285" s="37">
        <f>IF(G285="","",E285*100/G285)</f>
        <v/>
      </c>
      <c r="I285" s="38">
        <f>E285/E281-1</f>
        <v/>
      </c>
      <c r="J285" s="38">
        <f>IF(OR(H285="",H281=""),"",H285/H281-1)</f>
        <v/>
      </c>
      <c r="K285" s="39">
        <f>IF(Raw_Nationwide!C282="","",Raw_Nationwide!C282/100)</f>
        <v/>
      </c>
      <c r="L285" s="40">
        <f>IF(K285="","",(I285-K285)*100)</f>
        <v/>
      </c>
      <c r="M285" s="37">
        <f>IF(H285="","",MAX(H$5:H285))</f>
        <v/>
      </c>
      <c r="N285" s="38">
        <f>IF(H285="","",H285/M285-1)</f>
        <v/>
      </c>
    </row>
    <row r="286">
      <c r="A286" s="34">
        <f>Raw_Nationwide!A283</f>
        <v/>
      </c>
      <c r="B286" s="21">
        <f>YEAR(A286)</f>
        <v/>
      </c>
      <c r="C286" s="21">
        <f>"Q"&amp;ROUNDUP(MONTH(A286)/3,0)</f>
        <v/>
      </c>
      <c r="D286" s="21">
        <f>B286&amp;" "&amp;C286</f>
        <v/>
      </c>
      <c r="E286" s="35">
        <f>Raw_Nationwide!B283</f>
        <v/>
      </c>
      <c r="F286" s="35">
        <f>Raw_Nationwide!D283</f>
        <v/>
      </c>
      <c r="G286" s="36">
        <f>IFERROR(INDEX(CPI_Index,MATCH(B286,CPI_Year,0)),"")</f>
        <v/>
      </c>
      <c r="H286" s="37">
        <f>IF(G286="","",E286*100/G286)</f>
        <v/>
      </c>
      <c r="I286" s="38">
        <f>E286/E282-1</f>
        <v/>
      </c>
      <c r="J286" s="38">
        <f>IF(OR(H286="",H282=""),"",H286/H282-1)</f>
        <v/>
      </c>
      <c r="K286" s="39">
        <f>IF(Raw_Nationwide!C283="","",Raw_Nationwide!C283/100)</f>
        <v/>
      </c>
      <c r="L286" s="40">
        <f>IF(K286="","",(I286-K286)*100)</f>
        <v/>
      </c>
      <c r="M286" s="37">
        <f>IF(H286="","",MAX(H$5:H286))</f>
        <v/>
      </c>
      <c r="N286" s="38">
        <f>IF(H286="","",H286/M286-1)</f>
        <v/>
      </c>
    </row>
    <row r="287">
      <c r="A287" s="34">
        <f>Raw_Nationwide!A284</f>
        <v/>
      </c>
      <c r="B287" s="21">
        <f>YEAR(A287)</f>
        <v/>
      </c>
      <c r="C287" s="21">
        <f>"Q"&amp;ROUNDUP(MONTH(A287)/3,0)</f>
        <v/>
      </c>
      <c r="D287" s="21">
        <f>B287&amp;" "&amp;C287</f>
        <v/>
      </c>
      <c r="E287" s="35">
        <f>Raw_Nationwide!B284</f>
        <v/>
      </c>
      <c r="F287" s="35">
        <f>Raw_Nationwide!D284</f>
        <v/>
      </c>
      <c r="G287" s="36">
        <f>IFERROR(INDEX(CPI_Index,MATCH(B287,CPI_Year,0)),"")</f>
        <v/>
      </c>
      <c r="H287" s="37">
        <f>IF(G287="","",E287*100/G287)</f>
        <v/>
      </c>
      <c r="I287" s="38">
        <f>E287/E283-1</f>
        <v/>
      </c>
      <c r="J287" s="38">
        <f>IF(OR(H287="",H283=""),"",H287/H283-1)</f>
        <v/>
      </c>
      <c r="K287" s="39">
        <f>IF(Raw_Nationwide!C284="","",Raw_Nationwide!C284/100)</f>
        <v/>
      </c>
      <c r="L287" s="40">
        <f>IF(K287="","",(I287-K287)*100)</f>
        <v/>
      </c>
      <c r="M287" s="37">
        <f>IF(H287="","",MAX(H$5:H287))</f>
        <v/>
      </c>
      <c r="N287" s="38">
        <f>IF(H287="","",H287/M287-1)</f>
        <v/>
      </c>
    </row>
    <row r="288">
      <c r="A288" s="34">
        <f>Raw_Nationwide!A285</f>
        <v/>
      </c>
      <c r="B288" s="21">
        <f>YEAR(A288)</f>
        <v/>
      </c>
      <c r="C288" s="21">
        <f>"Q"&amp;ROUNDUP(MONTH(A288)/3,0)</f>
        <v/>
      </c>
      <c r="D288" s="21">
        <f>B288&amp;" "&amp;C288</f>
        <v/>
      </c>
      <c r="E288" s="35">
        <f>Raw_Nationwide!B285</f>
        <v/>
      </c>
      <c r="F288" s="35">
        <f>Raw_Nationwide!D285</f>
        <v/>
      </c>
      <c r="G288" s="36">
        <f>IFERROR(INDEX(CPI_Index,MATCH(B288,CPI_Year,0)),"")</f>
        <v/>
      </c>
      <c r="H288" s="37">
        <f>IF(G288="","",E288*100/G288)</f>
        <v/>
      </c>
      <c r="I288" s="38">
        <f>E288/E284-1</f>
        <v/>
      </c>
      <c r="J288" s="38">
        <f>IF(OR(H288="",H284=""),"",H288/H284-1)</f>
        <v/>
      </c>
      <c r="K288" s="39">
        <f>IF(Raw_Nationwide!C285="","",Raw_Nationwide!C285/100)</f>
        <v/>
      </c>
      <c r="L288" s="40">
        <f>IF(K288="","",(I288-K288)*100)</f>
        <v/>
      </c>
      <c r="M288" s="37">
        <f>IF(H288="","",MAX(H$5:H288))</f>
        <v/>
      </c>
      <c r="N288" s="38">
        <f>IF(H288="","",H288/M288-1)</f>
        <v/>
      </c>
    </row>
    <row r="289">
      <c r="A289" s="34">
        <f>Raw_Nationwide!A286</f>
        <v/>
      </c>
      <c r="B289" s="21">
        <f>YEAR(A289)</f>
        <v/>
      </c>
      <c r="C289" s="21">
        <f>"Q"&amp;ROUNDUP(MONTH(A289)/3,0)</f>
        <v/>
      </c>
      <c r="D289" s="21">
        <f>B289&amp;" "&amp;C289</f>
        <v/>
      </c>
      <c r="E289" s="35">
        <f>Raw_Nationwide!B286</f>
        <v/>
      </c>
      <c r="F289" s="35">
        <f>Raw_Nationwide!D286</f>
        <v/>
      </c>
      <c r="G289" s="36">
        <f>IFERROR(INDEX(CPI_Index,MATCH(B289,CPI_Year,0)),"")</f>
        <v/>
      </c>
      <c r="H289" s="37">
        <f>IF(G289="","",E289*100/G289)</f>
        <v/>
      </c>
      <c r="I289" s="38">
        <f>E289/E285-1</f>
        <v/>
      </c>
      <c r="J289" s="38">
        <f>IF(OR(H289="",H285=""),"",H289/H285-1)</f>
        <v/>
      </c>
      <c r="K289" s="39">
        <f>IF(Raw_Nationwide!C286="","",Raw_Nationwide!C286/100)</f>
        <v/>
      </c>
      <c r="L289" s="40">
        <f>IF(K289="","",(I289-K289)*100)</f>
        <v/>
      </c>
      <c r="M289" s="37">
        <f>IF(H289="","",MAX(H$5:H289))</f>
        <v/>
      </c>
      <c r="N289" s="38">
        <f>IF(H289="","",H289/M289-1)</f>
        <v/>
      </c>
    </row>
    <row r="290">
      <c r="A290" s="34">
        <f>Raw_Nationwide!A287</f>
        <v/>
      </c>
      <c r="B290" s="21">
        <f>YEAR(A290)</f>
        <v/>
      </c>
      <c r="C290" s="21">
        <f>"Q"&amp;ROUNDUP(MONTH(A290)/3,0)</f>
        <v/>
      </c>
      <c r="D290" s="21">
        <f>B290&amp;" "&amp;C290</f>
        <v/>
      </c>
      <c r="E290" s="35">
        <f>Raw_Nationwide!B287</f>
        <v/>
      </c>
      <c r="F290" s="35">
        <f>Raw_Nationwide!D287</f>
        <v/>
      </c>
      <c r="G290" s="36">
        <f>IFERROR(INDEX(CPI_Index,MATCH(B290,CPI_Year,0)),"")</f>
        <v/>
      </c>
      <c r="H290" s="37">
        <f>IF(G290="","",E290*100/G290)</f>
        <v/>
      </c>
      <c r="I290" s="38">
        <f>E290/E286-1</f>
        <v/>
      </c>
      <c r="J290" s="38">
        <f>IF(OR(H290="",H286=""),"",H290/H286-1)</f>
        <v/>
      </c>
      <c r="K290" s="39">
        <f>IF(Raw_Nationwide!C287="","",Raw_Nationwide!C287/100)</f>
        <v/>
      </c>
      <c r="L290" s="40">
        <f>IF(K290="","",(I290-K290)*100)</f>
        <v/>
      </c>
      <c r="M290" s="37">
        <f>IF(H290="","",MAX(H$5:H290))</f>
        <v/>
      </c>
      <c r="N290" s="38">
        <f>IF(H290="","",H290/M290-1)</f>
        <v/>
      </c>
    </row>
    <row r="291">
      <c r="A291" s="34">
        <f>Raw_Nationwide!A288</f>
        <v/>
      </c>
      <c r="B291" s="21">
        <f>YEAR(A291)</f>
        <v/>
      </c>
      <c r="C291" s="21">
        <f>"Q"&amp;ROUNDUP(MONTH(A291)/3,0)</f>
        <v/>
      </c>
      <c r="D291" s="21">
        <f>B291&amp;" "&amp;C291</f>
        <v/>
      </c>
      <c r="E291" s="35">
        <f>Raw_Nationwide!B288</f>
        <v/>
      </c>
      <c r="F291" s="35">
        <f>Raw_Nationwide!D288</f>
        <v/>
      </c>
      <c r="G291" s="36">
        <f>IFERROR(INDEX(CPI_Index,MATCH(B291,CPI_Year,0)),"")</f>
        <v/>
      </c>
      <c r="H291" s="37">
        <f>IF(G291="","",E291*100/G291)</f>
        <v/>
      </c>
      <c r="I291" s="38">
        <f>E291/E287-1</f>
        <v/>
      </c>
      <c r="J291" s="38">
        <f>IF(OR(H291="",H287=""),"",H291/H287-1)</f>
        <v/>
      </c>
      <c r="K291" s="39">
        <f>IF(Raw_Nationwide!C288="","",Raw_Nationwide!C288/100)</f>
        <v/>
      </c>
      <c r="L291" s="40">
        <f>IF(K291="","",(I291-K291)*100)</f>
        <v/>
      </c>
      <c r="M291" s="37">
        <f>IF(H291="","",MAX(H$5:H291))</f>
        <v/>
      </c>
      <c r="N291" s="38">
        <f>IF(H291="","",H291/M291-1)</f>
        <v/>
      </c>
    </row>
    <row r="292">
      <c r="A292" s="34">
        <f>Raw_Nationwide!A289</f>
        <v/>
      </c>
      <c r="B292" s="21">
        <f>YEAR(A292)</f>
        <v/>
      </c>
      <c r="C292" s="21">
        <f>"Q"&amp;ROUNDUP(MONTH(A292)/3,0)</f>
        <v/>
      </c>
      <c r="D292" s="21">
        <f>B292&amp;" "&amp;C292</f>
        <v/>
      </c>
      <c r="E292" s="35">
        <f>Raw_Nationwide!B289</f>
        <v/>
      </c>
      <c r="F292" s="35">
        <f>Raw_Nationwide!D289</f>
        <v/>
      </c>
      <c r="G292" s="36">
        <f>IFERROR(INDEX(CPI_Index,MATCH(B292,CPI_Year,0)),"")</f>
        <v/>
      </c>
      <c r="H292" s="37">
        <f>IF(G292="","",E292*100/G292)</f>
        <v/>
      </c>
      <c r="I292" s="38">
        <f>E292/E288-1</f>
        <v/>
      </c>
      <c r="J292" s="38">
        <f>IF(OR(H292="",H288=""),"",H292/H288-1)</f>
        <v/>
      </c>
      <c r="K292" s="39">
        <f>IF(Raw_Nationwide!C289="","",Raw_Nationwide!C289/100)</f>
        <v/>
      </c>
      <c r="L292" s="40">
        <f>IF(K292="","",(I292-K292)*100)</f>
        <v/>
      </c>
      <c r="M292" s="37">
        <f>IF(H292="","",MAX(H$5:H292))</f>
        <v/>
      </c>
      <c r="N292" s="38">
        <f>IF(H292="","",H292/M292-1)</f>
        <v/>
      </c>
    </row>
    <row r="293">
      <c r="A293" s="34">
        <f>Raw_Nationwide!A290</f>
        <v/>
      </c>
      <c r="B293" s="21">
        <f>YEAR(A293)</f>
        <v/>
      </c>
      <c r="C293" s="21">
        <f>"Q"&amp;ROUNDUP(MONTH(A293)/3,0)</f>
        <v/>
      </c>
      <c r="D293" s="21">
        <f>B293&amp;" "&amp;C293</f>
        <v/>
      </c>
      <c r="E293" s="35">
        <f>Raw_Nationwide!B290</f>
        <v/>
      </c>
      <c r="F293" s="35">
        <f>Raw_Nationwide!D290</f>
        <v/>
      </c>
      <c r="G293" s="36">
        <f>IFERROR(INDEX(CPI_Index,MATCH(B293,CPI_Year,0)),"")</f>
        <v/>
      </c>
      <c r="H293" s="37">
        <f>IF(G293="","",E293*100/G293)</f>
        <v/>
      </c>
      <c r="I293" s="38">
        <f>E293/E289-1</f>
        <v/>
      </c>
      <c r="J293" s="38">
        <f>IF(OR(H293="",H289=""),"",H293/H289-1)</f>
        <v/>
      </c>
      <c r="K293" s="39">
        <f>IF(Raw_Nationwide!C290="","",Raw_Nationwide!C290/100)</f>
        <v/>
      </c>
      <c r="L293" s="40">
        <f>IF(K293="","",(I293-K293)*100)</f>
        <v/>
      </c>
      <c r="M293" s="37">
        <f>IF(H293="","",MAX(H$5:H293))</f>
        <v/>
      </c>
      <c r="N293" s="38">
        <f>IF(H293="","",H293/M293-1)</f>
        <v/>
      </c>
    </row>
    <row r="294">
      <c r="A294" s="34">
        <f>Raw_Nationwide!A291</f>
        <v/>
      </c>
      <c r="B294" s="21">
        <f>YEAR(A294)</f>
        <v/>
      </c>
      <c r="C294" s="21">
        <f>"Q"&amp;ROUNDUP(MONTH(A294)/3,0)</f>
        <v/>
      </c>
      <c r="D294" s="21">
        <f>B294&amp;" "&amp;C294</f>
        <v/>
      </c>
      <c r="E294" s="35">
        <f>Raw_Nationwide!B291</f>
        <v/>
      </c>
      <c r="F294" s="35">
        <f>Raw_Nationwide!D291</f>
        <v/>
      </c>
      <c r="G294" s="36">
        <f>IFERROR(INDEX(CPI_Index,MATCH(B294,CPI_Year,0)),"")</f>
        <v/>
      </c>
      <c r="H294" s="37">
        <f>IF(G294="","",E294*100/G294)</f>
        <v/>
      </c>
      <c r="I294" s="38">
        <f>E294/E290-1</f>
        <v/>
      </c>
      <c r="J294" s="38">
        <f>IF(OR(H294="",H290=""),"",H294/H290-1)</f>
        <v/>
      </c>
      <c r="K294" s="39">
        <f>IF(Raw_Nationwide!C291="","",Raw_Nationwide!C291/100)</f>
        <v/>
      </c>
      <c r="L294" s="40">
        <f>IF(K294="","",(I294-K294)*100)</f>
        <v/>
      </c>
      <c r="M294" s="37">
        <f>IF(H294="","",MAX(H$5:H294))</f>
        <v/>
      </c>
      <c r="N294" s="38">
        <f>IF(H294="","",H294/M294-1)</f>
        <v/>
      </c>
    </row>
  </sheetData>
  <conditionalFormatting sqref="N5:N294">
    <cfRule type="cellIs" priority="1" operator="lessThan" dxfId="0">
      <formula>-0.2</formula>
    </cfRule>
  </conditionalFormatting>
  <conditionalFormatting sqref="J5:J294">
    <cfRule type="colorScale" priority="2">
      <colorScale>
        <cfvo type="num" val="-0.2"/>
        <cfvo type="num" val="0"/>
        <cfvo type="num" val="0.2"/>
        <color rgb="00F4B183"/>
        <color rgb="00FFFFFF"/>
        <color rgb="009FD8CF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0" customWidth="1" min="5" max="5"/>
  </cols>
  <sheetData>
    <row r="1">
      <c r="A1" s="31" t="inlineStr">
        <is>
          <t>UK price level, chained from the World Bank's annual inflation</t>
        </is>
      </c>
    </row>
    <row r="2">
      <c r="A2" s="2" t="inlineStr">
        <is>
          <t>Index: 1959 = 100, then each year = previous x (1 + inflation). Rebased: base year = 100 (base year set on the Dashboard).</t>
        </is>
      </c>
    </row>
    <row r="4" ht="30" customHeight="1">
      <c r="A4" s="17" t="inlineStr">
        <is>
          <t>Year</t>
        </is>
      </c>
      <c r="B4" s="17" t="inlineStr">
        <is>
          <t>Inflation (World Bank, %)</t>
        </is>
      </c>
      <c r="C4" s="17" t="inlineStr">
        <is>
          <t>Price index (1959 = 100)</t>
        </is>
      </c>
      <c r="D4" s="17" t="inlineStr">
        <is>
          <t>Index (base year = 100)</t>
        </is>
      </c>
      <c r="E4" s="17" t="inlineStr">
        <is>
          <t>Rows found</t>
        </is>
      </c>
    </row>
    <row r="5">
      <c r="A5" s="18" t="n">
        <v>1959</v>
      </c>
      <c r="B5" s="30" t="n"/>
      <c r="C5" s="41" t="n">
        <v>100</v>
      </c>
      <c r="D5" s="41">
        <f>C5/INDEX($C$5:$C$70,MATCH(BaseYear,$A$5:$A$70,0))*100</f>
        <v/>
      </c>
      <c r="E5" s="18" t="n"/>
    </row>
    <row r="6">
      <c r="A6" s="18" t="n">
        <v>1960</v>
      </c>
      <c r="B6" s="32">
        <f>SUMIFS(Raw_CPI!$D:$D,Raw_CPI!$B:$B,"GBR",Raw_CPI!$C:$C,A6)/100</f>
        <v/>
      </c>
      <c r="C6" s="41">
        <f>C5*(1+B6)</f>
        <v/>
      </c>
      <c r="D6" s="41">
        <f>C6/INDEX($C$5:$C$70,MATCH(BaseYear,$A$5:$A$70,0))*100</f>
        <v/>
      </c>
      <c r="E6" s="18">
        <f>COUNTIFS(Raw_CPI!$B:$B,"GBR",Raw_CPI!$C:$C,A6)</f>
        <v/>
      </c>
    </row>
    <row r="7">
      <c r="A7" s="18" t="n">
        <v>1961</v>
      </c>
      <c r="B7" s="32">
        <f>SUMIFS(Raw_CPI!$D:$D,Raw_CPI!$B:$B,"GBR",Raw_CPI!$C:$C,A7)/100</f>
        <v/>
      </c>
      <c r="C7" s="41">
        <f>C6*(1+B7)</f>
        <v/>
      </c>
      <c r="D7" s="41">
        <f>C7/INDEX($C$5:$C$70,MATCH(BaseYear,$A$5:$A$70,0))*100</f>
        <v/>
      </c>
      <c r="E7" s="18">
        <f>COUNTIFS(Raw_CPI!$B:$B,"GBR",Raw_CPI!$C:$C,A7)</f>
        <v/>
      </c>
    </row>
    <row r="8">
      <c r="A8" s="18" t="n">
        <v>1962</v>
      </c>
      <c r="B8" s="32">
        <f>SUMIFS(Raw_CPI!$D:$D,Raw_CPI!$B:$B,"GBR",Raw_CPI!$C:$C,A8)/100</f>
        <v/>
      </c>
      <c r="C8" s="41">
        <f>C7*(1+B8)</f>
        <v/>
      </c>
      <c r="D8" s="41">
        <f>C8/INDEX($C$5:$C$70,MATCH(BaseYear,$A$5:$A$70,0))*100</f>
        <v/>
      </c>
      <c r="E8" s="18">
        <f>COUNTIFS(Raw_CPI!$B:$B,"GBR",Raw_CPI!$C:$C,A8)</f>
        <v/>
      </c>
    </row>
    <row r="9">
      <c r="A9" s="18" t="n">
        <v>1963</v>
      </c>
      <c r="B9" s="32">
        <f>SUMIFS(Raw_CPI!$D:$D,Raw_CPI!$B:$B,"GBR",Raw_CPI!$C:$C,A9)/100</f>
        <v/>
      </c>
      <c r="C9" s="41">
        <f>C8*(1+B9)</f>
        <v/>
      </c>
      <c r="D9" s="41">
        <f>C9/INDEX($C$5:$C$70,MATCH(BaseYear,$A$5:$A$70,0))*100</f>
        <v/>
      </c>
      <c r="E9" s="18">
        <f>COUNTIFS(Raw_CPI!$B:$B,"GBR",Raw_CPI!$C:$C,A9)</f>
        <v/>
      </c>
    </row>
    <row r="10">
      <c r="A10" s="18" t="n">
        <v>1964</v>
      </c>
      <c r="B10" s="32">
        <f>SUMIFS(Raw_CPI!$D:$D,Raw_CPI!$B:$B,"GBR",Raw_CPI!$C:$C,A10)/100</f>
        <v/>
      </c>
      <c r="C10" s="41">
        <f>C9*(1+B10)</f>
        <v/>
      </c>
      <c r="D10" s="41">
        <f>C10/INDEX($C$5:$C$70,MATCH(BaseYear,$A$5:$A$70,0))*100</f>
        <v/>
      </c>
      <c r="E10" s="18">
        <f>COUNTIFS(Raw_CPI!$B:$B,"GBR",Raw_CPI!$C:$C,A10)</f>
        <v/>
      </c>
    </row>
    <row r="11">
      <c r="A11" s="18" t="n">
        <v>1965</v>
      </c>
      <c r="B11" s="32">
        <f>SUMIFS(Raw_CPI!$D:$D,Raw_CPI!$B:$B,"GBR",Raw_CPI!$C:$C,A11)/100</f>
        <v/>
      </c>
      <c r="C11" s="41">
        <f>C10*(1+B11)</f>
        <v/>
      </c>
      <c r="D11" s="41">
        <f>C11/INDEX($C$5:$C$70,MATCH(BaseYear,$A$5:$A$70,0))*100</f>
        <v/>
      </c>
      <c r="E11" s="18">
        <f>COUNTIFS(Raw_CPI!$B:$B,"GBR",Raw_CPI!$C:$C,A11)</f>
        <v/>
      </c>
    </row>
    <row r="12">
      <c r="A12" s="18" t="n">
        <v>1966</v>
      </c>
      <c r="B12" s="32">
        <f>SUMIFS(Raw_CPI!$D:$D,Raw_CPI!$B:$B,"GBR",Raw_CPI!$C:$C,A12)/100</f>
        <v/>
      </c>
      <c r="C12" s="41">
        <f>C11*(1+B12)</f>
        <v/>
      </c>
      <c r="D12" s="41">
        <f>C12/INDEX($C$5:$C$70,MATCH(BaseYear,$A$5:$A$70,0))*100</f>
        <v/>
      </c>
      <c r="E12" s="18">
        <f>COUNTIFS(Raw_CPI!$B:$B,"GBR",Raw_CPI!$C:$C,A12)</f>
        <v/>
      </c>
    </row>
    <row r="13">
      <c r="A13" s="18" t="n">
        <v>1967</v>
      </c>
      <c r="B13" s="32">
        <f>SUMIFS(Raw_CPI!$D:$D,Raw_CPI!$B:$B,"GBR",Raw_CPI!$C:$C,A13)/100</f>
        <v/>
      </c>
      <c r="C13" s="41">
        <f>C12*(1+B13)</f>
        <v/>
      </c>
      <c r="D13" s="41">
        <f>C13/INDEX($C$5:$C$70,MATCH(BaseYear,$A$5:$A$70,0))*100</f>
        <v/>
      </c>
      <c r="E13" s="18">
        <f>COUNTIFS(Raw_CPI!$B:$B,"GBR",Raw_CPI!$C:$C,A13)</f>
        <v/>
      </c>
    </row>
    <row r="14">
      <c r="A14" s="18" t="n">
        <v>1968</v>
      </c>
      <c r="B14" s="32">
        <f>SUMIFS(Raw_CPI!$D:$D,Raw_CPI!$B:$B,"GBR",Raw_CPI!$C:$C,A14)/100</f>
        <v/>
      </c>
      <c r="C14" s="41">
        <f>C13*(1+B14)</f>
        <v/>
      </c>
      <c r="D14" s="41">
        <f>C14/INDEX($C$5:$C$70,MATCH(BaseYear,$A$5:$A$70,0))*100</f>
        <v/>
      </c>
      <c r="E14" s="18">
        <f>COUNTIFS(Raw_CPI!$B:$B,"GBR",Raw_CPI!$C:$C,A14)</f>
        <v/>
      </c>
    </row>
    <row r="15">
      <c r="A15" s="18" t="n">
        <v>1969</v>
      </c>
      <c r="B15" s="32">
        <f>SUMIFS(Raw_CPI!$D:$D,Raw_CPI!$B:$B,"GBR",Raw_CPI!$C:$C,A15)/100</f>
        <v/>
      </c>
      <c r="C15" s="41">
        <f>C14*(1+B15)</f>
        <v/>
      </c>
      <c r="D15" s="41">
        <f>C15/INDEX($C$5:$C$70,MATCH(BaseYear,$A$5:$A$70,0))*100</f>
        <v/>
      </c>
      <c r="E15" s="18">
        <f>COUNTIFS(Raw_CPI!$B:$B,"GBR",Raw_CPI!$C:$C,A15)</f>
        <v/>
      </c>
    </row>
    <row r="16">
      <c r="A16" s="18" t="n">
        <v>1970</v>
      </c>
      <c r="B16" s="32">
        <f>SUMIFS(Raw_CPI!$D:$D,Raw_CPI!$B:$B,"GBR",Raw_CPI!$C:$C,A16)/100</f>
        <v/>
      </c>
      <c r="C16" s="41">
        <f>C15*(1+B16)</f>
        <v/>
      </c>
      <c r="D16" s="41">
        <f>C16/INDEX($C$5:$C$70,MATCH(BaseYear,$A$5:$A$70,0))*100</f>
        <v/>
      </c>
      <c r="E16" s="18">
        <f>COUNTIFS(Raw_CPI!$B:$B,"GBR",Raw_CPI!$C:$C,A16)</f>
        <v/>
      </c>
    </row>
    <row r="17">
      <c r="A17" s="18" t="n">
        <v>1971</v>
      </c>
      <c r="B17" s="32">
        <f>SUMIFS(Raw_CPI!$D:$D,Raw_CPI!$B:$B,"GBR",Raw_CPI!$C:$C,A17)/100</f>
        <v/>
      </c>
      <c r="C17" s="41">
        <f>C16*(1+B17)</f>
        <v/>
      </c>
      <c r="D17" s="41">
        <f>C17/INDEX($C$5:$C$70,MATCH(BaseYear,$A$5:$A$70,0))*100</f>
        <v/>
      </c>
      <c r="E17" s="18">
        <f>COUNTIFS(Raw_CPI!$B:$B,"GBR",Raw_CPI!$C:$C,A17)</f>
        <v/>
      </c>
    </row>
    <row r="18">
      <c r="A18" s="18" t="n">
        <v>1972</v>
      </c>
      <c r="B18" s="32">
        <f>SUMIFS(Raw_CPI!$D:$D,Raw_CPI!$B:$B,"GBR",Raw_CPI!$C:$C,A18)/100</f>
        <v/>
      </c>
      <c r="C18" s="41">
        <f>C17*(1+B18)</f>
        <v/>
      </c>
      <c r="D18" s="41">
        <f>C18/INDEX($C$5:$C$70,MATCH(BaseYear,$A$5:$A$70,0))*100</f>
        <v/>
      </c>
      <c r="E18" s="18">
        <f>COUNTIFS(Raw_CPI!$B:$B,"GBR",Raw_CPI!$C:$C,A18)</f>
        <v/>
      </c>
    </row>
    <row r="19">
      <c r="A19" s="18" t="n">
        <v>1973</v>
      </c>
      <c r="B19" s="32">
        <f>SUMIFS(Raw_CPI!$D:$D,Raw_CPI!$B:$B,"GBR",Raw_CPI!$C:$C,A19)/100</f>
        <v/>
      </c>
      <c r="C19" s="41">
        <f>C18*(1+B19)</f>
        <v/>
      </c>
      <c r="D19" s="41">
        <f>C19/INDEX($C$5:$C$70,MATCH(BaseYear,$A$5:$A$70,0))*100</f>
        <v/>
      </c>
      <c r="E19" s="18">
        <f>COUNTIFS(Raw_CPI!$B:$B,"GBR",Raw_CPI!$C:$C,A19)</f>
        <v/>
      </c>
    </row>
    <row r="20">
      <c r="A20" s="18" t="n">
        <v>1974</v>
      </c>
      <c r="B20" s="32">
        <f>SUMIFS(Raw_CPI!$D:$D,Raw_CPI!$B:$B,"GBR",Raw_CPI!$C:$C,A20)/100</f>
        <v/>
      </c>
      <c r="C20" s="41">
        <f>C19*(1+B20)</f>
        <v/>
      </c>
      <c r="D20" s="41">
        <f>C20/INDEX($C$5:$C$70,MATCH(BaseYear,$A$5:$A$70,0))*100</f>
        <v/>
      </c>
      <c r="E20" s="18">
        <f>COUNTIFS(Raw_CPI!$B:$B,"GBR",Raw_CPI!$C:$C,A20)</f>
        <v/>
      </c>
    </row>
    <row r="21">
      <c r="A21" s="18" t="n">
        <v>1975</v>
      </c>
      <c r="B21" s="32">
        <f>SUMIFS(Raw_CPI!$D:$D,Raw_CPI!$B:$B,"GBR",Raw_CPI!$C:$C,A21)/100</f>
        <v/>
      </c>
      <c r="C21" s="41">
        <f>C20*(1+B21)</f>
        <v/>
      </c>
      <c r="D21" s="41">
        <f>C21/INDEX($C$5:$C$70,MATCH(BaseYear,$A$5:$A$70,0))*100</f>
        <v/>
      </c>
      <c r="E21" s="18">
        <f>COUNTIFS(Raw_CPI!$B:$B,"GBR",Raw_CPI!$C:$C,A21)</f>
        <v/>
      </c>
    </row>
    <row r="22">
      <c r="A22" s="18" t="n">
        <v>1976</v>
      </c>
      <c r="B22" s="32">
        <f>SUMIFS(Raw_CPI!$D:$D,Raw_CPI!$B:$B,"GBR",Raw_CPI!$C:$C,A22)/100</f>
        <v/>
      </c>
      <c r="C22" s="41">
        <f>C21*(1+B22)</f>
        <v/>
      </c>
      <c r="D22" s="41">
        <f>C22/INDEX($C$5:$C$70,MATCH(BaseYear,$A$5:$A$70,0))*100</f>
        <v/>
      </c>
      <c r="E22" s="18">
        <f>COUNTIFS(Raw_CPI!$B:$B,"GBR",Raw_CPI!$C:$C,A22)</f>
        <v/>
      </c>
    </row>
    <row r="23">
      <c r="A23" s="18" t="n">
        <v>1977</v>
      </c>
      <c r="B23" s="32">
        <f>SUMIFS(Raw_CPI!$D:$D,Raw_CPI!$B:$B,"GBR",Raw_CPI!$C:$C,A23)/100</f>
        <v/>
      </c>
      <c r="C23" s="41">
        <f>C22*(1+B23)</f>
        <v/>
      </c>
      <c r="D23" s="41">
        <f>C23/INDEX($C$5:$C$70,MATCH(BaseYear,$A$5:$A$70,0))*100</f>
        <v/>
      </c>
      <c r="E23" s="18">
        <f>COUNTIFS(Raw_CPI!$B:$B,"GBR",Raw_CPI!$C:$C,A23)</f>
        <v/>
      </c>
    </row>
    <row r="24">
      <c r="A24" s="18" t="n">
        <v>1978</v>
      </c>
      <c r="B24" s="32">
        <f>SUMIFS(Raw_CPI!$D:$D,Raw_CPI!$B:$B,"GBR",Raw_CPI!$C:$C,A24)/100</f>
        <v/>
      </c>
      <c r="C24" s="41">
        <f>C23*(1+B24)</f>
        <v/>
      </c>
      <c r="D24" s="41">
        <f>C24/INDEX($C$5:$C$70,MATCH(BaseYear,$A$5:$A$70,0))*100</f>
        <v/>
      </c>
      <c r="E24" s="18">
        <f>COUNTIFS(Raw_CPI!$B:$B,"GBR",Raw_CPI!$C:$C,A24)</f>
        <v/>
      </c>
    </row>
    <row r="25">
      <c r="A25" s="18" t="n">
        <v>1979</v>
      </c>
      <c r="B25" s="32">
        <f>SUMIFS(Raw_CPI!$D:$D,Raw_CPI!$B:$B,"GBR",Raw_CPI!$C:$C,A25)/100</f>
        <v/>
      </c>
      <c r="C25" s="41">
        <f>C24*(1+B25)</f>
        <v/>
      </c>
      <c r="D25" s="41">
        <f>C25/INDEX($C$5:$C$70,MATCH(BaseYear,$A$5:$A$70,0))*100</f>
        <v/>
      </c>
      <c r="E25" s="18">
        <f>COUNTIFS(Raw_CPI!$B:$B,"GBR",Raw_CPI!$C:$C,A25)</f>
        <v/>
      </c>
    </row>
    <row r="26">
      <c r="A26" s="18" t="n">
        <v>1980</v>
      </c>
      <c r="B26" s="32">
        <f>SUMIFS(Raw_CPI!$D:$D,Raw_CPI!$B:$B,"GBR",Raw_CPI!$C:$C,A26)/100</f>
        <v/>
      </c>
      <c r="C26" s="41">
        <f>C25*(1+B26)</f>
        <v/>
      </c>
      <c r="D26" s="41">
        <f>C26/INDEX($C$5:$C$70,MATCH(BaseYear,$A$5:$A$70,0))*100</f>
        <v/>
      </c>
      <c r="E26" s="18">
        <f>COUNTIFS(Raw_CPI!$B:$B,"GBR",Raw_CPI!$C:$C,A26)</f>
        <v/>
      </c>
    </row>
    <row r="27">
      <c r="A27" s="18" t="n">
        <v>1981</v>
      </c>
      <c r="B27" s="32">
        <f>SUMIFS(Raw_CPI!$D:$D,Raw_CPI!$B:$B,"GBR",Raw_CPI!$C:$C,A27)/100</f>
        <v/>
      </c>
      <c r="C27" s="41">
        <f>C26*(1+B27)</f>
        <v/>
      </c>
      <c r="D27" s="41">
        <f>C27/INDEX($C$5:$C$70,MATCH(BaseYear,$A$5:$A$70,0))*100</f>
        <v/>
      </c>
      <c r="E27" s="18">
        <f>COUNTIFS(Raw_CPI!$B:$B,"GBR",Raw_CPI!$C:$C,A27)</f>
        <v/>
      </c>
    </row>
    <row r="28">
      <c r="A28" s="18" t="n">
        <v>1982</v>
      </c>
      <c r="B28" s="32">
        <f>SUMIFS(Raw_CPI!$D:$D,Raw_CPI!$B:$B,"GBR",Raw_CPI!$C:$C,A28)/100</f>
        <v/>
      </c>
      <c r="C28" s="41">
        <f>C27*(1+B28)</f>
        <v/>
      </c>
      <c r="D28" s="41">
        <f>C28/INDEX($C$5:$C$70,MATCH(BaseYear,$A$5:$A$70,0))*100</f>
        <v/>
      </c>
      <c r="E28" s="18">
        <f>COUNTIFS(Raw_CPI!$B:$B,"GBR",Raw_CPI!$C:$C,A28)</f>
        <v/>
      </c>
    </row>
    <row r="29">
      <c r="A29" s="18" t="n">
        <v>1983</v>
      </c>
      <c r="B29" s="32">
        <f>SUMIFS(Raw_CPI!$D:$D,Raw_CPI!$B:$B,"GBR",Raw_CPI!$C:$C,A29)/100</f>
        <v/>
      </c>
      <c r="C29" s="41">
        <f>C28*(1+B29)</f>
        <v/>
      </c>
      <c r="D29" s="41">
        <f>C29/INDEX($C$5:$C$70,MATCH(BaseYear,$A$5:$A$70,0))*100</f>
        <v/>
      </c>
      <c r="E29" s="18">
        <f>COUNTIFS(Raw_CPI!$B:$B,"GBR",Raw_CPI!$C:$C,A29)</f>
        <v/>
      </c>
    </row>
    <row r="30">
      <c r="A30" s="18" t="n">
        <v>1984</v>
      </c>
      <c r="B30" s="32">
        <f>SUMIFS(Raw_CPI!$D:$D,Raw_CPI!$B:$B,"GBR",Raw_CPI!$C:$C,A30)/100</f>
        <v/>
      </c>
      <c r="C30" s="41">
        <f>C29*(1+B30)</f>
        <v/>
      </c>
      <c r="D30" s="41">
        <f>C30/INDEX($C$5:$C$70,MATCH(BaseYear,$A$5:$A$70,0))*100</f>
        <v/>
      </c>
      <c r="E30" s="18">
        <f>COUNTIFS(Raw_CPI!$B:$B,"GBR",Raw_CPI!$C:$C,A30)</f>
        <v/>
      </c>
    </row>
    <row r="31">
      <c r="A31" s="18" t="n">
        <v>1985</v>
      </c>
      <c r="B31" s="32">
        <f>SUMIFS(Raw_CPI!$D:$D,Raw_CPI!$B:$B,"GBR",Raw_CPI!$C:$C,A31)/100</f>
        <v/>
      </c>
      <c r="C31" s="41">
        <f>C30*(1+B31)</f>
        <v/>
      </c>
      <c r="D31" s="41">
        <f>C31/INDEX($C$5:$C$70,MATCH(BaseYear,$A$5:$A$70,0))*100</f>
        <v/>
      </c>
      <c r="E31" s="18">
        <f>COUNTIFS(Raw_CPI!$B:$B,"GBR",Raw_CPI!$C:$C,A31)</f>
        <v/>
      </c>
    </row>
    <row r="32">
      <c r="A32" s="18" t="n">
        <v>1986</v>
      </c>
      <c r="B32" s="32">
        <f>SUMIFS(Raw_CPI!$D:$D,Raw_CPI!$B:$B,"GBR",Raw_CPI!$C:$C,A32)/100</f>
        <v/>
      </c>
      <c r="C32" s="41">
        <f>C31*(1+B32)</f>
        <v/>
      </c>
      <c r="D32" s="41">
        <f>C32/INDEX($C$5:$C$70,MATCH(BaseYear,$A$5:$A$70,0))*100</f>
        <v/>
      </c>
      <c r="E32" s="18">
        <f>COUNTIFS(Raw_CPI!$B:$B,"GBR",Raw_CPI!$C:$C,A32)</f>
        <v/>
      </c>
    </row>
    <row r="33">
      <c r="A33" s="18" t="n">
        <v>1987</v>
      </c>
      <c r="B33" s="32">
        <f>SUMIFS(Raw_CPI!$D:$D,Raw_CPI!$B:$B,"GBR",Raw_CPI!$C:$C,A33)/100</f>
        <v/>
      </c>
      <c r="C33" s="41">
        <f>C32*(1+B33)</f>
        <v/>
      </c>
      <c r="D33" s="41">
        <f>C33/INDEX($C$5:$C$70,MATCH(BaseYear,$A$5:$A$70,0))*100</f>
        <v/>
      </c>
      <c r="E33" s="18">
        <f>COUNTIFS(Raw_CPI!$B:$B,"GBR",Raw_CPI!$C:$C,A33)</f>
        <v/>
      </c>
    </row>
    <row r="34">
      <c r="A34" s="18" t="n">
        <v>1988</v>
      </c>
      <c r="B34" s="32">
        <f>SUMIFS(Raw_CPI!$D:$D,Raw_CPI!$B:$B,"GBR",Raw_CPI!$C:$C,A34)/100</f>
        <v/>
      </c>
      <c r="C34" s="41">
        <f>C33*(1+B34)</f>
        <v/>
      </c>
      <c r="D34" s="41">
        <f>C34/INDEX($C$5:$C$70,MATCH(BaseYear,$A$5:$A$70,0))*100</f>
        <v/>
      </c>
      <c r="E34" s="18">
        <f>COUNTIFS(Raw_CPI!$B:$B,"GBR",Raw_CPI!$C:$C,A34)</f>
        <v/>
      </c>
    </row>
    <row r="35">
      <c r="A35" s="18" t="n">
        <v>1989</v>
      </c>
      <c r="B35" s="32">
        <f>SUMIFS(Raw_CPI!$D:$D,Raw_CPI!$B:$B,"GBR",Raw_CPI!$C:$C,A35)/100</f>
        <v/>
      </c>
      <c r="C35" s="41">
        <f>C34*(1+B35)</f>
        <v/>
      </c>
      <c r="D35" s="41">
        <f>C35/INDEX($C$5:$C$70,MATCH(BaseYear,$A$5:$A$70,0))*100</f>
        <v/>
      </c>
      <c r="E35" s="18">
        <f>COUNTIFS(Raw_CPI!$B:$B,"GBR",Raw_CPI!$C:$C,A35)</f>
        <v/>
      </c>
    </row>
    <row r="36">
      <c r="A36" s="18" t="n">
        <v>1990</v>
      </c>
      <c r="B36" s="32">
        <f>SUMIFS(Raw_CPI!$D:$D,Raw_CPI!$B:$B,"GBR",Raw_CPI!$C:$C,A36)/100</f>
        <v/>
      </c>
      <c r="C36" s="41">
        <f>C35*(1+B36)</f>
        <v/>
      </c>
      <c r="D36" s="41">
        <f>C36/INDEX($C$5:$C$70,MATCH(BaseYear,$A$5:$A$70,0))*100</f>
        <v/>
      </c>
      <c r="E36" s="18">
        <f>COUNTIFS(Raw_CPI!$B:$B,"GBR",Raw_CPI!$C:$C,A36)</f>
        <v/>
      </c>
    </row>
    <row r="37">
      <c r="A37" s="18" t="n">
        <v>1991</v>
      </c>
      <c r="B37" s="32">
        <f>SUMIFS(Raw_CPI!$D:$D,Raw_CPI!$B:$B,"GBR",Raw_CPI!$C:$C,A37)/100</f>
        <v/>
      </c>
      <c r="C37" s="41">
        <f>C36*(1+B37)</f>
        <v/>
      </c>
      <c r="D37" s="41">
        <f>C37/INDEX($C$5:$C$70,MATCH(BaseYear,$A$5:$A$70,0))*100</f>
        <v/>
      </c>
      <c r="E37" s="18">
        <f>COUNTIFS(Raw_CPI!$B:$B,"GBR",Raw_CPI!$C:$C,A37)</f>
        <v/>
      </c>
    </row>
    <row r="38">
      <c r="A38" s="18" t="n">
        <v>1992</v>
      </c>
      <c r="B38" s="32">
        <f>SUMIFS(Raw_CPI!$D:$D,Raw_CPI!$B:$B,"GBR",Raw_CPI!$C:$C,A38)/100</f>
        <v/>
      </c>
      <c r="C38" s="41">
        <f>C37*(1+B38)</f>
        <v/>
      </c>
      <c r="D38" s="41">
        <f>C38/INDEX($C$5:$C$70,MATCH(BaseYear,$A$5:$A$70,0))*100</f>
        <v/>
      </c>
      <c r="E38" s="18">
        <f>COUNTIFS(Raw_CPI!$B:$B,"GBR",Raw_CPI!$C:$C,A38)</f>
        <v/>
      </c>
    </row>
    <row r="39">
      <c r="A39" s="18" t="n">
        <v>1993</v>
      </c>
      <c r="B39" s="32">
        <f>SUMIFS(Raw_CPI!$D:$D,Raw_CPI!$B:$B,"GBR",Raw_CPI!$C:$C,A39)/100</f>
        <v/>
      </c>
      <c r="C39" s="41">
        <f>C38*(1+B39)</f>
        <v/>
      </c>
      <c r="D39" s="41">
        <f>C39/INDEX($C$5:$C$70,MATCH(BaseYear,$A$5:$A$70,0))*100</f>
        <v/>
      </c>
      <c r="E39" s="18">
        <f>COUNTIFS(Raw_CPI!$B:$B,"GBR",Raw_CPI!$C:$C,A39)</f>
        <v/>
      </c>
    </row>
    <row r="40">
      <c r="A40" s="18" t="n">
        <v>1994</v>
      </c>
      <c r="B40" s="32">
        <f>SUMIFS(Raw_CPI!$D:$D,Raw_CPI!$B:$B,"GBR",Raw_CPI!$C:$C,A40)/100</f>
        <v/>
      </c>
      <c r="C40" s="41">
        <f>C39*(1+B40)</f>
        <v/>
      </c>
      <c r="D40" s="41">
        <f>C40/INDEX($C$5:$C$70,MATCH(BaseYear,$A$5:$A$70,0))*100</f>
        <v/>
      </c>
      <c r="E40" s="18">
        <f>COUNTIFS(Raw_CPI!$B:$B,"GBR",Raw_CPI!$C:$C,A40)</f>
        <v/>
      </c>
    </row>
    <row r="41">
      <c r="A41" s="18" t="n">
        <v>1995</v>
      </c>
      <c r="B41" s="32">
        <f>SUMIFS(Raw_CPI!$D:$D,Raw_CPI!$B:$B,"GBR",Raw_CPI!$C:$C,A41)/100</f>
        <v/>
      </c>
      <c r="C41" s="41">
        <f>C40*(1+B41)</f>
        <v/>
      </c>
      <c r="D41" s="41">
        <f>C41/INDEX($C$5:$C$70,MATCH(BaseYear,$A$5:$A$70,0))*100</f>
        <v/>
      </c>
      <c r="E41" s="18">
        <f>COUNTIFS(Raw_CPI!$B:$B,"GBR",Raw_CPI!$C:$C,A41)</f>
        <v/>
      </c>
    </row>
    <row r="42">
      <c r="A42" s="18" t="n">
        <v>1996</v>
      </c>
      <c r="B42" s="32">
        <f>SUMIFS(Raw_CPI!$D:$D,Raw_CPI!$B:$B,"GBR",Raw_CPI!$C:$C,A42)/100</f>
        <v/>
      </c>
      <c r="C42" s="41">
        <f>C41*(1+B42)</f>
        <v/>
      </c>
      <c r="D42" s="41">
        <f>C42/INDEX($C$5:$C$70,MATCH(BaseYear,$A$5:$A$70,0))*100</f>
        <v/>
      </c>
      <c r="E42" s="18">
        <f>COUNTIFS(Raw_CPI!$B:$B,"GBR",Raw_CPI!$C:$C,A42)</f>
        <v/>
      </c>
    </row>
    <row r="43">
      <c r="A43" s="18" t="n">
        <v>1997</v>
      </c>
      <c r="B43" s="32">
        <f>SUMIFS(Raw_CPI!$D:$D,Raw_CPI!$B:$B,"GBR",Raw_CPI!$C:$C,A43)/100</f>
        <v/>
      </c>
      <c r="C43" s="41">
        <f>C42*(1+B43)</f>
        <v/>
      </c>
      <c r="D43" s="41">
        <f>C43/INDEX($C$5:$C$70,MATCH(BaseYear,$A$5:$A$70,0))*100</f>
        <v/>
      </c>
      <c r="E43" s="18">
        <f>COUNTIFS(Raw_CPI!$B:$B,"GBR",Raw_CPI!$C:$C,A43)</f>
        <v/>
      </c>
    </row>
    <row r="44">
      <c r="A44" s="18" t="n">
        <v>1998</v>
      </c>
      <c r="B44" s="32">
        <f>SUMIFS(Raw_CPI!$D:$D,Raw_CPI!$B:$B,"GBR",Raw_CPI!$C:$C,A44)/100</f>
        <v/>
      </c>
      <c r="C44" s="41">
        <f>C43*(1+B44)</f>
        <v/>
      </c>
      <c r="D44" s="41">
        <f>C44/INDEX($C$5:$C$70,MATCH(BaseYear,$A$5:$A$70,0))*100</f>
        <v/>
      </c>
      <c r="E44" s="18">
        <f>COUNTIFS(Raw_CPI!$B:$B,"GBR",Raw_CPI!$C:$C,A44)</f>
        <v/>
      </c>
    </row>
    <row r="45">
      <c r="A45" s="18" t="n">
        <v>1999</v>
      </c>
      <c r="B45" s="32">
        <f>SUMIFS(Raw_CPI!$D:$D,Raw_CPI!$B:$B,"GBR",Raw_CPI!$C:$C,A45)/100</f>
        <v/>
      </c>
      <c r="C45" s="41">
        <f>C44*(1+B45)</f>
        <v/>
      </c>
      <c r="D45" s="41">
        <f>C45/INDEX($C$5:$C$70,MATCH(BaseYear,$A$5:$A$70,0))*100</f>
        <v/>
      </c>
      <c r="E45" s="18">
        <f>COUNTIFS(Raw_CPI!$B:$B,"GBR",Raw_CPI!$C:$C,A45)</f>
        <v/>
      </c>
    </row>
    <row r="46">
      <c r="A46" s="18" t="n">
        <v>2000</v>
      </c>
      <c r="B46" s="32">
        <f>SUMIFS(Raw_CPI!$D:$D,Raw_CPI!$B:$B,"GBR",Raw_CPI!$C:$C,A46)/100</f>
        <v/>
      </c>
      <c r="C46" s="41">
        <f>C45*(1+B46)</f>
        <v/>
      </c>
      <c r="D46" s="41">
        <f>C46/INDEX($C$5:$C$70,MATCH(BaseYear,$A$5:$A$70,0))*100</f>
        <v/>
      </c>
      <c r="E46" s="18">
        <f>COUNTIFS(Raw_CPI!$B:$B,"GBR",Raw_CPI!$C:$C,A46)</f>
        <v/>
      </c>
    </row>
    <row r="47">
      <c r="A47" s="18" t="n">
        <v>2001</v>
      </c>
      <c r="B47" s="32">
        <f>SUMIFS(Raw_CPI!$D:$D,Raw_CPI!$B:$B,"GBR",Raw_CPI!$C:$C,A47)/100</f>
        <v/>
      </c>
      <c r="C47" s="41">
        <f>C46*(1+B47)</f>
        <v/>
      </c>
      <c r="D47" s="41">
        <f>C47/INDEX($C$5:$C$70,MATCH(BaseYear,$A$5:$A$70,0))*100</f>
        <v/>
      </c>
      <c r="E47" s="18">
        <f>COUNTIFS(Raw_CPI!$B:$B,"GBR",Raw_CPI!$C:$C,A47)</f>
        <v/>
      </c>
    </row>
    <row r="48">
      <c r="A48" s="18" t="n">
        <v>2002</v>
      </c>
      <c r="B48" s="32">
        <f>SUMIFS(Raw_CPI!$D:$D,Raw_CPI!$B:$B,"GBR",Raw_CPI!$C:$C,A48)/100</f>
        <v/>
      </c>
      <c r="C48" s="41">
        <f>C47*(1+B48)</f>
        <v/>
      </c>
      <c r="D48" s="41">
        <f>C48/INDEX($C$5:$C$70,MATCH(BaseYear,$A$5:$A$70,0))*100</f>
        <v/>
      </c>
      <c r="E48" s="18">
        <f>COUNTIFS(Raw_CPI!$B:$B,"GBR",Raw_CPI!$C:$C,A48)</f>
        <v/>
      </c>
    </row>
    <row r="49">
      <c r="A49" s="18" t="n">
        <v>2003</v>
      </c>
      <c r="B49" s="32">
        <f>SUMIFS(Raw_CPI!$D:$D,Raw_CPI!$B:$B,"GBR",Raw_CPI!$C:$C,A49)/100</f>
        <v/>
      </c>
      <c r="C49" s="41">
        <f>C48*(1+B49)</f>
        <v/>
      </c>
      <c r="D49" s="41">
        <f>C49/INDEX($C$5:$C$70,MATCH(BaseYear,$A$5:$A$70,0))*100</f>
        <v/>
      </c>
      <c r="E49" s="18">
        <f>COUNTIFS(Raw_CPI!$B:$B,"GBR",Raw_CPI!$C:$C,A49)</f>
        <v/>
      </c>
    </row>
    <row r="50">
      <c r="A50" s="18" t="n">
        <v>2004</v>
      </c>
      <c r="B50" s="32">
        <f>SUMIFS(Raw_CPI!$D:$D,Raw_CPI!$B:$B,"GBR",Raw_CPI!$C:$C,A50)/100</f>
        <v/>
      </c>
      <c r="C50" s="41">
        <f>C49*(1+B50)</f>
        <v/>
      </c>
      <c r="D50" s="41">
        <f>C50/INDEX($C$5:$C$70,MATCH(BaseYear,$A$5:$A$70,0))*100</f>
        <v/>
      </c>
      <c r="E50" s="18">
        <f>COUNTIFS(Raw_CPI!$B:$B,"GBR",Raw_CPI!$C:$C,A50)</f>
        <v/>
      </c>
    </row>
    <row r="51">
      <c r="A51" s="18" t="n">
        <v>2005</v>
      </c>
      <c r="B51" s="32">
        <f>SUMIFS(Raw_CPI!$D:$D,Raw_CPI!$B:$B,"GBR",Raw_CPI!$C:$C,A51)/100</f>
        <v/>
      </c>
      <c r="C51" s="41">
        <f>C50*(1+B51)</f>
        <v/>
      </c>
      <c r="D51" s="41">
        <f>C51/INDEX($C$5:$C$70,MATCH(BaseYear,$A$5:$A$70,0))*100</f>
        <v/>
      </c>
      <c r="E51" s="18">
        <f>COUNTIFS(Raw_CPI!$B:$B,"GBR",Raw_CPI!$C:$C,A51)</f>
        <v/>
      </c>
    </row>
    <row r="52">
      <c r="A52" s="18" t="n">
        <v>2006</v>
      </c>
      <c r="B52" s="32">
        <f>SUMIFS(Raw_CPI!$D:$D,Raw_CPI!$B:$B,"GBR",Raw_CPI!$C:$C,A52)/100</f>
        <v/>
      </c>
      <c r="C52" s="41">
        <f>C51*(1+B52)</f>
        <v/>
      </c>
      <c r="D52" s="41">
        <f>C52/INDEX($C$5:$C$70,MATCH(BaseYear,$A$5:$A$70,0))*100</f>
        <v/>
      </c>
      <c r="E52" s="18">
        <f>COUNTIFS(Raw_CPI!$B:$B,"GBR",Raw_CPI!$C:$C,A52)</f>
        <v/>
      </c>
    </row>
    <row r="53">
      <c r="A53" s="18" t="n">
        <v>2007</v>
      </c>
      <c r="B53" s="32">
        <f>SUMIFS(Raw_CPI!$D:$D,Raw_CPI!$B:$B,"GBR",Raw_CPI!$C:$C,A53)/100</f>
        <v/>
      </c>
      <c r="C53" s="41">
        <f>C52*(1+B53)</f>
        <v/>
      </c>
      <c r="D53" s="41">
        <f>C53/INDEX($C$5:$C$70,MATCH(BaseYear,$A$5:$A$70,0))*100</f>
        <v/>
      </c>
      <c r="E53" s="18">
        <f>COUNTIFS(Raw_CPI!$B:$B,"GBR",Raw_CPI!$C:$C,A53)</f>
        <v/>
      </c>
    </row>
    <row r="54">
      <c r="A54" s="18" t="n">
        <v>2008</v>
      </c>
      <c r="B54" s="32">
        <f>SUMIFS(Raw_CPI!$D:$D,Raw_CPI!$B:$B,"GBR",Raw_CPI!$C:$C,A54)/100</f>
        <v/>
      </c>
      <c r="C54" s="41">
        <f>C53*(1+B54)</f>
        <v/>
      </c>
      <c r="D54" s="41">
        <f>C54/INDEX($C$5:$C$70,MATCH(BaseYear,$A$5:$A$70,0))*100</f>
        <v/>
      </c>
      <c r="E54" s="18">
        <f>COUNTIFS(Raw_CPI!$B:$B,"GBR",Raw_CPI!$C:$C,A54)</f>
        <v/>
      </c>
    </row>
    <row r="55">
      <c r="A55" s="18" t="n">
        <v>2009</v>
      </c>
      <c r="B55" s="32">
        <f>SUMIFS(Raw_CPI!$D:$D,Raw_CPI!$B:$B,"GBR",Raw_CPI!$C:$C,A55)/100</f>
        <v/>
      </c>
      <c r="C55" s="41">
        <f>C54*(1+B55)</f>
        <v/>
      </c>
      <c r="D55" s="41">
        <f>C55/INDEX($C$5:$C$70,MATCH(BaseYear,$A$5:$A$70,0))*100</f>
        <v/>
      </c>
      <c r="E55" s="18">
        <f>COUNTIFS(Raw_CPI!$B:$B,"GBR",Raw_CPI!$C:$C,A55)</f>
        <v/>
      </c>
    </row>
    <row r="56">
      <c r="A56" s="18" t="n">
        <v>2010</v>
      </c>
      <c r="B56" s="32">
        <f>SUMIFS(Raw_CPI!$D:$D,Raw_CPI!$B:$B,"GBR",Raw_CPI!$C:$C,A56)/100</f>
        <v/>
      </c>
      <c r="C56" s="41">
        <f>C55*(1+B56)</f>
        <v/>
      </c>
      <c r="D56" s="41">
        <f>C56/INDEX($C$5:$C$70,MATCH(BaseYear,$A$5:$A$70,0))*100</f>
        <v/>
      </c>
      <c r="E56" s="18">
        <f>COUNTIFS(Raw_CPI!$B:$B,"GBR",Raw_CPI!$C:$C,A56)</f>
        <v/>
      </c>
    </row>
    <row r="57">
      <c r="A57" s="18" t="n">
        <v>2011</v>
      </c>
      <c r="B57" s="32">
        <f>SUMIFS(Raw_CPI!$D:$D,Raw_CPI!$B:$B,"GBR",Raw_CPI!$C:$C,A57)/100</f>
        <v/>
      </c>
      <c r="C57" s="41">
        <f>C56*(1+B57)</f>
        <v/>
      </c>
      <c r="D57" s="41">
        <f>C57/INDEX($C$5:$C$70,MATCH(BaseYear,$A$5:$A$70,0))*100</f>
        <v/>
      </c>
      <c r="E57" s="18">
        <f>COUNTIFS(Raw_CPI!$B:$B,"GBR",Raw_CPI!$C:$C,A57)</f>
        <v/>
      </c>
    </row>
    <row r="58">
      <c r="A58" s="18" t="n">
        <v>2012</v>
      </c>
      <c r="B58" s="32">
        <f>SUMIFS(Raw_CPI!$D:$D,Raw_CPI!$B:$B,"GBR",Raw_CPI!$C:$C,A58)/100</f>
        <v/>
      </c>
      <c r="C58" s="41">
        <f>C57*(1+B58)</f>
        <v/>
      </c>
      <c r="D58" s="41">
        <f>C58/INDEX($C$5:$C$70,MATCH(BaseYear,$A$5:$A$70,0))*100</f>
        <v/>
      </c>
      <c r="E58" s="18">
        <f>COUNTIFS(Raw_CPI!$B:$B,"GBR",Raw_CPI!$C:$C,A58)</f>
        <v/>
      </c>
    </row>
    <row r="59">
      <c r="A59" s="18" t="n">
        <v>2013</v>
      </c>
      <c r="B59" s="32">
        <f>SUMIFS(Raw_CPI!$D:$D,Raw_CPI!$B:$B,"GBR",Raw_CPI!$C:$C,A59)/100</f>
        <v/>
      </c>
      <c r="C59" s="41">
        <f>C58*(1+B59)</f>
        <v/>
      </c>
      <c r="D59" s="41">
        <f>C59/INDEX($C$5:$C$70,MATCH(BaseYear,$A$5:$A$70,0))*100</f>
        <v/>
      </c>
      <c r="E59" s="18">
        <f>COUNTIFS(Raw_CPI!$B:$B,"GBR",Raw_CPI!$C:$C,A59)</f>
        <v/>
      </c>
    </row>
    <row r="60">
      <c r="A60" s="18" t="n">
        <v>2014</v>
      </c>
      <c r="B60" s="32">
        <f>SUMIFS(Raw_CPI!$D:$D,Raw_CPI!$B:$B,"GBR",Raw_CPI!$C:$C,A60)/100</f>
        <v/>
      </c>
      <c r="C60" s="41">
        <f>C59*(1+B60)</f>
        <v/>
      </c>
      <c r="D60" s="41">
        <f>C60/INDEX($C$5:$C$70,MATCH(BaseYear,$A$5:$A$70,0))*100</f>
        <v/>
      </c>
      <c r="E60" s="18">
        <f>COUNTIFS(Raw_CPI!$B:$B,"GBR",Raw_CPI!$C:$C,A60)</f>
        <v/>
      </c>
    </row>
    <row r="61">
      <c r="A61" s="18" t="n">
        <v>2015</v>
      </c>
      <c r="B61" s="32">
        <f>SUMIFS(Raw_CPI!$D:$D,Raw_CPI!$B:$B,"GBR",Raw_CPI!$C:$C,A61)/100</f>
        <v/>
      </c>
      <c r="C61" s="41">
        <f>C60*(1+B61)</f>
        <v/>
      </c>
      <c r="D61" s="41">
        <f>C61/INDEX($C$5:$C$70,MATCH(BaseYear,$A$5:$A$70,0))*100</f>
        <v/>
      </c>
      <c r="E61" s="18">
        <f>COUNTIFS(Raw_CPI!$B:$B,"GBR",Raw_CPI!$C:$C,A61)</f>
        <v/>
      </c>
    </row>
    <row r="62">
      <c r="A62" s="18" t="n">
        <v>2016</v>
      </c>
      <c r="B62" s="32">
        <f>SUMIFS(Raw_CPI!$D:$D,Raw_CPI!$B:$B,"GBR",Raw_CPI!$C:$C,A62)/100</f>
        <v/>
      </c>
      <c r="C62" s="41">
        <f>C61*(1+B62)</f>
        <v/>
      </c>
      <c r="D62" s="41">
        <f>C62/INDEX($C$5:$C$70,MATCH(BaseYear,$A$5:$A$70,0))*100</f>
        <v/>
      </c>
      <c r="E62" s="18">
        <f>COUNTIFS(Raw_CPI!$B:$B,"GBR",Raw_CPI!$C:$C,A62)</f>
        <v/>
      </c>
    </row>
    <row r="63">
      <c r="A63" s="18" t="n">
        <v>2017</v>
      </c>
      <c r="B63" s="32">
        <f>SUMIFS(Raw_CPI!$D:$D,Raw_CPI!$B:$B,"GBR",Raw_CPI!$C:$C,A63)/100</f>
        <v/>
      </c>
      <c r="C63" s="41">
        <f>C62*(1+B63)</f>
        <v/>
      </c>
      <c r="D63" s="41">
        <f>C63/INDEX($C$5:$C$70,MATCH(BaseYear,$A$5:$A$70,0))*100</f>
        <v/>
      </c>
      <c r="E63" s="18">
        <f>COUNTIFS(Raw_CPI!$B:$B,"GBR",Raw_CPI!$C:$C,A63)</f>
        <v/>
      </c>
    </row>
    <row r="64">
      <c r="A64" s="18" t="n">
        <v>2018</v>
      </c>
      <c r="B64" s="32">
        <f>SUMIFS(Raw_CPI!$D:$D,Raw_CPI!$B:$B,"GBR",Raw_CPI!$C:$C,A64)/100</f>
        <v/>
      </c>
      <c r="C64" s="41">
        <f>C63*(1+B64)</f>
        <v/>
      </c>
      <c r="D64" s="41">
        <f>C64/INDEX($C$5:$C$70,MATCH(BaseYear,$A$5:$A$70,0))*100</f>
        <v/>
      </c>
      <c r="E64" s="18">
        <f>COUNTIFS(Raw_CPI!$B:$B,"GBR",Raw_CPI!$C:$C,A64)</f>
        <v/>
      </c>
    </row>
    <row r="65">
      <c r="A65" s="18" t="n">
        <v>2019</v>
      </c>
      <c r="B65" s="32">
        <f>SUMIFS(Raw_CPI!$D:$D,Raw_CPI!$B:$B,"GBR",Raw_CPI!$C:$C,A65)/100</f>
        <v/>
      </c>
      <c r="C65" s="41">
        <f>C64*(1+B65)</f>
        <v/>
      </c>
      <c r="D65" s="41">
        <f>C65/INDEX($C$5:$C$70,MATCH(BaseYear,$A$5:$A$70,0))*100</f>
        <v/>
      </c>
      <c r="E65" s="18">
        <f>COUNTIFS(Raw_CPI!$B:$B,"GBR",Raw_CPI!$C:$C,A65)</f>
        <v/>
      </c>
    </row>
    <row r="66">
      <c r="A66" s="18" t="n">
        <v>2020</v>
      </c>
      <c r="B66" s="32">
        <f>SUMIFS(Raw_CPI!$D:$D,Raw_CPI!$B:$B,"GBR",Raw_CPI!$C:$C,A66)/100</f>
        <v/>
      </c>
      <c r="C66" s="41">
        <f>C65*(1+B66)</f>
        <v/>
      </c>
      <c r="D66" s="41">
        <f>C66/INDEX($C$5:$C$70,MATCH(BaseYear,$A$5:$A$70,0))*100</f>
        <v/>
      </c>
      <c r="E66" s="18">
        <f>COUNTIFS(Raw_CPI!$B:$B,"GBR",Raw_CPI!$C:$C,A66)</f>
        <v/>
      </c>
    </row>
    <row r="67">
      <c r="A67" s="18" t="n">
        <v>2021</v>
      </c>
      <c r="B67" s="32">
        <f>SUMIFS(Raw_CPI!$D:$D,Raw_CPI!$B:$B,"GBR",Raw_CPI!$C:$C,A67)/100</f>
        <v/>
      </c>
      <c r="C67" s="41">
        <f>C66*(1+B67)</f>
        <v/>
      </c>
      <c r="D67" s="41">
        <f>C67/INDEX($C$5:$C$70,MATCH(BaseYear,$A$5:$A$70,0))*100</f>
        <v/>
      </c>
      <c r="E67" s="18">
        <f>COUNTIFS(Raw_CPI!$B:$B,"GBR",Raw_CPI!$C:$C,A67)</f>
        <v/>
      </c>
    </row>
    <row r="68">
      <c r="A68" s="18" t="n">
        <v>2022</v>
      </c>
      <c r="B68" s="32">
        <f>SUMIFS(Raw_CPI!$D:$D,Raw_CPI!$B:$B,"GBR",Raw_CPI!$C:$C,A68)/100</f>
        <v/>
      </c>
      <c r="C68" s="41">
        <f>C67*(1+B68)</f>
        <v/>
      </c>
      <c r="D68" s="41">
        <f>C68/INDEX($C$5:$C$70,MATCH(BaseYear,$A$5:$A$70,0))*100</f>
        <v/>
      </c>
      <c r="E68" s="18">
        <f>COUNTIFS(Raw_CPI!$B:$B,"GBR",Raw_CPI!$C:$C,A68)</f>
        <v/>
      </c>
    </row>
    <row r="69">
      <c r="A69" s="18" t="n">
        <v>2023</v>
      </c>
      <c r="B69" s="32">
        <f>SUMIFS(Raw_CPI!$D:$D,Raw_CPI!$B:$B,"GBR",Raw_CPI!$C:$C,A69)/100</f>
        <v/>
      </c>
      <c r="C69" s="41">
        <f>C68*(1+B69)</f>
        <v/>
      </c>
      <c r="D69" s="41">
        <f>C69/INDEX($C$5:$C$70,MATCH(BaseYear,$A$5:$A$70,0))*100</f>
        <v/>
      </c>
      <c r="E69" s="18">
        <f>COUNTIFS(Raw_CPI!$B:$B,"GBR",Raw_CPI!$C:$C,A69)</f>
        <v/>
      </c>
    </row>
    <row r="70">
      <c r="A70" s="18" t="n">
        <v>2024</v>
      </c>
      <c r="B70" s="32">
        <f>SUMIFS(Raw_CPI!$D:$D,Raw_CPI!$B:$B,"GBR",Raw_CPI!$C:$C,A70)/100</f>
        <v/>
      </c>
      <c r="C70" s="41">
        <f>C69*(1+B70)</f>
        <v/>
      </c>
      <c r="D70" s="41">
        <f>C70/INDEX($C$5:$C$70,MATCH(BaseYear,$A$5:$A$70,0))*100</f>
        <v/>
      </c>
      <c r="E70" s="18">
        <f>COUNTIFS(Raw_CPI!$B:$B,"GBR",Raw_CPI!$C:$C,A70)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6845F"/>
    <outlinePr summaryBelow="1" summaryRight="1"/>
    <pageSetUpPr/>
  </sheetPr>
  <dimension ref="A1:D12"/>
  <sheetViews>
    <sheetView showGridLines="0" zoomScale="10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9" customWidth="1" min="3" max="3"/>
    <col width="70" customWidth="1" min="4" max="4"/>
  </cols>
  <sheetData>
    <row r="1">
      <c r="A1" s="31" t="inlineStr">
        <is>
          <t>Reconciliation checks</t>
        </is>
      </c>
    </row>
    <row r="2">
      <c r="A2" s="2" t="inlineStr">
        <is>
          <t>Each test compares the calculation sheets with the raw data. PASS or FAIL updates with every recalculation.</t>
        </is>
      </c>
    </row>
    <row r="4" ht="30" customHeight="1">
      <c r="A4" s="17" t="inlineStr">
        <is>
          <t>Check</t>
        </is>
      </c>
      <c r="B4" s="17" t="inlineStr">
        <is>
          <t>Result</t>
        </is>
      </c>
      <c r="C4" s="17" t="inlineStr">
        <is>
          <t>Status</t>
        </is>
      </c>
      <c r="D4" s="17" t="inlineStr">
        <is>
          <t>What it proves</t>
        </is>
      </c>
    </row>
    <row r="5">
      <c r="A5" s="42" t="inlineStr">
        <is>
          <t>Quarters in the calculation = rows in the raw file</t>
        </is>
      </c>
      <c r="B5" s="42">
        <f>COUNT(Q_Price)&amp;" of "&amp;COUNT(Raw_Nationwide!B:B)</f>
        <v/>
      </c>
      <c r="C5" s="42">
        <f>IF(COUNT(Q_Price)=COUNT(Raw_Nationwide!B:B),"PASS","FAIL")</f>
        <v/>
      </c>
      <c r="D5" s="42" t="inlineStr">
        <is>
          <t>No quarter dropped or duplicated.</t>
        </is>
      </c>
    </row>
    <row r="6">
      <c r="A6" s="42" t="inlineStr">
        <is>
          <t>Sum of cash prices = sum in the raw file</t>
        </is>
      </c>
      <c r="B6" s="42">
        <f>SUM(Q_Price)-SUM(Raw_Nationwide!B:B)</f>
        <v/>
      </c>
      <c r="C6" s="42">
        <f>IF(ABS(B6)&lt;0.5,"PASS","FAIL")</f>
        <v/>
      </c>
      <c r="D6" s="42" t="inlineStr">
        <is>
          <t>The calculation reads every price unchanged.</t>
        </is>
      </c>
    </row>
    <row r="7">
      <c r="A7" s="42" t="inlineStr">
        <is>
          <t>Largest gap between our year-on-year change and Nationwide's (pp)</t>
        </is>
      </c>
      <c r="B7" s="42">
        <f>MAX(MAX(Q_Diff),-MIN(Q_Diff))</f>
        <v/>
      </c>
      <c r="C7" s="42">
        <f>IF(B7&lt;0.1,"PASS","FAIL")</f>
        <v/>
      </c>
      <c r="D7" s="42" t="inlineStr">
        <is>
          <t>Our change formula reproduces Nationwide's published figure to within rounding (0.1 percentage points).</t>
        </is>
      </c>
    </row>
    <row r="8">
      <c r="A8" s="42" t="inlineStr">
        <is>
          <t>UK inflation years found once each in the raw CPI file</t>
        </is>
      </c>
      <c r="B8" s="42">
        <f>SUM(CPI!E6:E70)&amp;" of 65"</f>
        <v/>
      </c>
      <c r="C8" s="42">
        <f>IF(AND(SUM(CPI!E6:E70)=65,MAX(CPI!E6:E70)=1),"PASS","FAIL")</f>
        <v/>
      </c>
      <c r="D8" s="42" t="inlineStr">
        <is>
          <t>Every year from 1960 matches exactly one World Bank row for the UK.</t>
        </is>
      </c>
    </row>
    <row r="9">
      <c r="A9" s="42" t="inlineStr">
        <is>
          <t>Price index in the base year = 100</t>
        </is>
      </c>
      <c r="B9" s="43">
        <f>INDEX(CPI_Index,MATCH(BaseYear,CPI_Year,0))</f>
        <v/>
      </c>
      <c r="C9" s="42">
        <f>IF(ABS(B9-100)&lt;0.000001,"PASS","FAIL")</f>
        <v/>
      </c>
      <c r="D9" s="42" t="inlineStr">
        <is>
          <t>Real prices are in base-year pounds.</t>
        </is>
      </c>
    </row>
    <row r="10">
      <c r="A10" s="42" t="inlineStr">
        <is>
          <t>Real price = cash price in the base year</t>
        </is>
      </c>
      <c r="B10" s="42">
        <f>INDEX(A_Real,MATCH(BaseYear,A_Year,0))-INDEX(A_Price,MATCH(BaseYear,A_Year,0))</f>
        <v/>
      </c>
      <c r="C10" s="42">
        <f>IF(ABS(B10)&lt;0.5,"PASS","FAIL")</f>
        <v/>
      </c>
      <c r="D10" s="42" t="inlineStr">
        <is>
          <t>Deflating is consistent: in the base year, nothing changes.</t>
        </is>
      </c>
    </row>
    <row r="11">
      <c r="A11" s="42" t="inlineStr">
        <is>
          <t>Quarters with a real price</t>
        </is>
      </c>
      <c r="B11" s="42">
        <f>COUNT(Q_Real)</f>
        <v/>
      </c>
      <c r="C11" s="42">
        <f>IF(COUNT(Q_Real)=COUNTIFS(Q_Year,"&gt;=1960",Q_Year,"&lt;=2024"),"PASS","FAIL")</f>
        <v/>
      </c>
      <c r="D11" s="42" t="inlineStr">
        <is>
          <t>Every quarter from 1960 to 2024 has a real price; later quarters are left blank on purpose.</t>
        </is>
      </c>
    </row>
    <row r="12">
      <c r="A12" s="42" t="inlineStr">
        <is>
          <t>Mortgage payment check</t>
        </is>
      </c>
      <c r="B12" s="42">
        <f>Mortgage!C14*Mortgage!C9*12-Mortgage!C12</f>
        <v/>
      </c>
      <c r="C12" s="42">
        <f>IF(B12&gt;0,"PASS","FAIL")</f>
        <v/>
      </c>
      <c r="D12" s="42" t="inlineStr">
        <is>
          <t>Total repaid over the term is more than the loan, so the PMT signs are right.</t>
        </is>
      </c>
    </row>
  </sheetData>
  <conditionalFormatting sqref="C5:C12">
    <cfRule type="cellIs" priority="1" operator="equal" dxfId="1">
      <formula>"PASS"</formula>
    </cfRule>
    <cfRule type="cellIs" priority="2" operator="equal" dxfId="2">
      <formula>"FAIL"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6BEB9"/>
    <outlinePr summaryBelow="1" summaryRight="1"/>
    <pageSetUpPr/>
  </sheetPr>
  <dimension ref="A1:I29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0" customHeight="1">
      <c r="A1" s="17" t="inlineStr">
        <is>
          <t>Date</t>
        </is>
      </c>
      <c r="B1" s="17" t="inlineStr">
        <is>
          <t>Price (All)</t>
        </is>
      </c>
      <c r="C1" s="17" t="inlineStr">
        <is>
          <t>Change (All)</t>
        </is>
      </c>
      <c r="D1" s="17" t="inlineStr">
        <is>
          <t>Price (New)</t>
        </is>
      </c>
      <c r="E1" s="17" t="inlineStr">
        <is>
          <t>Change (New)</t>
        </is>
      </c>
      <c r="F1" s="17" t="inlineStr">
        <is>
          <t>Price (Modern)</t>
        </is>
      </c>
      <c r="G1" s="17" t="inlineStr">
        <is>
          <t>Change (Modern)</t>
        </is>
      </c>
      <c r="H1" s="17" t="inlineStr">
        <is>
          <t>Price (Older)</t>
        </is>
      </c>
      <c r="I1" s="17" t="inlineStr">
        <is>
          <t>Change (Older)</t>
        </is>
      </c>
    </row>
    <row r="2">
      <c r="A2" s="44" t="n">
        <v>19391</v>
      </c>
      <c r="B2" t="n">
        <v>1891</v>
      </c>
      <c r="D2" t="n">
        <v>2107</v>
      </c>
      <c r="F2" t="n">
        <v>2002</v>
      </c>
      <c r="H2" t="n">
        <v>1542</v>
      </c>
    </row>
    <row r="3">
      <c r="A3" s="44" t="n">
        <v>19480</v>
      </c>
      <c r="B3" t="n">
        <v>1891</v>
      </c>
      <c r="D3" t="n">
        <v>2107</v>
      </c>
      <c r="F3" t="n">
        <v>2002</v>
      </c>
      <c r="H3" t="n">
        <v>1542</v>
      </c>
    </row>
    <row r="4">
      <c r="A4" s="44" t="n">
        <v>19572</v>
      </c>
      <c r="B4" t="n">
        <v>1881</v>
      </c>
      <c r="D4" t="n">
        <v>2117</v>
      </c>
      <c r="F4" t="n">
        <v>2002</v>
      </c>
      <c r="H4" t="n">
        <v>1524</v>
      </c>
    </row>
    <row r="5">
      <c r="A5" s="44" t="n">
        <v>19664</v>
      </c>
      <c r="B5" t="n">
        <v>1872</v>
      </c>
      <c r="C5" t="n">
        <v>-1</v>
      </c>
      <c r="D5" t="n">
        <v>2117</v>
      </c>
      <c r="E5" t="n">
        <v>0.5</v>
      </c>
      <c r="F5" t="n">
        <v>1975</v>
      </c>
      <c r="G5" t="n">
        <v>-2.2</v>
      </c>
      <c r="H5" t="n">
        <v>1542</v>
      </c>
      <c r="I5" t="n">
        <v>1.2</v>
      </c>
    </row>
    <row r="6">
      <c r="A6" s="44" t="n">
        <v>19756</v>
      </c>
      <c r="B6" t="n">
        <v>1863</v>
      </c>
      <c r="C6" t="n">
        <v>-1.5</v>
      </c>
      <c r="D6" t="n">
        <v>2117</v>
      </c>
      <c r="E6" t="n">
        <v>0.5</v>
      </c>
      <c r="F6" t="n">
        <v>1957</v>
      </c>
      <c r="G6" t="n">
        <v>-2.2</v>
      </c>
      <c r="H6" t="n">
        <v>1524</v>
      </c>
      <c r="I6" t="n">
        <v>-1.2</v>
      </c>
    </row>
    <row r="7">
      <c r="A7" s="44" t="n">
        <v>19845</v>
      </c>
      <c r="B7" t="n">
        <v>1872</v>
      </c>
      <c r="C7" t="n">
        <v>-1</v>
      </c>
      <c r="D7" t="n">
        <v>2117</v>
      </c>
      <c r="E7" t="n">
        <v>0.5</v>
      </c>
      <c r="F7" t="n">
        <v>1984</v>
      </c>
      <c r="G7" t="n">
        <v>-0.9</v>
      </c>
      <c r="H7" t="n">
        <v>1515</v>
      </c>
      <c r="I7" t="n">
        <v>-1.7</v>
      </c>
    </row>
    <row r="8">
      <c r="A8" s="44" t="n">
        <v>19937</v>
      </c>
      <c r="B8" t="n">
        <v>1863</v>
      </c>
      <c r="C8" t="n">
        <v>-1</v>
      </c>
      <c r="D8" t="n">
        <v>2127</v>
      </c>
      <c r="E8" t="n">
        <v>0.5</v>
      </c>
      <c r="F8" t="n">
        <v>1948</v>
      </c>
      <c r="G8" t="n">
        <v>-2.7</v>
      </c>
      <c r="H8" t="n">
        <v>1524</v>
      </c>
      <c r="I8" t="n">
        <v>0</v>
      </c>
    </row>
    <row r="9">
      <c r="A9" s="44" t="n">
        <v>20029</v>
      </c>
      <c r="B9" t="n">
        <v>1853</v>
      </c>
      <c r="C9" t="n">
        <v>-1</v>
      </c>
      <c r="D9" t="n">
        <v>2127</v>
      </c>
      <c r="E9" t="n">
        <v>0.5</v>
      </c>
      <c r="F9" t="n">
        <v>1939</v>
      </c>
      <c r="G9" t="n">
        <v>-1.8</v>
      </c>
      <c r="H9" t="n">
        <v>1515</v>
      </c>
      <c r="I9" t="n">
        <v>-1.7</v>
      </c>
    </row>
    <row r="10">
      <c r="A10" s="44" t="n">
        <v>20121</v>
      </c>
      <c r="B10" t="n">
        <v>1900</v>
      </c>
      <c r="C10" t="n">
        <v>2</v>
      </c>
      <c r="D10" t="n">
        <v>2167</v>
      </c>
      <c r="E10" t="n">
        <v>2.4</v>
      </c>
      <c r="F10" t="n">
        <v>1984</v>
      </c>
      <c r="G10" t="n">
        <v>1.4</v>
      </c>
      <c r="H10" t="n">
        <v>1569</v>
      </c>
      <c r="I10" t="n">
        <v>2.9</v>
      </c>
    </row>
    <row r="11">
      <c r="A11" s="44" t="n">
        <v>20210</v>
      </c>
      <c r="B11" t="n">
        <v>1937</v>
      </c>
      <c r="C11" t="n">
        <v>3.5</v>
      </c>
      <c r="D11" t="n">
        <v>2217</v>
      </c>
      <c r="E11" t="n">
        <v>4.8</v>
      </c>
      <c r="F11" t="n">
        <v>2037</v>
      </c>
      <c r="G11" t="n">
        <v>2.7</v>
      </c>
      <c r="H11" t="n">
        <v>1578</v>
      </c>
      <c r="I11" t="n">
        <v>4.1</v>
      </c>
    </row>
    <row r="12">
      <c r="A12" s="44" t="n">
        <v>20302</v>
      </c>
      <c r="B12" t="n">
        <v>1937</v>
      </c>
      <c r="C12" t="n">
        <v>4</v>
      </c>
      <c r="D12" t="n">
        <v>2217</v>
      </c>
      <c r="E12" t="n">
        <v>4.3</v>
      </c>
      <c r="F12" t="n">
        <v>2037</v>
      </c>
      <c r="G12" t="n">
        <v>4.6</v>
      </c>
      <c r="H12" t="n">
        <v>1587</v>
      </c>
      <c r="I12" t="n">
        <v>4.1</v>
      </c>
    </row>
    <row r="13">
      <c r="A13" s="44" t="n">
        <v>20394</v>
      </c>
      <c r="B13" t="n">
        <v>1937</v>
      </c>
      <c r="C13" t="n">
        <v>4.5</v>
      </c>
      <c r="D13" t="n">
        <v>2217</v>
      </c>
      <c r="E13" t="n">
        <v>4.3</v>
      </c>
      <c r="F13" t="n">
        <v>2029</v>
      </c>
      <c r="G13" t="n">
        <v>4.6</v>
      </c>
      <c r="H13" t="n">
        <v>1587</v>
      </c>
      <c r="I13" t="n">
        <v>4.7</v>
      </c>
    </row>
    <row r="14">
      <c r="A14" s="44" t="n">
        <v>20486</v>
      </c>
      <c r="B14" t="n">
        <v>1975</v>
      </c>
      <c r="C14" t="n">
        <v>3.9</v>
      </c>
      <c r="D14" t="n">
        <v>2278</v>
      </c>
      <c r="E14" t="n">
        <v>5.1</v>
      </c>
      <c r="F14" t="n">
        <v>2082</v>
      </c>
      <c r="G14" t="n">
        <v>5</v>
      </c>
      <c r="H14" t="n">
        <v>1596</v>
      </c>
      <c r="I14" t="n">
        <v>1.7</v>
      </c>
    </row>
    <row r="15">
      <c r="A15" s="44" t="n">
        <v>20576</v>
      </c>
      <c r="B15" t="n">
        <v>2003</v>
      </c>
      <c r="C15" t="n">
        <v>3.4</v>
      </c>
      <c r="D15" t="n">
        <v>2318</v>
      </c>
      <c r="E15" t="n">
        <v>4.5</v>
      </c>
      <c r="F15" t="n">
        <v>2109</v>
      </c>
      <c r="G15" t="n">
        <v>3.5</v>
      </c>
      <c r="H15" t="n">
        <v>1631</v>
      </c>
      <c r="I15" t="n">
        <v>3.4</v>
      </c>
    </row>
    <row r="16">
      <c r="A16" s="44" t="n">
        <v>20668</v>
      </c>
      <c r="B16" t="n">
        <v>2003</v>
      </c>
      <c r="C16" t="n">
        <v>3.4</v>
      </c>
      <c r="D16" t="n">
        <v>2318</v>
      </c>
      <c r="E16" t="n">
        <v>4.5</v>
      </c>
      <c r="F16" t="n">
        <v>2109</v>
      </c>
      <c r="G16" t="n">
        <v>3.5</v>
      </c>
      <c r="H16" t="n">
        <v>1631</v>
      </c>
      <c r="I16" t="n">
        <v>2.8</v>
      </c>
    </row>
    <row r="17">
      <c r="A17" s="44" t="n">
        <v>20760</v>
      </c>
      <c r="B17" t="n">
        <v>2003</v>
      </c>
      <c r="C17" t="n">
        <v>3.4</v>
      </c>
      <c r="D17" t="n">
        <v>2328</v>
      </c>
      <c r="E17" t="n">
        <v>5</v>
      </c>
      <c r="F17" t="n">
        <v>2100</v>
      </c>
      <c r="G17" t="n">
        <v>3.5</v>
      </c>
      <c r="H17" t="n">
        <v>1631</v>
      </c>
      <c r="I17" t="n">
        <v>2.8</v>
      </c>
    </row>
    <row r="18">
      <c r="A18" s="44" t="n">
        <v>20852</v>
      </c>
      <c r="B18" t="n">
        <v>2021</v>
      </c>
      <c r="C18" t="n">
        <v>2.4</v>
      </c>
      <c r="D18" t="n">
        <v>2348</v>
      </c>
      <c r="E18" t="n">
        <v>3.1</v>
      </c>
      <c r="F18" t="n">
        <v>2109</v>
      </c>
      <c r="G18" t="n">
        <v>1.3</v>
      </c>
      <c r="H18" t="n">
        <v>1658</v>
      </c>
      <c r="I18" t="n">
        <v>3.9</v>
      </c>
    </row>
    <row r="19">
      <c r="A19" s="44" t="n">
        <v>20941</v>
      </c>
      <c r="B19" t="n">
        <v>2021</v>
      </c>
      <c r="C19" t="n">
        <v>0.9</v>
      </c>
      <c r="D19" t="n">
        <v>2369</v>
      </c>
      <c r="E19" t="n">
        <v>2.2</v>
      </c>
      <c r="F19" t="n">
        <v>2100</v>
      </c>
      <c r="G19" t="n">
        <v>-0.4</v>
      </c>
      <c r="H19" t="n">
        <v>1667</v>
      </c>
      <c r="I19" t="n">
        <v>2.2</v>
      </c>
    </row>
    <row r="20">
      <c r="A20" s="44" t="n">
        <v>21033</v>
      </c>
      <c r="B20" t="n">
        <v>2030</v>
      </c>
      <c r="C20" t="n">
        <v>1.4</v>
      </c>
      <c r="D20" t="n">
        <v>2379</v>
      </c>
      <c r="E20" t="n">
        <v>2.6</v>
      </c>
      <c r="F20" t="n">
        <v>2109</v>
      </c>
      <c r="G20" t="n">
        <v>0</v>
      </c>
      <c r="H20" t="n">
        <v>1667</v>
      </c>
      <c r="I20" t="n">
        <v>2.2</v>
      </c>
    </row>
    <row r="21">
      <c r="A21" s="44" t="n">
        <v>21125</v>
      </c>
      <c r="B21" t="n">
        <v>2030</v>
      </c>
      <c r="C21" t="n">
        <v>1.4</v>
      </c>
      <c r="D21" t="n">
        <v>2399</v>
      </c>
      <c r="E21" t="n">
        <v>3</v>
      </c>
      <c r="F21" t="n">
        <v>2109</v>
      </c>
      <c r="G21" t="n">
        <v>0.4</v>
      </c>
      <c r="H21" t="n">
        <v>1667</v>
      </c>
      <c r="I21" t="n">
        <v>2.2</v>
      </c>
    </row>
    <row r="22">
      <c r="A22" s="44" t="n">
        <v>21217</v>
      </c>
      <c r="B22" t="n">
        <v>2049</v>
      </c>
      <c r="C22" t="n">
        <v>1.4</v>
      </c>
      <c r="D22" t="n">
        <v>2409</v>
      </c>
      <c r="E22" t="n">
        <v>2.6</v>
      </c>
      <c r="F22" t="n">
        <v>2118</v>
      </c>
      <c r="G22" t="n">
        <v>0.4</v>
      </c>
      <c r="H22" t="n">
        <v>1685</v>
      </c>
      <c r="I22" t="n">
        <v>1.6</v>
      </c>
    </row>
    <row r="23">
      <c r="A23" s="44" t="n">
        <v>21306</v>
      </c>
      <c r="B23" t="n">
        <v>2049</v>
      </c>
      <c r="C23" t="n">
        <v>1.4</v>
      </c>
      <c r="D23" t="n">
        <v>2409</v>
      </c>
      <c r="E23" t="n">
        <v>1.7</v>
      </c>
      <c r="F23" t="n">
        <v>2109</v>
      </c>
      <c r="G23" t="n">
        <v>0.4</v>
      </c>
      <c r="H23" t="n">
        <v>1694</v>
      </c>
      <c r="I23" t="n">
        <v>1.6</v>
      </c>
    </row>
    <row r="24">
      <c r="A24" s="44" t="n">
        <v>21398</v>
      </c>
      <c r="B24" t="n">
        <v>2058</v>
      </c>
      <c r="C24" t="n">
        <v>1.4</v>
      </c>
      <c r="D24" t="n">
        <v>2419</v>
      </c>
      <c r="E24" t="n">
        <v>1.7</v>
      </c>
      <c r="F24" t="n">
        <v>2136</v>
      </c>
      <c r="G24" t="n">
        <v>1.3</v>
      </c>
      <c r="H24" t="n">
        <v>1694</v>
      </c>
      <c r="I24" t="n">
        <v>1.6</v>
      </c>
    </row>
    <row r="25">
      <c r="A25" s="44" t="n">
        <v>21490</v>
      </c>
      <c r="B25" t="n">
        <v>2068</v>
      </c>
      <c r="C25" t="n">
        <v>1.8</v>
      </c>
      <c r="D25" t="n">
        <v>2429</v>
      </c>
      <c r="E25" t="n">
        <v>1.3</v>
      </c>
      <c r="F25" t="n">
        <v>2145</v>
      </c>
      <c r="G25" t="n">
        <v>1.7</v>
      </c>
      <c r="H25" t="n">
        <v>1703</v>
      </c>
      <c r="I25" t="n">
        <v>2.2</v>
      </c>
    </row>
    <row r="26">
      <c r="A26" s="44" t="n">
        <v>21582</v>
      </c>
      <c r="B26" t="n">
        <v>2077</v>
      </c>
      <c r="C26" t="n">
        <v>1.4</v>
      </c>
      <c r="D26" t="n">
        <v>2439</v>
      </c>
      <c r="E26" t="n">
        <v>1.3</v>
      </c>
      <c r="F26" t="n">
        <v>2145</v>
      </c>
      <c r="G26" t="n">
        <v>1.3</v>
      </c>
      <c r="H26" t="n">
        <v>1721</v>
      </c>
      <c r="I26" t="n">
        <v>2.1</v>
      </c>
    </row>
    <row r="27">
      <c r="A27" s="44" t="n">
        <v>21671</v>
      </c>
      <c r="B27" t="n">
        <v>2105</v>
      </c>
      <c r="C27" t="n">
        <v>2.7</v>
      </c>
      <c r="D27" t="n">
        <v>2459</v>
      </c>
      <c r="E27" t="n">
        <v>2.1</v>
      </c>
      <c r="F27" t="n">
        <v>2172</v>
      </c>
      <c r="G27" t="n">
        <v>3</v>
      </c>
      <c r="H27" t="n">
        <v>1748</v>
      </c>
      <c r="I27" t="n">
        <v>3.2</v>
      </c>
    </row>
    <row r="28">
      <c r="A28" s="44" t="n">
        <v>21763</v>
      </c>
      <c r="B28" t="n">
        <v>2124</v>
      </c>
      <c r="C28" t="n">
        <v>3.2</v>
      </c>
      <c r="D28" t="n">
        <v>2490</v>
      </c>
      <c r="E28" t="n">
        <v>2.9</v>
      </c>
      <c r="F28" t="n">
        <v>2189</v>
      </c>
      <c r="G28" t="n">
        <v>2.5</v>
      </c>
      <c r="H28" t="n">
        <v>1757</v>
      </c>
      <c r="I28" t="n">
        <v>3.7</v>
      </c>
    </row>
    <row r="29">
      <c r="A29" s="44" t="n">
        <v>21855</v>
      </c>
      <c r="B29" t="n">
        <v>2170</v>
      </c>
      <c r="C29" t="n">
        <v>5</v>
      </c>
      <c r="D29" t="n">
        <v>2560</v>
      </c>
      <c r="E29" t="n">
        <v>5.4</v>
      </c>
      <c r="F29" t="n">
        <v>2243</v>
      </c>
      <c r="G29" t="n">
        <v>4.6</v>
      </c>
      <c r="H29" t="n">
        <v>1784</v>
      </c>
      <c r="I29" t="n">
        <v>4.7</v>
      </c>
    </row>
    <row r="30">
      <c r="A30" s="44" t="n">
        <v>21947</v>
      </c>
      <c r="B30" t="n">
        <v>2189</v>
      </c>
      <c r="C30" t="n">
        <v>5.4</v>
      </c>
      <c r="D30" t="n">
        <v>2600</v>
      </c>
      <c r="E30" t="n">
        <v>6.6</v>
      </c>
      <c r="F30" t="n">
        <v>2261</v>
      </c>
      <c r="G30" t="n">
        <v>5.4</v>
      </c>
      <c r="H30" t="n">
        <v>1811</v>
      </c>
      <c r="I30" t="n">
        <v>5.2</v>
      </c>
    </row>
    <row r="31">
      <c r="A31" s="44" t="n">
        <v>22037</v>
      </c>
      <c r="B31" t="n">
        <v>2235</v>
      </c>
      <c r="C31" t="n">
        <v>6.2</v>
      </c>
      <c r="D31" t="n">
        <v>2661</v>
      </c>
      <c r="E31" t="n">
        <v>8.199999999999999</v>
      </c>
      <c r="F31" t="n">
        <v>2297</v>
      </c>
      <c r="G31" t="n">
        <v>5.8</v>
      </c>
      <c r="H31" t="n">
        <v>1855</v>
      </c>
      <c r="I31" t="n">
        <v>6.2</v>
      </c>
    </row>
    <row r="32">
      <c r="A32" s="44" t="n">
        <v>22129</v>
      </c>
      <c r="B32" t="n">
        <v>2301</v>
      </c>
      <c r="C32" t="n">
        <v>8.300000000000001</v>
      </c>
      <c r="D32" t="n">
        <v>2721</v>
      </c>
      <c r="E32" t="n">
        <v>9.300000000000001</v>
      </c>
      <c r="F32" t="n">
        <v>2386</v>
      </c>
      <c r="G32" t="n">
        <v>9</v>
      </c>
      <c r="H32" t="n">
        <v>1891</v>
      </c>
      <c r="I32" t="n">
        <v>7.7</v>
      </c>
    </row>
    <row r="33">
      <c r="A33" s="44" t="n">
        <v>22221</v>
      </c>
      <c r="B33" t="n">
        <v>2328</v>
      </c>
      <c r="C33" t="n">
        <v>7.3</v>
      </c>
      <c r="D33" t="n">
        <v>2762</v>
      </c>
      <c r="E33" t="n">
        <v>7.9</v>
      </c>
      <c r="F33" t="n">
        <v>2404</v>
      </c>
      <c r="G33" t="n">
        <v>7.2</v>
      </c>
      <c r="H33" t="n">
        <v>1927</v>
      </c>
      <c r="I33" t="n">
        <v>8</v>
      </c>
    </row>
    <row r="34">
      <c r="A34" s="44" t="n">
        <v>22313</v>
      </c>
      <c r="B34" t="n">
        <v>2403</v>
      </c>
      <c r="C34" t="n">
        <v>9.800000000000001</v>
      </c>
      <c r="D34" t="n">
        <v>2893</v>
      </c>
      <c r="E34" t="n">
        <v>11.2</v>
      </c>
      <c r="F34" t="n">
        <v>2484</v>
      </c>
      <c r="G34" t="n">
        <v>9.9</v>
      </c>
      <c r="H34" t="n">
        <v>1963</v>
      </c>
      <c r="I34" t="n">
        <v>8.4</v>
      </c>
    </row>
    <row r="35">
      <c r="A35" s="44" t="n">
        <v>22402</v>
      </c>
      <c r="B35" t="n">
        <v>2440</v>
      </c>
      <c r="C35" t="n">
        <v>9.199999999999999</v>
      </c>
      <c r="D35" t="n">
        <v>2923</v>
      </c>
      <c r="E35" t="n">
        <v>9.800000000000001</v>
      </c>
      <c r="F35" t="n">
        <v>2502</v>
      </c>
      <c r="G35" t="n">
        <v>8.9</v>
      </c>
      <c r="H35" t="n">
        <v>2026</v>
      </c>
      <c r="I35" t="n">
        <v>9.199999999999999</v>
      </c>
    </row>
    <row r="36">
      <c r="A36" s="44" t="n">
        <v>22494</v>
      </c>
      <c r="B36" t="n">
        <v>2468</v>
      </c>
      <c r="C36" t="n">
        <v>7.3</v>
      </c>
      <c r="D36" t="n">
        <v>2933</v>
      </c>
      <c r="E36" t="n">
        <v>7.8</v>
      </c>
      <c r="F36" t="n">
        <v>2520</v>
      </c>
      <c r="G36" t="n">
        <v>5.6</v>
      </c>
      <c r="H36" t="n">
        <v>2071</v>
      </c>
      <c r="I36" t="n">
        <v>9.5</v>
      </c>
    </row>
    <row r="37">
      <c r="A37" s="44" t="n">
        <v>22586</v>
      </c>
      <c r="B37" t="n">
        <v>2543</v>
      </c>
      <c r="C37" t="n">
        <v>9.199999999999999</v>
      </c>
      <c r="D37" t="n">
        <v>2973</v>
      </c>
      <c r="E37" t="n">
        <v>7.7</v>
      </c>
      <c r="F37" t="n">
        <v>2618</v>
      </c>
      <c r="G37" t="n">
        <v>8.9</v>
      </c>
      <c r="H37" t="n">
        <v>2115</v>
      </c>
      <c r="I37" t="n">
        <v>9.800000000000001</v>
      </c>
    </row>
    <row r="38">
      <c r="A38" s="44" t="n">
        <v>22678</v>
      </c>
      <c r="B38" t="n">
        <v>2552</v>
      </c>
      <c r="C38" t="n">
        <v>6.2</v>
      </c>
      <c r="D38" t="n">
        <v>2994</v>
      </c>
      <c r="E38" t="n">
        <v>3.5</v>
      </c>
      <c r="F38" t="n">
        <v>2627</v>
      </c>
      <c r="G38" t="n">
        <v>5.8</v>
      </c>
      <c r="H38" t="n">
        <v>2124</v>
      </c>
      <c r="I38" t="n">
        <v>8.199999999999999</v>
      </c>
    </row>
    <row r="39">
      <c r="A39" s="44" t="n">
        <v>22767</v>
      </c>
      <c r="B39" t="n">
        <v>2599</v>
      </c>
      <c r="C39" t="n">
        <v>6.5</v>
      </c>
      <c r="D39" t="n">
        <v>3084</v>
      </c>
      <c r="E39" t="n">
        <v>5.5</v>
      </c>
      <c r="F39" t="n">
        <v>2663</v>
      </c>
      <c r="G39" t="n">
        <v>6.4</v>
      </c>
      <c r="H39" t="n">
        <v>2169</v>
      </c>
      <c r="I39" t="n">
        <v>7.1</v>
      </c>
    </row>
    <row r="40">
      <c r="A40" s="44" t="n">
        <v>22859</v>
      </c>
      <c r="B40" t="n">
        <v>2645</v>
      </c>
      <c r="C40" t="n">
        <v>7.2</v>
      </c>
      <c r="D40" t="n">
        <v>3125</v>
      </c>
      <c r="E40" t="n">
        <v>6.5</v>
      </c>
      <c r="F40" t="n">
        <v>2708</v>
      </c>
      <c r="G40" t="n">
        <v>7.4</v>
      </c>
      <c r="H40" t="n">
        <v>2205</v>
      </c>
      <c r="I40" t="n">
        <v>6.5</v>
      </c>
    </row>
    <row r="41">
      <c r="A41" s="44" t="n">
        <v>22951</v>
      </c>
      <c r="B41" t="n">
        <v>2673</v>
      </c>
      <c r="C41" t="n">
        <v>5.1</v>
      </c>
      <c r="D41" t="n">
        <v>3155</v>
      </c>
      <c r="E41" t="n">
        <v>6.1</v>
      </c>
      <c r="F41" t="n">
        <v>2726</v>
      </c>
      <c r="G41" t="n">
        <v>4.1</v>
      </c>
      <c r="H41" t="n">
        <v>2241</v>
      </c>
      <c r="I41" t="n">
        <v>5.9</v>
      </c>
    </row>
    <row r="42">
      <c r="A42" s="44" t="n">
        <v>23043</v>
      </c>
      <c r="B42" t="n">
        <v>2748</v>
      </c>
      <c r="C42" t="n">
        <v>7.7</v>
      </c>
      <c r="D42" t="n">
        <v>3185</v>
      </c>
      <c r="E42" t="n">
        <v>6.4</v>
      </c>
      <c r="F42" t="n">
        <v>2833</v>
      </c>
      <c r="G42" t="n">
        <v>7.8</v>
      </c>
      <c r="H42" t="n">
        <v>2295</v>
      </c>
      <c r="I42" t="n">
        <v>8</v>
      </c>
    </row>
    <row r="43">
      <c r="A43" s="44" t="n">
        <v>23132</v>
      </c>
      <c r="B43" t="n">
        <v>2822</v>
      </c>
      <c r="C43" t="n">
        <v>8.6</v>
      </c>
      <c r="D43" t="n">
        <v>3256</v>
      </c>
      <c r="E43" t="n">
        <v>5.6</v>
      </c>
      <c r="F43" t="n">
        <v>2922</v>
      </c>
      <c r="G43" t="n">
        <v>9.699999999999999</v>
      </c>
      <c r="H43" t="n">
        <v>2357</v>
      </c>
      <c r="I43" t="n">
        <v>8.699999999999999</v>
      </c>
    </row>
    <row r="44">
      <c r="A44" s="44" t="n">
        <v>23224</v>
      </c>
      <c r="B44" t="n">
        <v>2850</v>
      </c>
      <c r="C44" t="n">
        <v>7.7</v>
      </c>
      <c r="D44" t="n">
        <v>3286</v>
      </c>
      <c r="E44" t="n">
        <v>5.2</v>
      </c>
      <c r="F44" t="n">
        <v>2958</v>
      </c>
      <c r="G44" t="n">
        <v>9.199999999999999</v>
      </c>
      <c r="H44" t="n">
        <v>2375</v>
      </c>
      <c r="I44" t="n">
        <v>7.7</v>
      </c>
    </row>
    <row r="45">
      <c r="A45" s="44" t="n">
        <v>23316</v>
      </c>
      <c r="B45" t="n">
        <v>2943</v>
      </c>
      <c r="C45" t="n">
        <v>10.1</v>
      </c>
      <c r="D45" t="n">
        <v>3326</v>
      </c>
      <c r="E45" t="n">
        <v>5.4</v>
      </c>
      <c r="F45" t="n">
        <v>3074</v>
      </c>
      <c r="G45" t="n">
        <v>12.8</v>
      </c>
      <c r="H45" t="n">
        <v>2456</v>
      </c>
      <c r="I45" t="n">
        <v>9.6</v>
      </c>
    </row>
    <row r="46">
      <c r="A46" s="44" t="n">
        <v>23408</v>
      </c>
      <c r="B46" t="n">
        <v>2999</v>
      </c>
      <c r="C46" t="n">
        <v>9.199999999999999</v>
      </c>
      <c r="D46" t="n">
        <v>3377</v>
      </c>
      <c r="E46" t="n">
        <v>6</v>
      </c>
      <c r="F46" t="n">
        <v>3101</v>
      </c>
      <c r="G46" t="n">
        <v>9.5</v>
      </c>
      <c r="H46" t="n">
        <v>2528</v>
      </c>
      <c r="I46" t="n">
        <v>10.2</v>
      </c>
    </row>
    <row r="47">
      <c r="A47" s="44" t="n">
        <v>23498</v>
      </c>
      <c r="B47" t="n">
        <v>3092</v>
      </c>
      <c r="C47" t="n">
        <v>9.6</v>
      </c>
      <c r="D47" t="n">
        <v>3457</v>
      </c>
      <c r="E47" t="n">
        <v>6.2</v>
      </c>
      <c r="F47" t="n">
        <v>3217</v>
      </c>
      <c r="G47" t="n">
        <v>10.1</v>
      </c>
      <c r="H47" t="n">
        <v>2582</v>
      </c>
      <c r="I47" t="n">
        <v>9.5</v>
      </c>
    </row>
    <row r="48">
      <c r="A48" s="44" t="n">
        <v>23590</v>
      </c>
      <c r="B48" t="n">
        <v>3139</v>
      </c>
      <c r="C48" t="n">
        <v>10.1</v>
      </c>
      <c r="D48" t="n">
        <v>3578</v>
      </c>
      <c r="E48" t="n">
        <v>8.9</v>
      </c>
      <c r="F48" t="n">
        <v>3244</v>
      </c>
      <c r="G48" t="n">
        <v>9.699999999999999</v>
      </c>
      <c r="H48" t="n">
        <v>2635</v>
      </c>
      <c r="I48" t="n">
        <v>10.9</v>
      </c>
    </row>
    <row r="49">
      <c r="A49" s="44" t="n">
        <v>23682</v>
      </c>
      <c r="B49" t="n">
        <v>3185</v>
      </c>
      <c r="C49" t="n">
        <v>8.199999999999999</v>
      </c>
      <c r="D49" t="n">
        <v>3598</v>
      </c>
      <c r="E49" t="n">
        <v>8.199999999999999</v>
      </c>
      <c r="F49" t="n">
        <v>3333</v>
      </c>
      <c r="G49" t="n">
        <v>8.4</v>
      </c>
      <c r="H49" t="n">
        <v>2635</v>
      </c>
      <c r="I49" t="n">
        <v>7.3</v>
      </c>
    </row>
    <row r="50">
      <c r="A50" s="44" t="n">
        <v>23774</v>
      </c>
      <c r="B50" t="n">
        <v>3269</v>
      </c>
      <c r="C50" t="n">
        <v>9</v>
      </c>
      <c r="D50" t="n">
        <v>3699</v>
      </c>
      <c r="E50" t="n">
        <v>9.6</v>
      </c>
      <c r="F50" t="n">
        <v>3476</v>
      </c>
      <c r="G50" t="n">
        <v>12.1</v>
      </c>
      <c r="H50" t="n">
        <v>2644</v>
      </c>
      <c r="I50" t="n">
        <v>4.6</v>
      </c>
    </row>
    <row r="51">
      <c r="A51" s="44" t="n">
        <v>23863</v>
      </c>
      <c r="B51" t="n">
        <v>3344</v>
      </c>
      <c r="C51" t="n">
        <v>8.1</v>
      </c>
      <c r="D51" t="n">
        <v>3800</v>
      </c>
      <c r="E51" t="n">
        <v>9.9</v>
      </c>
      <c r="F51" t="n">
        <v>3494</v>
      </c>
      <c r="G51" t="n">
        <v>8.6</v>
      </c>
      <c r="H51" t="n">
        <v>2779</v>
      </c>
      <c r="I51" t="n">
        <v>7.6</v>
      </c>
    </row>
    <row r="52">
      <c r="A52" s="44" t="n">
        <v>23955</v>
      </c>
      <c r="B52" t="n">
        <v>3381</v>
      </c>
      <c r="C52" t="n">
        <v>7.7</v>
      </c>
      <c r="D52" t="n">
        <v>3840</v>
      </c>
      <c r="E52" t="n">
        <v>7.3</v>
      </c>
      <c r="F52" t="n">
        <v>3512</v>
      </c>
      <c r="G52" t="n">
        <v>8.300000000000001</v>
      </c>
      <c r="H52" t="n">
        <v>2815</v>
      </c>
      <c r="I52" t="n">
        <v>6.8</v>
      </c>
    </row>
    <row r="53">
      <c r="A53" s="44" t="n">
        <v>24047</v>
      </c>
      <c r="B53" t="n">
        <v>3418</v>
      </c>
      <c r="C53" t="n">
        <v>7.3</v>
      </c>
      <c r="D53" t="n">
        <v>3860</v>
      </c>
      <c r="E53" t="n">
        <v>7.3</v>
      </c>
      <c r="F53" t="n">
        <v>3592</v>
      </c>
      <c r="G53" t="n">
        <v>7.8</v>
      </c>
      <c r="H53" t="n">
        <v>2824</v>
      </c>
      <c r="I53" t="n">
        <v>7.1</v>
      </c>
    </row>
    <row r="54">
      <c r="A54" s="44" t="n">
        <v>24139</v>
      </c>
      <c r="B54" t="n">
        <v>3465</v>
      </c>
      <c r="C54" t="n">
        <v>6</v>
      </c>
      <c r="D54" t="n">
        <v>3891</v>
      </c>
      <c r="E54" t="n">
        <v>5.2</v>
      </c>
      <c r="F54" t="n">
        <v>3655</v>
      </c>
      <c r="G54" t="n">
        <v>5.1</v>
      </c>
      <c r="H54" t="n">
        <v>2832</v>
      </c>
      <c r="I54" t="n">
        <v>7.1</v>
      </c>
    </row>
    <row r="55">
      <c r="A55" s="44" t="n">
        <v>24228</v>
      </c>
      <c r="B55" t="n">
        <v>3558</v>
      </c>
      <c r="C55" t="n">
        <v>6.4</v>
      </c>
      <c r="D55" t="n">
        <v>3991</v>
      </c>
      <c r="E55" t="n">
        <v>5</v>
      </c>
      <c r="F55" t="n">
        <v>3726</v>
      </c>
      <c r="G55" t="n">
        <v>6.6</v>
      </c>
      <c r="H55" t="n">
        <v>2958</v>
      </c>
      <c r="I55" t="n">
        <v>6.5</v>
      </c>
    </row>
    <row r="56">
      <c r="A56" s="44" t="n">
        <v>24320</v>
      </c>
      <c r="B56" t="n">
        <v>3558</v>
      </c>
      <c r="C56" t="n">
        <v>5.2</v>
      </c>
      <c r="D56" t="n">
        <v>4062</v>
      </c>
      <c r="E56" t="n">
        <v>5.8</v>
      </c>
      <c r="F56" t="n">
        <v>3753</v>
      </c>
      <c r="G56" t="n">
        <v>6.9</v>
      </c>
      <c r="H56" t="n">
        <v>2895</v>
      </c>
      <c r="I56" t="n">
        <v>2.9</v>
      </c>
    </row>
    <row r="57">
      <c r="A57" s="44" t="n">
        <v>24412</v>
      </c>
      <c r="B57" t="n">
        <v>3586</v>
      </c>
      <c r="C57" t="n">
        <v>4.9</v>
      </c>
      <c r="D57" t="n">
        <v>4112</v>
      </c>
      <c r="E57" t="n">
        <v>6.5</v>
      </c>
      <c r="F57" t="n">
        <v>3726</v>
      </c>
      <c r="G57" t="n">
        <v>3.7</v>
      </c>
      <c r="H57" t="n">
        <v>2967</v>
      </c>
      <c r="I57" t="n">
        <v>5.1</v>
      </c>
    </row>
    <row r="58">
      <c r="A58" s="44" t="n">
        <v>24504</v>
      </c>
      <c r="B58" t="n">
        <v>3642</v>
      </c>
      <c r="C58" t="n">
        <v>5.1</v>
      </c>
      <c r="D58" t="n">
        <v>4183</v>
      </c>
      <c r="E58" t="n">
        <v>7.5</v>
      </c>
      <c r="F58" t="n">
        <v>3807</v>
      </c>
      <c r="G58" t="n">
        <v>4.2</v>
      </c>
      <c r="H58" t="n">
        <v>2994</v>
      </c>
      <c r="I58" t="n">
        <v>5.7</v>
      </c>
    </row>
    <row r="59">
      <c r="A59" s="44" t="n">
        <v>24593</v>
      </c>
      <c r="B59" t="n">
        <v>3698</v>
      </c>
      <c r="C59" t="n">
        <v>3.9</v>
      </c>
      <c r="D59" t="n">
        <v>4223</v>
      </c>
      <c r="E59" t="n">
        <v>5.8</v>
      </c>
      <c r="F59" t="n">
        <v>3878</v>
      </c>
      <c r="G59" t="n">
        <v>4.1</v>
      </c>
      <c r="H59" t="n">
        <v>3039</v>
      </c>
      <c r="I59" t="n">
        <v>2.7</v>
      </c>
    </row>
    <row r="60">
      <c r="A60" s="44" t="n">
        <v>24685</v>
      </c>
      <c r="B60" t="n">
        <v>3763</v>
      </c>
      <c r="C60" t="n">
        <v>5.8</v>
      </c>
      <c r="D60" t="n">
        <v>4243</v>
      </c>
      <c r="E60" t="n">
        <v>4.5</v>
      </c>
      <c r="F60" t="n">
        <v>3941</v>
      </c>
      <c r="G60" t="n">
        <v>5</v>
      </c>
      <c r="H60" t="n">
        <v>3128</v>
      </c>
      <c r="I60" t="n">
        <v>8</v>
      </c>
    </row>
    <row r="61">
      <c r="A61" s="44" t="n">
        <v>24777</v>
      </c>
      <c r="B61" t="n">
        <v>3837</v>
      </c>
      <c r="C61" t="n">
        <v>7</v>
      </c>
      <c r="D61" t="n">
        <v>4334</v>
      </c>
      <c r="E61" t="n">
        <v>5.4</v>
      </c>
      <c r="F61" t="n">
        <v>4003</v>
      </c>
      <c r="G61" t="n">
        <v>7.4</v>
      </c>
      <c r="H61" t="n">
        <v>3200</v>
      </c>
      <c r="I61" t="n">
        <v>7.9</v>
      </c>
    </row>
    <row r="62">
      <c r="A62" s="44" t="n">
        <v>24869</v>
      </c>
      <c r="B62" t="n">
        <v>3903</v>
      </c>
      <c r="C62" t="n">
        <v>7.2</v>
      </c>
      <c r="D62" t="n">
        <v>4344</v>
      </c>
      <c r="E62" t="n">
        <v>3.9</v>
      </c>
      <c r="F62" t="n">
        <v>4084</v>
      </c>
      <c r="G62" t="n">
        <v>7.3</v>
      </c>
      <c r="H62" t="n">
        <v>3272</v>
      </c>
      <c r="I62" t="n">
        <v>9.300000000000001</v>
      </c>
    </row>
    <row r="63">
      <c r="A63" s="44" t="n">
        <v>24959</v>
      </c>
      <c r="B63" t="n">
        <v>3996</v>
      </c>
      <c r="C63" t="n">
        <v>8.1</v>
      </c>
      <c r="D63" t="n">
        <v>4495</v>
      </c>
      <c r="E63" t="n">
        <v>6.4</v>
      </c>
      <c r="F63" t="n">
        <v>4182</v>
      </c>
      <c r="G63" t="n">
        <v>7.8</v>
      </c>
      <c r="H63" t="n">
        <v>3325</v>
      </c>
      <c r="I63" t="n">
        <v>9.4</v>
      </c>
    </row>
    <row r="64">
      <c r="A64" s="44" t="n">
        <v>25051</v>
      </c>
      <c r="B64" t="n">
        <v>4052</v>
      </c>
      <c r="C64" t="n">
        <v>7.7</v>
      </c>
      <c r="D64" t="n">
        <v>4606</v>
      </c>
      <c r="E64" t="n">
        <v>8.6</v>
      </c>
      <c r="F64" t="n">
        <v>4200</v>
      </c>
      <c r="G64" t="n">
        <v>6.6</v>
      </c>
      <c r="H64" t="n">
        <v>3397</v>
      </c>
      <c r="I64" t="n">
        <v>8.6</v>
      </c>
    </row>
    <row r="65">
      <c r="A65" s="44" t="n">
        <v>25143</v>
      </c>
      <c r="B65" t="n">
        <v>4089</v>
      </c>
      <c r="C65" t="n">
        <v>6.6</v>
      </c>
      <c r="D65" t="n">
        <v>4657</v>
      </c>
      <c r="E65" t="n">
        <v>7.4</v>
      </c>
      <c r="F65" t="n">
        <v>4236</v>
      </c>
      <c r="G65" t="n">
        <v>5.8</v>
      </c>
      <c r="H65" t="n">
        <v>3424</v>
      </c>
      <c r="I65" t="n">
        <v>7</v>
      </c>
    </row>
    <row r="66">
      <c r="A66" s="44" t="n">
        <v>25235</v>
      </c>
      <c r="B66" t="n">
        <v>4145</v>
      </c>
      <c r="C66" t="n">
        <v>6.2</v>
      </c>
      <c r="D66" t="n">
        <v>4657</v>
      </c>
      <c r="E66" t="n">
        <v>7.2</v>
      </c>
      <c r="F66" t="n">
        <v>4307</v>
      </c>
      <c r="G66" t="n">
        <v>5.5</v>
      </c>
      <c r="H66" t="n">
        <v>3496</v>
      </c>
      <c r="I66" t="n">
        <v>6.8</v>
      </c>
    </row>
    <row r="67">
      <c r="A67" s="44" t="n">
        <v>25324</v>
      </c>
      <c r="B67" t="n">
        <v>4201</v>
      </c>
      <c r="C67" t="n">
        <v>5.1</v>
      </c>
      <c r="D67" t="n">
        <v>4697</v>
      </c>
      <c r="E67" t="n">
        <v>4.5</v>
      </c>
      <c r="F67" t="n">
        <v>4379</v>
      </c>
      <c r="G67" t="n">
        <v>4.7</v>
      </c>
      <c r="H67" t="n">
        <v>3532</v>
      </c>
      <c r="I67" t="n">
        <v>6.2</v>
      </c>
    </row>
    <row r="68">
      <c r="A68" s="44" t="n">
        <v>25416</v>
      </c>
      <c r="B68" t="n">
        <v>4229</v>
      </c>
      <c r="C68" t="n">
        <v>4.4</v>
      </c>
      <c r="D68" t="n">
        <v>4798</v>
      </c>
      <c r="E68" t="n">
        <v>4.2</v>
      </c>
      <c r="F68" t="n">
        <v>4370</v>
      </c>
      <c r="G68" t="n">
        <v>4</v>
      </c>
      <c r="H68" t="n">
        <v>3576</v>
      </c>
      <c r="I68" t="n">
        <v>5.3</v>
      </c>
    </row>
    <row r="69">
      <c r="A69" s="44" t="n">
        <v>25508</v>
      </c>
      <c r="B69" t="n">
        <v>4312</v>
      </c>
      <c r="C69" t="n">
        <v>5.5</v>
      </c>
      <c r="D69" t="n">
        <v>4848</v>
      </c>
      <c r="E69" t="n">
        <v>4.1</v>
      </c>
      <c r="F69" t="n">
        <v>4477</v>
      </c>
      <c r="G69" t="n">
        <v>5.7</v>
      </c>
      <c r="H69" t="n">
        <v>3630</v>
      </c>
      <c r="I69" t="n">
        <v>6</v>
      </c>
    </row>
    <row r="70">
      <c r="A70" s="44" t="n">
        <v>25600</v>
      </c>
      <c r="B70" t="n">
        <v>4378</v>
      </c>
      <c r="C70" t="n">
        <v>5.6</v>
      </c>
      <c r="D70" t="n">
        <v>4939</v>
      </c>
      <c r="E70" t="n">
        <v>6.1</v>
      </c>
      <c r="F70" t="n">
        <v>4522</v>
      </c>
      <c r="G70" t="n">
        <v>5</v>
      </c>
      <c r="H70" t="n">
        <v>3711</v>
      </c>
      <c r="I70" t="n">
        <v>6.2</v>
      </c>
    </row>
    <row r="71">
      <c r="A71" s="44" t="n">
        <v>25689</v>
      </c>
      <c r="B71" t="n">
        <v>4452</v>
      </c>
      <c r="C71" t="n">
        <v>6</v>
      </c>
      <c r="D71" t="n">
        <v>4949</v>
      </c>
      <c r="E71" t="n">
        <v>5.4</v>
      </c>
      <c r="F71" t="n">
        <v>4620</v>
      </c>
      <c r="G71" t="n">
        <v>5.5</v>
      </c>
      <c r="H71" t="n">
        <v>3774</v>
      </c>
      <c r="I71" t="n">
        <v>6.9</v>
      </c>
    </row>
    <row r="72">
      <c r="A72" s="44" t="n">
        <v>25781</v>
      </c>
      <c r="B72" t="n">
        <v>4508</v>
      </c>
      <c r="C72" t="n">
        <v>6.6</v>
      </c>
      <c r="D72" t="n">
        <v>5080</v>
      </c>
      <c r="E72" t="n">
        <v>5.9</v>
      </c>
      <c r="F72" t="n">
        <v>4629</v>
      </c>
      <c r="G72" t="n">
        <v>5.9</v>
      </c>
      <c r="H72" t="n">
        <v>3845</v>
      </c>
      <c r="I72" t="n">
        <v>7.5</v>
      </c>
    </row>
    <row r="73">
      <c r="A73" s="44" t="n">
        <v>25873</v>
      </c>
      <c r="B73" t="n">
        <v>4582</v>
      </c>
      <c r="C73" t="n">
        <v>6.3</v>
      </c>
      <c r="D73" t="n">
        <v>5161</v>
      </c>
      <c r="E73" t="n">
        <v>6.4</v>
      </c>
      <c r="F73" t="n">
        <v>4718</v>
      </c>
      <c r="G73" t="n">
        <v>5.4</v>
      </c>
      <c r="H73" t="n">
        <v>3908</v>
      </c>
      <c r="I73" t="n">
        <v>7.7</v>
      </c>
    </row>
    <row r="74">
      <c r="A74" s="44" t="n">
        <v>25965</v>
      </c>
      <c r="B74" t="n">
        <v>4741</v>
      </c>
      <c r="C74" t="n">
        <v>8.300000000000001</v>
      </c>
      <c r="D74" t="n">
        <v>5352</v>
      </c>
      <c r="E74" t="n">
        <v>8.4</v>
      </c>
      <c r="F74" t="n">
        <v>4888</v>
      </c>
      <c r="G74" t="n">
        <v>8.1</v>
      </c>
      <c r="H74" t="n">
        <v>4043</v>
      </c>
      <c r="I74" t="n">
        <v>8.9</v>
      </c>
    </row>
    <row r="75">
      <c r="A75" s="44" t="n">
        <v>26054</v>
      </c>
      <c r="B75" t="n">
        <v>4908</v>
      </c>
      <c r="C75" t="n">
        <v>10.3</v>
      </c>
      <c r="D75" t="n">
        <v>5584</v>
      </c>
      <c r="E75" t="n">
        <v>12.8</v>
      </c>
      <c r="F75" t="n">
        <v>5067</v>
      </c>
      <c r="G75" t="n">
        <v>9.699999999999999</v>
      </c>
      <c r="H75" t="n">
        <v>4159</v>
      </c>
      <c r="I75" t="n">
        <v>10.2</v>
      </c>
    </row>
    <row r="76">
      <c r="A76" s="44" t="n">
        <v>26146</v>
      </c>
      <c r="B76" t="n">
        <v>5244</v>
      </c>
      <c r="C76" t="n">
        <v>16.3</v>
      </c>
      <c r="D76" t="n">
        <v>5916</v>
      </c>
      <c r="E76" t="n">
        <v>16.5</v>
      </c>
      <c r="F76" t="n">
        <v>5406</v>
      </c>
      <c r="G76" t="n">
        <v>16.8</v>
      </c>
      <c r="H76" t="n">
        <v>4473</v>
      </c>
      <c r="I76" t="n">
        <v>16.3</v>
      </c>
    </row>
    <row r="77">
      <c r="A77" s="44" t="n">
        <v>26238</v>
      </c>
      <c r="B77" t="n">
        <v>5533</v>
      </c>
      <c r="C77" t="n">
        <v>20.7</v>
      </c>
      <c r="D77" t="n">
        <v>6239</v>
      </c>
      <c r="E77" t="n">
        <v>20.9</v>
      </c>
      <c r="F77" t="n">
        <v>5746</v>
      </c>
      <c r="G77" t="n">
        <v>21.8</v>
      </c>
      <c r="H77" t="n">
        <v>4670</v>
      </c>
      <c r="I77" t="n">
        <v>19.5</v>
      </c>
    </row>
    <row r="78">
      <c r="A78" s="44" t="n">
        <v>26330</v>
      </c>
      <c r="B78" t="n">
        <v>6008</v>
      </c>
      <c r="C78" t="n">
        <v>26.7</v>
      </c>
      <c r="D78" t="n">
        <v>6733</v>
      </c>
      <c r="E78" t="n">
        <v>25.8</v>
      </c>
      <c r="F78" t="n">
        <v>6202</v>
      </c>
      <c r="G78" t="n">
        <v>26.9</v>
      </c>
      <c r="H78" t="n">
        <v>5136</v>
      </c>
      <c r="I78" t="n">
        <v>27.1</v>
      </c>
    </row>
    <row r="79">
      <c r="A79" s="44" t="n">
        <v>26420</v>
      </c>
      <c r="B79" t="n">
        <v>6557</v>
      </c>
      <c r="C79" t="n">
        <v>33.6</v>
      </c>
      <c r="D79" t="n">
        <v>7267</v>
      </c>
      <c r="E79" t="n">
        <v>30.1</v>
      </c>
      <c r="F79" t="n">
        <v>6836</v>
      </c>
      <c r="G79" t="n">
        <v>34.9</v>
      </c>
      <c r="H79" t="n">
        <v>5531</v>
      </c>
      <c r="I79" t="n">
        <v>33</v>
      </c>
    </row>
    <row r="80">
      <c r="A80" s="44" t="n">
        <v>26512</v>
      </c>
      <c r="B80" t="n">
        <v>7395</v>
      </c>
      <c r="C80" t="n">
        <v>41</v>
      </c>
      <c r="D80" t="n">
        <v>8396</v>
      </c>
      <c r="E80" t="n">
        <v>41.9</v>
      </c>
      <c r="F80" t="n">
        <v>7632</v>
      </c>
      <c r="G80" t="n">
        <v>41.2</v>
      </c>
      <c r="H80" t="n">
        <v>6257</v>
      </c>
      <c r="I80" t="n">
        <v>39.9</v>
      </c>
    </row>
    <row r="81">
      <c r="A81" s="44" t="n">
        <v>26604</v>
      </c>
      <c r="B81" t="n">
        <v>7880</v>
      </c>
      <c r="C81" t="n">
        <v>42.4</v>
      </c>
      <c r="D81" t="n">
        <v>9091</v>
      </c>
      <c r="E81" t="n">
        <v>45.7</v>
      </c>
      <c r="F81" t="n">
        <v>8078</v>
      </c>
      <c r="G81" t="n">
        <v>40.6</v>
      </c>
      <c r="H81" t="n">
        <v>6687</v>
      </c>
      <c r="I81" t="n">
        <v>43.2</v>
      </c>
    </row>
    <row r="82">
      <c r="A82" s="44" t="n">
        <v>26696</v>
      </c>
      <c r="B82" t="n">
        <v>8396</v>
      </c>
      <c r="C82" t="n">
        <v>39.8</v>
      </c>
      <c r="D82" t="n">
        <v>9844</v>
      </c>
      <c r="E82" t="n">
        <v>46.2</v>
      </c>
      <c r="F82" t="n">
        <v>8551</v>
      </c>
      <c r="G82" t="n">
        <v>37.9</v>
      </c>
      <c r="H82" t="n">
        <v>7147</v>
      </c>
      <c r="I82" t="n">
        <v>39.1</v>
      </c>
    </row>
    <row r="83">
      <c r="A83" s="44" t="n">
        <v>26785</v>
      </c>
      <c r="B83" t="n">
        <v>8832</v>
      </c>
      <c r="C83" t="n">
        <v>34.7</v>
      </c>
      <c r="D83" t="n">
        <v>10232</v>
      </c>
      <c r="E83" t="n">
        <v>40.8</v>
      </c>
      <c r="F83" t="n">
        <v>9067</v>
      </c>
      <c r="G83" t="n">
        <v>32.6</v>
      </c>
      <c r="H83" t="n">
        <v>7475</v>
      </c>
      <c r="I83" t="n">
        <v>35.2</v>
      </c>
    </row>
    <row r="84">
      <c r="A84" s="44" t="n">
        <v>26877</v>
      </c>
      <c r="B84" t="n">
        <v>9183</v>
      </c>
      <c r="C84" t="n">
        <v>24.2</v>
      </c>
      <c r="D84" t="n">
        <v>10504</v>
      </c>
      <c r="E84" t="n">
        <v>25.1</v>
      </c>
      <c r="F84" t="n">
        <v>9438</v>
      </c>
      <c r="G84" t="n">
        <v>23.7</v>
      </c>
      <c r="H84" t="n">
        <v>7794</v>
      </c>
      <c r="I84" t="n">
        <v>24.6</v>
      </c>
    </row>
    <row r="85">
      <c r="A85" s="44" t="n">
        <v>26969</v>
      </c>
      <c r="B85" t="n">
        <v>9767</v>
      </c>
      <c r="C85" t="n">
        <v>24</v>
      </c>
      <c r="D85" t="n">
        <v>11088</v>
      </c>
      <c r="E85" t="n">
        <v>22</v>
      </c>
      <c r="F85" t="n">
        <v>9817</v>
      </c>
      <c r="G85" t="n">
        <v>21.5</v>
      </c>
      <c r="H85" t="n">
        <v>8353</v>
      </c>
      <c r="I85" t="n">
        <v>24.9</v>
      </c>
    </row>
    <row r="86">
      <c r="A86" s="44" t="n">
        <v>27061</v>
      </c>
      <c r="B86" t="n">
        <v>9928</v>
      </c>
      <c r="C86" t="n">
        <v>18.2</v>
      </c>
      <c r="D86" t="n">
        <v>11242</v>
      </c>
      <c r="E86" t="n">
        <v>14.2</v>
      </c>
      <c r="F86" t="n">
        <v>9987</v>
      </c>
      <c r="G86" t="n">
        <v>16.8</v>
      </c>
      <c r="H86" t="n">
        <v>8496</v>
      </c>
      <c r="I86" t="n">
        <v>18.9</v>
      </c>
    </row>
    <row r="87">
      <c r="A87" s="44" t="n">
        <v>27150</v>
      </c>
      <c r="B87" t="n">
        <v>10027</v>
      </c>
      <c r="C87" t="n">
        <v>13.5</v>
      </c>
      <c r="D87" t="n">
        <v>11374</v>
      </c>
      <c r="E87" t="n">
        <v>11.2</v>
      </c>
      <c r="F87" t="n">
        <v>10025</v>
      </c>
      <c r="G87" t="n">
        <v>10.6</v>
      </c>
      <c r="H87" t="n">
        <v>8648</v>
      </c>
      <c r="I87" t="n">
        <v>15.7</v>
      </c>
    </row>
    <row r="88">
      <c r="A88" s="44" t="n">
        <v>27242</v>
      </c>
      <c r="B88" t="n">
        <v>10148</v>
      </c>
      <c r="C88" t="n">
        <v>10.5</v>
      </c>
      <c r="D88" t="n">
        <v>11450</v>
      </c>
      <c r="E88" t="n">
        <v>9</v>
      </c>
      <c r="F88" t="n">
        <v>10109</v>
      </c>
      <c r="G88" t="n">
        <v>7.1</v>
      </c>
      <c r="H88" t="n">
        <v>8829</v>
      </c>
      <c r="I88" t="n">
        <v>13.3</v>
      </c>
    </row>
    <row r="89">
      <c r="A89" s="44" t="n">
        <v>27334</v>
      </c>
      <c r="B89" t="n">
        <v>10208</v>
      </c>
      <c r="C89" t="n">
        <v>4.5</v>
      </c>
      <c r="D89" t="n">
        <v>11626</v>
      </c>
      <c r="E89" t="n">
        <v>4.9</v>
      </c>
      <c r="F89" t="n">
        <v>10166</v>
      </c>
      <c r="G89" t="n">
        <v>3.5</v>
      </c>
      <c r="H89" t="n">
        <v>8877</v>
      </c>
      <c r="I89" t="n">
        <v>6.3</v>
      </c>
    </row>
    <row r="90">
      <c r="A90" s="44" t="n">
        <v>27426</v>
      </c>
      <c r="B90" t="n">
        <v>10388</v>
      </c>
      <c r="C90" t="n">
        <v>4.6</v>
      </c>
      <c r="D90" t="n">
        <v>11780</v>
      </c>
      <c r="E90" t="n">
        <v>4.8</v>
      </c>
      <c r="F90" t="n">
        <v>10279</v>
      </c>
      <c r="G90" t="n">
        <v>2.9</v>
      </c>
      <c r="H90" t="n">
        <v>9096</v>
      </c>
      <c r="I90" t="n">
        <v>7.1</v>
      </c>
    </row>
    <row r="91">
      <c r="A91" s="44" t="n">
        <v>27515</v>
      </c>
      <c r="B91" t="n">
        <v>10728</v>
      </c>
      <c r="C91" t="n">
        <v>7</v>
      </c>
      <c r="D91" t="n">
        <v>12265</v>
      </c>
      <c r="E91" t="n">
        <v>7.8</v>
      </c>
      <c r="F91" t="n">
        <v>10626</v>
      </c>
      <c r="G91" t="n">
        <v>6</v>
      </c>
      <c r="H91" t="n">
        <v>9334</v>
      </c>
      <c r="I91" t="n">
        <v>7.9</v>
      </c>
    </row>
    <row r="92">
      <c r="A92" s="44" t="n">
        <v>27607</v>
      </c>
      <c r="B92" t="n">
        <v>10978</v>
      </c>
      <c r="C92" t="n">
        <v>8.199999999999999</v>
      </c>
      <c r="D92" t="n">
        <v>12627</v>
      </c>
      <c r="E92" t="n">
        <v>10.3</v>
      </c>
      <c r="F92" t="n">
        <v>10872</v>
      </c>
      <c r="G92" t="n">
        <v>7.5</v>
      </c>
      <c r="H92" t="n">
        <v>9534</v>
      </c>
      <c r="I92" t="n">
        <v>8</v>
      </c>
    </row>
    <row r="93">
      <c r="A93" s="44" t="n">
        <v>27699</v>
      </c>
      <c r="B93" t="n">
        <v>11288</v>
      </c>
      <c r="C93" t="n">
        <v>10.6</v>
      </c>
      <c r="D93" t="n">
        <v>13144</v>
      </c>
      <c r="E93" t="n">
        <v>13.1</v>
      </c>
      <c r="F93" t="n">
        <v>11201</v>
      </c>
      <c r="G93" t="n">
        <v>10.2</v>
      </c>
      <c r="H93" t="n">
        <v>9725</v>
      </c>
      <c r="I93" t="n">
        <v>9.6</v>
      </c>
    </row>
    <row r="94">
      <c r="A94" s="44" t="n">
        <v>27791</v>
      </c>
      <c r="B94" t="n">
        <v>11519</v>
      </c>
      <c r="C94" t="n">
        <v>10.9</v>
      </c>
      <c r="D94" t="n">
        <v>13463</v>
      </c>
      <c r="E94" t="n">
        <v>14.3</v>
      </c>
      <c r="F94" t="n">
        <v>11417</v>
      </c>
      <c r="G94" t="n">
        <v>11.1</v>
      </c>
      <c r="H94" t="n">
        <v>9924</v>
      </c>
      <c r="I94" t="n">
        <v>9.1</v>
      </c>
    </row>
    <row r="95">
      <c r="A95" s="44" t="n">
        <v>27881</v>
      </c>
      <c r="B95" t="n">
        <v>11739</v>
      </c>
      <c r="C95" t="n">
        <v>9.4</v>
      </c>
      <c r="D95" t="n">
        <v>13793</v>
      </c>
      <c r="E95" t="n">
        <v>12.5</v>
      </c>
      <c r="F95" t="n">
        <v>11586</v>
      </c>
      <c r="G95" t="n">
        <v>9</v>
      </c>
      <c r="H95" t="n">
        <v>10144</v>
      </c>
      <c r="I95" t="n">
        <v>8.699999999999999</v>
      </c>
    </row>
    <row r="96">
      <c r="A96" s="44" t="n">
        <v>27973</v>
      </c>
      <c r="B96" t="n">
        <v>11999</v>
      </c>
      <c r="C96" t="n">
        <v>9.300000000000001</v>
      </c>
      <c r="D96" t="n">
        <v>14134</v>
      </c>
      <c r="E96" t="n">
        <v>11.9</v>
      </c>
      <c r="F96" t="n">
        <v>11916</v>
      </c>
      <c r="G96" t="n">
        <v>9.6</v>
      </c>
      <c r="H96" t="n">
        <v>10258</v>
      </c>
      <c r="I96" t="n">
        <v>7.6</v>
      </c>
    </row>
    <row r="97">
      <c r="A97" s="44" t="n">
        <v>28065</v>
      </c>
      <c r="B97" t="n">
        <v>12209</v>
      </c>
      <c r="C97" t="n">
        <v>8.199999999999999</v>
      </c>
      <c r="D97" t="n">
        <v>14508</v>
      </c>
      <c r="E97" t="n">
        <v>10.4</v>
      </c>
      <c r="F97" t="n">
        <v>12057</v>
      </c>
      <c r="G97" t="n">
        <v>7.6</v>
      </c>
      <c r="H97" t="n">
        <v>10468</v>
      </c>
      <c r="I97" t="n">
        <v>7.6</v>
      </c>
    </row>
    <row r="98">
      <c r="A98" s="44" t="n">
        <v>28157</v>
      </c>
      <c r="B98" t="n">
        <v>12409</v>
      </c>
      <c r="C98" t="n">
        <v>7.7</v>
      </c>
      <c r="D98" t="n">
        <v>14816</v>
      </c>
      <c r="E98" t="n">
        <v>10.1</v>
      </c>
      <c r="F98" t="n">
        <v>12236</v>
      </c>
      <c r="G98" t="n">
        <v>7.2</v>
      </c>
      <c r="H98" t="n">
        <v>10658</v>
      </c>
      <c r="I98" t="n">
        <v>7.4</v>
      </c>
    </row>
    <row r="99">
      <c r="A99" s="44" t="n">
        <v>28246</v>
      </c>
      <c r="B99" t="n">
        <v>12689</v>
      </c>
      <c r="C99" t="n">
        <v>8.1</v>
      </c>
      <c r="D99" t="n">
        <v>15267</v>
      </c>
      <c r="E99" t="n">
        <v>10.7</v>
      </c>
      <c r="F99" t="n">
        <v>12490</v>
      </c>
      <c r="G99" t="n">
        <v>7.8</v>
      </c>
      <c r="H99" t="n">
        <v>10858</v>
      </c>
      <c r="I99" t="n">
        <v>7</v>
      </c>
    </row>
    <row r="100">
      <c r="A100" s="44" t="n">
        <v>28338</v>
      </c>
      <c r="B100" t="n">
        <v>12970</v>
      </c>
      <c r="C100" t="n">
        <v>8.1</v>
      </c>
      <c r="D100" t="n">
        <v>15641</v>
      </c>
      <c r="E100" t="n">
        <v>10.7</v>
      </c>
      <c r="F100" t="n">
        <v>12745</v>
      </c>
      <c r="G100" t="n">
        <v>7</v>
      </c>
      <c r="H100" t="n">
        <v>11115</v>
      </c>
      <c r="I100" t="n">
        <v>8.4</v>
      </c>
    </row>
    <row r="101">
      <c r="A101" s="44" t="n">
        <v>28430</v>
      </c>
      <c r="B101" t="n">
        <v>13150</v>
      </c>
      <c r="C101" t="n">
        <v>7.7</v>
      </c>
      <c r="D101" t="n">
        <v>16125</v>
      </c>
      <c r="E101" t="n">
        <v>11.1</v>
      </c>
      <c r="F101" t="n">
        <v>12905</v>
      </c>
      <c r="G101" t="n">
        <v>7</v>
      </c>
      <c r="H101" t="n">
        <v>11200</v>
      </c>
      <c r="I101" t="n">
        <v>7</v>
      </c>
    </row>
    <row r="102">
      <c r="A102" s="44" t="n">
        <v>28522</v>
      </c>
      <c r="B102" t="n">
        <v>13820</v>
      </c>
      <c r="C102" t="n">
        <v>11.4</v>
      </c>
      <c r="D102" t="n">
        <v>16851</v>
      </c>
      <c r="E102" t="n">
        <v>13.7</v>
      </c>
      <c r="F102" t="n">
        <v>13573</v>
      </c>
      <c r="G102" t="n">
        <v>10.9</v>
      </c>
      <c r="H102" t="n">
        <v>11791</v>
      </c>
      <c r="I102" t="n">
        <v>10.6</v>
      </c>
    </row>
    <row r="103">
      <c r="A103" s="44" t="n">
        <v>28611</v>
      </c>
      <c r="B103" t="n">
        <v>14491</v>
      </c>
      <c r="C103" t="n">
        <v>14.2</v>
      </c>
      <c r="D103" t="n">
        <v>17577</v>
      </c>
      <c r="E103" t="n">
        <v>15.1</v>
      </c>
      <c r="F103" t="n">
        <v>14251</v>
      </c>
      <c r="G103" t="n">
        <v>14.1</v>
      </c>
      <c r="H103" t="n">
        <v>12372</v>
      </c>
      <c r="I103" t="n">
        <v>13.9</v>
      </c>
    </row>
    <row r="104">
      <c r="A104" s="44" t="n">
        <v>28703</v>
      </c>
      <c r="B104" t="n">
        <v>15912</v>
      </c>
      <c r="C104" t="n">
        <v>22.7</v>
      </c>
      <c r="D104" t="n">
        <v>19216</v>
      </c>
      <c r="E104" t="n">
        <v>22.9</v>
      </c>
      <c r="F104" t="n">
        <v>15822</v>
      </c>
      <c r="G104" t="n">
        <v>24.1</v>
      </c>
      <c r="H104" t="n">
        <v>13467</v>
      </c>
      <c r="I104" t="n">
        <v>21.2</v>
      </c>
    </row>
    <row r="105">
      <c r="A105" s="44" t="n">
        <v>28795</v>
      </c>
      <c r="B105" t="n">
        <v>16823</v>
      </c>
      <c r="C105" t="n">
        <v>27.9</v>
      </c>
      <c r="D105" t="n">
        <v>20283</v>
      </c>
      <c r="E105" t="n">
        <v>25.8</v>
      </c>
      <c r="F105" t="n">
        <v>16735</v>
      </c>
      <c r="G105" t="n">
        <v>29.7</v>
      </c>
      <c r="H105" t="n">
        <v>14296</v>
      </c>
      <c r="I105" t="n">
        <v>27.6</v>
      </c>
    </row>
    <row r="106">
      <c r="A106" s="44" t="n">
        <v>28887</v>
      </c>
      <c r="B106" t="n">
        <v>17793</v>
      </c>
      <c r="C106" t="n">
        <v>28.7</v>
      </c>
      <c r="D106" t="n">
        <v>21658</v>
      </c>
      <c r="E106" t="n">
        <v>28.5</v>
      </c>
      <c r="F106" t="n">
        <v>17620</v>
      </c>
      <c r="G106" t="n">
        <v>29.8</v>
      </c>
      <c r="H106" t="n">
        <v>15210</v>
      </c>
      <c r="I106" t="n">
        <v>29</v>
      </c>
    </row>
    <row r="107">
      <c r="A107" s="44" t="n">
        <v>28976</v>
      </c>
      <c r="B107" t="n">
        <v>19075</v>
      </c>
      <c r="C107" t="n">
        <v>31.6</v>
      </c>
      <c r="D107" t="n">
        <v>22923</v>
      </c>
      <c r="E107" t="n">
        <v>30.4</v>
      </c>
      <c r="F107" t="n">
        <v>18900</v>
      </c>
      <c r="G107" t="n">
        <v>32.6</v>
      </c>
      <c r="H107" t="n">
        <v>16420</v>
      </c>
      <c r="I107" t="n">
        <v>32.7</v>
      </c>
    </row>
    <row r="108">
      <c r="A108" s="44" t="n">
        <v>29068</v>
      </c>
      <c r="B108" t="n">
        <v>20485</v>
      </c>
      <c r="C108" t="n">
        <v>28.7</v>
      </c>
      <c r="D108" t="n">
        <v>24716</v>
      </c>
      <c r="E108" t="n">
        <v>28.6</v>
      </c>
      <c r="F108" t="n">
        <v>20180</v>
      </c>
      <c r="G108" t="n">
        <v>27.5</v>
      </c>
      <c r="H108" t="n">
        <v>17801</v>
      </c>
      <c r="I108" t="n">
        <v>32.2</v>
      </c>
    </row>
    <row r="109">
      <c r="A109" s="44" t="n">
        <v>29160</v>
      </c>
      <c r="B109" t="n">
        <v>21966</v>
      </c>
      <c r="C109" t="n">
        <v>30.6</v>
      </c>
      <c r="D109" t="n">
        <v>26124</v>
      </c>
      <c r="E109" t="n">
        <v>28.8</v>
      </c>
      <c r="F109" t="n">
        <v>21733</v>
      </c>
      <c r="G109" t="n">
        <v>29.9</v>
      </c>
      <c r="H109" t="n">
        <v>19144</v>
      </c>
      <c r="I109" t="n">
        <v>33.9</v>
      </c>
    </row>
    <row r="110">
      <c r="A110" s="44" t="n">
        <v>29252</v>
      </c>
      <c r="B110" t="n">
        <v>22677</v>
      </c>
      <c r="C110" t="n">
        <v>27.4</v>
      </c>
      <c r="D110" t="n">
        <v>27839</v>
      </c>
      <c r="E110" t="n">
        <v>28.5</v>
      </c>
      <c r="F110" t="n">
        <v>23067</v>
      </c>
      <c r="G110" t="n">
        <v>30.9</v>
      </c>
      <c r="H110" t="n">
        <v>19605</v>
      </c>
      <c r="I110" t="n">
        <v>28.9</v>
      </c>
    </row>
    <row r="111">
      <c r="A111" s="44" t="n">
        <v>29342</v>
      </c>
      <c r="B111" t="n">
        <v>23348</v>
      </c>
      <c r="C111" t="n">
        <v>22.4</v>
      </c>
      <c r="D111" t="n">
        <v>28830</v>
      </c>
      <c r="E111" t="n">
        <v>25.8</v>
      </c>
      <c r="F111" t="n">
        <v>22986</v>
      </c>
      <c r="G111" t="n">
        <v>21.6</v>
      </c>
      <c r="H111" t="n">
        <v>20220</v>
      </c>
      <c r="I111" t="n">
        <v>23.1</v>
      </c>
    </row>
    <row r="112">
      <c r="A112" s="44" t="n">
        <v>29434</v>
      </c>
      <c r="B112" t="n">
        <v>23628</v>
      </c>
      <c r="C112" t="n">
        <v>15.3</v>
      </c>
      <c r="D112" t="n">
        <v>29314</v>
      </c>
      <c r="E112" t="n">
        <v>18.6</v>
      </c>
      <c r="F112" t="n">
        <v>23230</v>
      </c>
      <c r="G112" t="n">
        <v>15.1</v>
      </c>
      <c r="H112" t="n">
        <v>20497</v>
      </c>
      <c r="I112" t="n">
        <v>15.1</v>
      </c>
    </row>
    <row r="113">
      <c r="A113" s="44" t="n">
        <v>29526</v>
      </c>
      <c r="B113" t="n">
        <v>23497</v>
      </c>
      <c r="C113" t="n">
        <v>7</v>
      </c>
      <c r="D113" t="n">
        <v>29468</v>
      </c>
      <c r="E113" t="n">
        <v>12.8</v>
      </c>
      <c r="F113" t="n">
        <v>23070</v>
      </c>
      <c r="G113" t="n">
        <v>6.1</v>
      </c>
      <c r="H113" t="n">
        <v>20373</v>
      </c>
      <c r="I113" t="n">
        <v>6.4</v>
      </c>
    </row>
    <row r="114">
      <c r="A114" s="44" t="n">
        <v>29618</v>
      </c>
      <c r="B114" t="n">
        <v>23730</v>
      </c>
      <c r="C114" t="n">
        <v>4.6</v>
      </c>
      <c r="D114" t="n">
        <v>30481</v>
      </c>
      <c r="E114" t="n">
        <v>9.5</v>
      </c>
      <c r="F114" t="n">
        <v>23488</v>
      </c>
      <c r="G114" t="n">
        <v>1.8</v>
      </c>
      <c r="H114" t="n">
        <v>20444</v>
      </c>
      <c r="I114" t="n">
        <v>4.3</v>
      </c>
    </row>
    <row r="115">
      <c r="A115" s="44" t="n">
        <v>29707</v>
      </c>
      <c r="B115" t="n">
        <v>24098</v>
      </c>
      <c r="C115" t="n">
        <v>3.2</v>
      </c>
      <c r="D115" t="n">
        <v>30985</v>
      </c>
      <c r="E115" t="n">
        <v>7.5</v>
      </c>
      <c r="F115" t="n">
        <v>23814</v>
      </c>
      <c r="G115" t="n">
        <v>3.6</v>
      </c>
      <c r="H115" t="n">
        <v>20801</v>
      </c>
      <c r="I115" t="n">
        <v>2.9</v>
      </c>
    </row>
    <row r="116">
      <c r="A116" s="44" t="n">
        <v>29799</v>
      </c>
      <c r="B116" t="n">
        <v>24188</v>
      </c>
      <c r="C116" t="n">
        <v>2.4</v>
      </c>
      <c r="D116" t="n">
        <v>30875</v>
      </c>
      <c r="E116" t="n">
        <v>5.3</v>
      </c>
      <c r="F116" t="n">
        <v>24040</v>
      </c>
      <c r="G116" t="n">
        <v>3.5</v>
      </c>
      <c r="H116" t="n">
        <v>20820</v>
      </c>
      <c r="I116" t="n">
        <v>1.6</v>
      </c>
    </row>
    <row r="117">
      <c r="A117" s="44" t="n">
        <v>29891</v>
      </c>
      <c r="B117" t="n">
        <v>23798</v>
      </c>
      <c r="C117" t="n">
        <v>1.3</v>
      </c>
      <c r="D117" t="n">
        <v>31557</v>
      </c>
      <c r="E117" t="n">
        <v>7.1</v>
      </c>
      <c r="F117" t="n">
        <v>23578</v>
      </c>
      <c r="G117" t="n">
        <v>2.2</v>
      </c>
      <c r="H117" t="n">
        <v>20334</v>
      </c>
      <c r="I117" t="n">
        <v>-0.2</v>
      </c>
    </row>
    <row r="118">
      <c r="A118" s="44" t="n">
        <v>29983</v>
      </c>
      <c r="B118" t="n">
        <v>24177</v>
      </c>
      <c r="C118" t="n">
        <v>1.9</v>
      </c>
      <c r="D118" t="n">
        <v>32107</v>
      </c>
      <c r="E118" t="n">
        <v>5.3</v>
      </c>
      <c r="F118" t="n">
        <v>23805</v>
      </c>
      <c r="G118" t="n">
        <v>1.3</v>
      </c>
      <c r="H118" t="n">
        <v>20715</v>
      </c>
      <c r="I118" t="n">
        <v>1.3</v>
      </c>
    </row>
    <row r="119">
      <c r="A119" s="44" t="n">
        <v>30072</v>
      </c>
      <c r="B119" t="n">
        <v>24679</v>
      </c>
      <c r="C119" t="n">
        <v>2.4</v>
      </c>
      <c r="D119" t="n">
        <v>32426</v>
      </c>
      <c r="E119" t="n">
        <v>4.7</v>
      </c>
      <c r="F119" t="n">
        <v>24482</v>
      </c>
      <c r="G119" t="n">
        <v>2.8</v>
      </c>
      <c r="H119" t="n">
        <v>21211</v>
      </c>
      <c r="I119" t="n">
        <v>2</v>
      </c>
    </row>
    <row r="120">
      <c r="A120" s="44" t="n">
        <v>30164</v>
      </c>
      <c r="B120" t="n">
        <v>24969</v>
      </c>
      <c r="C120" t="n">
        <v>3.2</v>
      </c>
      <c r="D120" t="n">
        <v>32724</v>
      </c>
      <c r="E120" t="n">
        <v>6</v>
      </c>
      <c r="F120" t="n">
        <v>24943</v>
      </c>
      <c r="G120" t="n">
        <v>3.8</v>
      </c>
      <c r="H120" t="n">
        <v>21420</v>
      </c>
      <c r="I120" t="n">
        <v>2.9</v>
      </c>
    </row>
    <row r="121">
      <c r="A121" s="44" t="n">
        <v>30256</v>
      </c>
      <c r="B121" t="n">
        <v>25580</v>
      </c>
      <c r="C121" t="n">
        <v>7.5</v>
      </c>
      <c r="D121" t="n">
        <v>33471</v>
      </c>
      <c r="E121" t="n">
        <v>6.1</v>
      </c>
      <c r="F121" t="n">
        <v>25537</v>
      </c>
      <c r="G121" t="n">
        <v>8.300000000000001</v>
      </c>
      <c r="H121" t="n">
        <v>22030</v>
      </c>
      <c r="I121" t="n">
        <v>8.300000000000001</v>
      </c>
    </row>
    <row r="122">
      <c r="A122" s="44" t="n">
        <v>30348</v>
      </c>
      <c r="B122" t="n">
        <v>26307</v>
      </c>
      <c r="C122" t="n">
        <v>8.800000000000001</v>
      </c>
      <c r="D122" t="n">
        <v>33868</v>
      </c>
      <c r="E122" t="n">
        <v>5.5</v>
      </c>
      <c r="F122" t="n">
        <v>26332</v>
      </c>
      <c r="G122" t="n">
        <v>10.6</v>
      </c>
      <c r="H122" t="n">
        <v>22665</v>
      </c>
      <c r="I122" t="n">
        <v>9.4</v>
      </c>
    </row>
    <row r="123">
      <c r="A123" s="44" t="n">
        <v>30437</v>
      </c>
      <c r="B123" t="n">
        <v>27386</v>
      </c>
      <c r="C123" t="n">
        <v>11</v>
      </c>
      <c r="D123" t="n">
        <v>35324</v>
      </c>
      <c r="E123" t="n">
        <v>8.9</v>
      </c>
      <c r="F123" t="n">
        <v>27359</v>
      </c>
      <c r="G123" t="n">
        <v>11.8</v>
      </c>
      <c r="H123" t="n">
        <v>23594</v>
      </c>
      <c r="I123" t="n">
        <v>11.2</v>
      </c>
    </row>
    <row r="124">
      <c r="A124" s="44" t="n">
        <v>30529</v>
      </c>
      <c r="B124" t="n">
        <v>28175</v>
      </c>
      <c r="C124" t="n">
        <v>12.8</v>
      </c>
      <c r="D124" t="n">
        <v>36137</v>
      </c>
      <c r="E124" t="n">
        <v>10.4</v>
      </c>
      <c r="F124" t="n">
        <v>28202</v>
      </c>
      <c r="G124" t="n">
        <v>13.1</v>
      </c>
      <c r="H124" t="n">
        <v>24297</v>
      </c>
      <c r="I124" t="n">
        <v>13.4</v>
      </c>
    </row>
    <row r="125">
      <c r="A125" s="44" t="n">
        <v>30621</v>
      </c>
      <c r="B125" t="n">
        <v>28623</v>
      </c>
      <c r="C125" t="n">
        <v>11.9</v>
      </c>
      <c r="D125" t="n">
        <v>37085</v>
      </c>
      <c r="E125" t="n">
        <v>10.8</v>
      </c>
      <c r="F125" t="n">
        <v>28571</v>
      </c>
      <c r="G125" t="n">
        <v>11.9</v>
      </c>
      <c r="H125" t="n">
        <v>24591</v>
      </c>
      <c r="I125" t="n">
        <v>11.6</v>
      </c>
    </row>
    <row r="126">
      <c r="A126" s="44" t="n">
        <v>30713</v>
      </c>
      <c r="B126" t="n">
        <v>29675</v>
      </c>
      <c r="C126" t="n">
        <v>12.8</v>
      </c>
      <c r="D126" t="n">
        <v>38101</v>
      </c>
      <c r="E126" t="n">
        <v>12.5</v>
      </c>
      <c r="F126" t="n">
        <v>29677</v>
      </c>
      <c r="G126" t="n">
        <v>12.7</v>
      </c>
      <c r="H126" t="n">
        <v>25770</v>
      </c>
      <c r="I126" t="n">
        <v>13.7</v>
      </c>
    </row>
    <row r="127">
      <c r="A127" s="44" t="n">
        <v>30803</v>
      </c>
      <c r="B127" t="n">
        <v>30833</v>
      </c>
      <c r="C127" t="n">
        <v>12.6</v>
      </c>
      <c r="D127" t="n">
        <v>39219</v>
      </c>
      <c r="E127" t="n">
        <v>11</v>
      </c>
      <c r="F127" t="n">
        <v>30887</v>
      </c>
      <c r="G127" t="n">
        <v>12.9</v>
      </c>
      <c r="H127" t="n">
        <v>26880</v>
      </c>
      <c r="I127" t="n">
        <v>13.9</v>
      </c>
    </row>
    <row r="128">
      <c r="A128" s="44" t="n">
        <v>30895</v>
      </c>
      <c r="B128" t="n">
        <v>31254</v>
      </c>
      <c r="C128" t="n">
        <v>10.9</v>
      </c>
      <c r="D128" t="n">
        <v>39455</v>
      </c>
      <c r="E128" t="n">
        <v>9.199999999999999</v>
      </c>
      <c r="F128" t="n">
        <v>31440</v>
      </c>
      <c r="G128" t="n">
        <v>11.5</v>
      </c>
      <c r="H128" t="n">
        <v>27379</v>
      </c>
      <c r="I128" t="n">
        <v>12.7</v>
      </c>
    </row>
    <row r="129">
      <c r="A129" s="44" t="n">
        <v>30987</v>
      </c>
      <c r="B129" t="n">
        <v>32543</v>
      </c>
      <c r="C129" t="n">
        <v>13.7</v>
      </c>
      <c r="D129" t="n">
        <v>40946</v>
      </c>
      <c r="E129" t="n">
        <v>10.4</v>
      </c>
      <c r="F129" t="n">
        <v>32626</v>
      </c>
      <c r="G129" t="n">
        <v>14.2</v>
      </c>
      <c r="H129" t="n">
        <v>28376</v>
      </c>
      <c r="I129" t="n">
        <v>15.4</v>
      </c>
    </row>
    <row r="130">
      <c r="A130" s="44" t="n">
        <v>31079</v>
      </c>
      <c r="B130" t="n">
        <v>33200</v>
      </c>
      <c r="C130" t="n">
        <v>11.9</v>
      </c>
      <c r="D130" t="n">
        <v>42334</v>
      </c>
      <c r="E130" t="n">
        <v>11.1</v>
      </c>
      <c r="F130" t="n">
        <v>33046</v>
      </c>
      <c r="G130" t="n">
        <v>11.4</v>
      </c>
      <c r="H130" t="n">
        <v>28966</v>
      </c>
      <c r="I130" t="n">
        <v>12.4</v>
      </c>
    </row>
    <row r="131">
      <c r="A131" s="44" t="n">
        <v>31168</v>
      </c>
      <c r="B131" t="n">
        <v>34174</v>
      </c>
      <c r="C131" t="n">
        <v>10.8</v>
      </c>
      <c r="D131" t="n">
        <v>43080</v>
      </c>
      <c r="E131" t="n">
        <v>9.800000000000001</v>
      </c>
      <c r="F131" t="n">
        <v>34047</v>
      </c>
      <c r="G131" t="n">
        <v>10.2</v>
      </c>
      <c r="H131" t="n">
        <v>29895</v>
      </c>
      <c r="I131" t="n">
        <v>11.2</v>
      </c>
    </row>
    <row r="132">
      <c r="A132" s="44" t="n">
        <v>31260</v>
      </c>
      <c r="B132" t="n">
        <v>34700</v>
      </c>
      <c r="C132" t="n">
        <v>11</v>
      </c>
      <c r="D132" t="n">
        <v>43994</v>
      </c>
      <c r="E132" t="n">
        <v>11.5</v>
      </c>
      <c r="F132" t="n">
        <v>34574</v>
      </c>
      <c r="G132" t="n">
        <v>10</v>
      </c>
      <c r="H132" t="n">
        <v>30348</v>
      </c>
      <c r="I132" t="n">
        <v>10.8</v>
      </c>
    </row>
    <row r="133">
      <c r="A133" s="44" t="n">
        <v>31352</v>
      </c>
      <c r="B133" t="n">
        <v>35436</v>
      </c>
      <c r="C133" t="n">
        <v>8.9</v>
      </c>
      <c r="D133" t="n">
        <v>45417</v>
      </c>
      <c r="E133" t="n">
        <v>10.9</v>
      </c>
      <c r="F133" t="n">
        <v>35180</v>
      </c>
      <c r="G133" t="n">
        <v>7.8</v>
      </c>
      <c r="H133" t="n">
        <v>31028</v>
      </c>
      <c r="I133" t="n">
        <v>9.300000000000001</v>
      </c>
    </row>
    <row r="134">
      <c r="A134" s="44" t="n">
        <v>31444</v>
      </c>
      <c r="B134" t="n">
        <v>35647</v>
      </c>
      <c r="C134" t="n">
        <v>7.4</v>
      </c>
      <c r="D134" t="n">
        <v>45485</v>
      </c>
      <c r="E134" t="n">
        <v>7.4</v>
      </c>
      <c r="F134" t="n">
        <v>35285</v>
      </c>
      <c r="G134" t="n">
        <v>6.8</v>
      </c>
      <c r="H134" t="n">
        <v>31368</v>
      </c>
      <c r="I134" t="n">
        <v>8.300000000000001</v>
      </c>
    </row>
    <row r="135">
      <c r="A135" s="44" t="n">
        <v>31533</v>
      </c>
      <c r="B135" t="n">
        <v>37015</v>
      </c>
      <c r="C135" t="n">
        <v>8.300000000000001</v>
      </c>
      <c r="D135" t="n">
        <v>46907</v>
      </c>
      <c r="E135" t="n">
        <v>8.9</v>
      </c>
      <c r="F135" t="n">
        <v>36681</v>
      </c>
      <c r="G135" t="n">
        <v>7.7</v>
      </c>
      <c r="H135" t="n">
        <v>32682</v>
      </c>
      <c r="I135" t="n">
        <v>9.300000000000001</v>
      </c>
    </row>
    <row r="136">
      <c r="A136" s="44" t="n">
        <v>31625</v>
      </c>
      <c r="B136" t="n">
        <v>38251</v>
      </c>
      <c r="C136" t="n">
        <v>10.2</v>
      </c>
      <c r="D136" t="n">
        <v>48668</v>
      </c>
      <c r="E136" t="n">
        <v>10.6</v>
      </c>
      <c r="F136" t="n">
        <v>37866</v>
      </c>
      <c r="G136" t="n">
        <v>9.5</v>
      </c>
      <c r="H136" t="n">
        <v>33748</v>
      </c>
      <c r="I136" t="n">
        <v>11.2</v>
      </c>
    </row>
    <row r="137">
      <c r="A137" s="44" t="n">
        <v>31717</v>
      </c>
      <c r="B137" t="n">
        <v>39593</v>
      </c>
      <c r="C137" t="n">
        <v>11.7</v>
      </c>
      <c r="D137" t="n">
        <v>50395</v>
      </c>
      <c r="E137" t="n">
        <v>11</v>
      </c>
      <c r="F137" t="n">
        <v>39366</v>
      </c>
      <c r="G137" t="n">
        <v>11.9</v>
      </c>
      <c r="H137" t="n">
        <v>34949</v>
      </c>
      <c r="I137" t="n">
        <v>12.6</v>
      </c>
    </row>
    <row r="138">
      <c r="A138" s="44" t="n">
        <v>31809</v>
      </c>
      <c r="B138" t="n">
        <v>40882</v>
      </c>
      <c r="C138" t="n">
        <v>14.7</v>
      </c>
      <c r="D138" t="n">
        <v>50903</v>
      </c>
      <c r="E138" t="n">
        <v>11.9</v>
      </c>
      <c r="F138" t="n">
        <v>40472</v>
      </c>
      <c r="G138" t="n">
        <v>14.7</v>
      </c>
      <c r="H138" t="n">
        <v>36467</v>
      </c>
      <c r="I138" t="n">
        <v>16.3</v>
      </c>
    </row>
    <row r="139">
      <c r="A139" s="44" t="n">
        <v>31898</v>
      </c>
      <c r="B139" t="n">
        <v>42987</v>
      </c>
      <c r="C139" t="n">
        <v>16.1</v>
      </c>
      <c r="D139" t="n">
        <v>53206</v>
      </c>
      <c r="E139" t="n">
        <v>13.4</v>
      </c>
      <c r="F139" t="n">
        <v>42500</v>
      </c>
      <c r="G139" t="n">
        <v>15.9</v>
      </c>
      <c r="H139" t="n">
        <v>38371</v>
      </c>
      <c r="I139" t="n">
        <v>17.4</v>
      </c>
    </row>
    <row r="140">
      <c r="A140" s="44" t="n">
        <v>31990</v>
      </c>
      <c r="B140" t="n">
        <v>44434</v>
      </c>
      <c r="C140" t="n">
        <v>16.2</v>
      </c>
      <c r="D140" t="n">
        <v>54933</v>
      </c>
      <c r="E140" t="n">
        <v>12.9</v>
      </c>
      <c r="F140" t="n">
        <v>43922</v>
      </c>
      <c r="G140" t="n">
        <v>16</v>
      </c>
      <c r="H140" t="n">
        <v>39799</v>
      </c>
      <c r="I140" t="n">
        <v>17.9</v>
      </c>
    </row>
    <row r="141">
      <c r="A141" s="44" t="n">
        <v>32082</v>
      </c>
      <c r="B141" t="n">
        <v>44355</v>
      </c>
      <c r="C141" t="n">
        <v>12</v>
      </c>
      <c r="D141" t="n">
        <v>55374</v>
      </c>
      <c r="E141" t="n">
        <v>9.9</v>
      </c>
      <c r="F141" t="n">
        <v>43632</v>
      </c>
      <c r="G141" t="n">
        <v>10.8</v>
      </c>
      <c r="H141" t="n">
        <v>39663</v>
      </c>
      <c r="I141" t="n">
        <v>13.5</v>
      </c>
    </row>
    <row r="142">
      <c r="A142" s="44" t="n">
        <v>32174</v>
      </c>
      <c r="B142" t="n">
        <v>45091</v>
      </c>
      <c r="C142" t="n">
        <v>10.3</v>
      </c>
      <c r="D142" t="n">
        <v>55713</v>
      </c>
      <c r="E142" t="n">
        <v>9.4</v>
      </c>
      <c r="F142" t="n">
        <v>44633</v>
      </c>
      <c r="G142" t="n">
        <v>10.3</v>
      </c>
      <c r="H142" t="n">
        <v>39799</v>
      </c>
      <c r="I142" t="n">
        <v>9.1</v>
      </c>
    </row>
    <row r="143">
      <c r="A143" s="44" t="n">
        <v>32264</v>
      </c>
      <c r="B143" t="n">
        <v>48932</v>
      </c>
      <c r="C143" t="n">
        <v>13.8</v>
      </c>
      <c r="D143" t="n">
        <v>60318</v>
      </c>
      <c r="E143" t="n">
        <v>13.4</v>
      </c>
      <c r="F143" t="n">
        <v>48530</v>
      </c>
      <c r="G143" t="n">
        <v>14.2</v>
      </c>
      <c r="H143" t="n">
        <v>43086</v>
      </c>
      <c r="I143" t="n">
        <v>12.3</v>
      </c>
    </row>
    <row r="144">
      <c r="A144" s="44" t="n">
        <v>32356</v>
      </c>
      <c r="B144" t="n">
        <v>54352</v>
      </c>
      <c r="C144" t="n">
        <v>22.3</v>
      </c>
      <c r="D144" t="n">
        <v>66753</v>
      </c>
      <c r="E144" t="n">
        <v>21.5</v>
      </c>
      <c r="F144" t="n">
        <v>54455</v>
      </c>
      <c r="G144" t="n">
        <v>24</v>
      </c>
      <c r="H144" t="n">
        <v>47460</v>
      </c>
      <c r="I144" t="n">
        <v>19.2</v>
      </c>
    </row>
    <row r="145">
      <c r="A145" s="44" t="n">
        <v>32448</v>
      </c>
      <c r="B145" t="n">
        <v>57245</v>
      </c>
      <c r="C145" t="n">
        <v>29.1</v>
      </c>
      <c r="D145" t="n">
        <v>71021</v>
      </c>
      <c r="E145" t="n">
        <v>28.3</v>
      </c>
      <c r="F145" t="n">
        <v>57667</v>
      </c>
      <c r="G145" t="n">
        <v>32.2</v>
      </c>
      <c r="H145" t="n">
        <v>49840</v>
      </c>
      <c r="I145" t="n">
        <v>25.7</v>
      </c>
    </row>
    <row r="146">
      <c r="A146" s="44" t="n">
        <v>32540</v>
      </c>
      <c r="B146" t="n">
        <v>59534</v>
      </c>
      <c r="C146" t="n">
        <v>32</v>
      </c>
      <c r="D146" t="n">
        <v>71495</v>
      </c>
      <c r="E146" t="n">
        <v>28.3</v>
      </c>
      <c r="F146" t="n">
        <v>59458</v>
      </c>
      <c r="G146" t="n">
        <v>33.2</v>
      </c>
      <c r="H146" t="n">
        <v>52967</v>
      </c>
      <c r="I146" t="n">
        <v>33.1</v>
      </c>
    </row>
    <row r="147">
      <c r="A147" s="44" t="n">
        <v>32629</v>
      </c>
      <c r="B147" t="n">
        <v>62244</v>
      </c>
      <c r="C147" t="n">
        <v>27.2</v>
      </c>
      <c r="D147" t="n">
        <v>72714</v>
      </c>
      <c r="E147" t="n">
        <v>20.6</v>
      </c>
      <c r="F147" t="n">
        <v>62060</v>
      </c>
      <c r="G147" t="n">
        <v>27.9</v>
      </c>
      <c r="H147" t="n">
        <v>55598</v>
      </c>
      <c r="I147" t="n">
        <v>29</v>
      </c>
    </row>
    <row r="148">
      <c r="A148" s="44" t="n">
        <v>32721</v>
      </c>
      <c r="B148" t="n">
        <v>62782</v>
      </c>
      <c r="C148" t="n">
        <v>15.5</v>
      </c>
      <c r="D148" t="n">
        <v>72366</v>
      </c>
      <c r="E148" t="n">
        <v>8.4</v>
      </c>
      <c r="F148" t="n">
        <v>61551</v>
      </c>
      <c r="G148" t="n">
        <v>13</v>
      </c>
      <c r="H148" t="n">
        <v>56785</v>
      </c>
      <c r="I148" t="n">
        <v>19.6</v>
      </c>
    </row>
    <row r="149">
      <c r="A149" s="44" t="n">
        <v>32813</v>
      </c>
      <c r="B149" t="n">
        <v>61495</v>
      </c>
      <c r="C149" t="n">
        <v>7.4</v>
      </c>
      <c r="D149" t="n">
        <v>71515</v>
      </c>
      <c r="E149" t="n">
        <v>0.7</v>
      </c>
      <c r="F149" t="n">
        <v>60666</v>
      </c>
      <c r="G149" t="n">
        <v>5.2</v>
      </c>
      <c r="H149" t="n">
        <v>55824</v>
      </c>
      <c r="I149" t="n">
        <v>12</v>
      </c>
    </row>
    <row r="150">
      <c r="A150" s="44" t="n">
        <v>32905</v>
      </c>
      <c r="B150" t="n">
        <v>59587</v>
      </c>
      <c r="C150" t="n">
        <v>0.1</v>
      </c>
      <c r="D150" t="n">
        <v>69452</v>
      </c>
      <c r="E150" t="n">
        <v>-2.9</v>
      </c>
      <c r="F150" t="n">
        <v>59038</v>
      </c>
      <c r="G150" t="n">
        <v>-0.7</v>
      </c>
      <c r="H150" t="n">
        <v>54338</v>
      </c>
      <c r="I150" t="n">
        <v>2.6</v>
      </c>
    </row>
    <row r="151">
      <c r="A151" s="44" t="n">
        <v>32994</v>
      </c>
      <c r="B151" t="n">
        <v>58982</v>
      </c>
      <c r="C151" t="n">
        <v>-5.2</v>
      </c>
      <c r="D151" t="n">
        <v>68243</v>
      </c>
      <c r="E151" t="n">
        <v>-6.1</v>
      </c>
      <c r="F151" t="n">
        <v>58509</v>
      </c>
      <c r="G151" t="n">
        <v>-5.7</v>
      </c>
      <c r="H151" t="n">
        <v>54055</v>
      </c>
      <c r="I151" t="n">
        <v>-2.8</v>
      </c>
    </row>
    <row r="152">
      <c r="A152" s="44" t="n">
        <v>33086</v>
      </c>
      <c r="B152" t="n">
        <v>57245</v>
      </c>
      <c r="C152" t="n">
        <v>-8.800000000000001</v>
      </c>
      <c r="D152" t="n">
        <v>67296</v>
      </c>
      <c r="E152" t="n">
        <v>-7</v>
      </c>
      <c r="F152" t="n">
        <v>57422</v>
      </c>
      <c r="G152" t="n">
        <v>-6.7</v>
      </c>
      <c r="H152" t="n">
        <v>52333</v>
      </c>
      <c r="I152" t="n">
        <v>-7.8</v>
      </c>
    </row>
    <row r="153">
      <c r="A153" s="44" t="n">
        <v>33178</v>
      </c>
      <c r="B153" t="n">
        <v>54919</v>
      </c>
      <c r="C153" t="n">
        <v>-10.7</v>
      </c>
      <c r="D153" t="n">
        <v>64971</v>
      </c>
      <c r="E153" t="n">
        <v>-9.199999999999999</v>
      </c>
      <c r="F153" t="n">
        <v>55768</v>
      </c>
      <c r="G153" t="n">
        <v>-8.1</v>
      </c>
      <c r="H153" t="n">
        <v>49902</v>
      </c>
      <c r="I153" t="n">
        <v>-10.6</v>
      </c>
    </row>
    <row r="154">
      <c r="A154" s="44" t="n">
        <v>33270</v>
      </c>
      <c r="B154" t="n">
        <v>54547</v>
      </c>
      <c r="C154" t="n">
        <v>-8.5</v>
      </c>
      <c r="D154" t="n">
        <v>64397</v>
      </c>
      <c r="E154" t="n">
        <v>-7.3</v>
      </c>
      <c r="F154" t="n">
        <v>55918</v>
      </c>
      <c r="G154" t="n">
        <v>-5.3</v>
      </c>
      <c r="H154" t="n">
        <v>49197</v>
      </c>
      <c r="I154" t="n">
        <v>-9.5</v>
      </c>
    </row>
    <row r="155">
      <c r="A155" s="44" t="n">
        <v>33359</v>
      </c>
      <c r="B155" t="n">
        <v>55418</v>
      </c>
      <c r="C155" t="n">
        <v>-6</v>
      </c>
      <c r="D155" t="n">
        <v>65746</v>
      </c>
      <c r="E155" t="n">
        <v>-3.7</v>
      </c>
      <c r="F155" t="n">
        <v>55793</v>
      </c>
      <c r="G155" t="n">
        <v>-4.6</v>
      </c>
      <c r="H155" t="n">
        <v>50960</v>
      </c>
      <c r="I155" t="n">
        <v>-5.7</v>
      </c>
    </row>
    <row r="156">
      <c r="A156" s="44" t="n">
        <v>33451</v>
      </c>
      <c r="B156" t="n">
        <v>54903</v>
      </c>
      <c r="C156" t="n">
        <v>-4.1</v>
      </c>
      <c r="D156" t="n">
        <v>65052</v>
      </c>
      <c r="E156" t="n">
        <v>-3.3</v>
      </c>
      <c r="F156" t="n">
        <v>56139</v>
      </c>
      <c r="G156" t="n">
        <v>-2.2</v>
      </c>
      <c r="H156" t="n">
        <v>50085</v>
      </c>
      <c r="I156" t="n">
        <v>-4.3</v>
      </c>
    </row>
    <row r="157">
      <c r="A157" s="44" t="n">
        <v>33543</v>
      </c>
      <c r="B157" t="n">
        <v>53635</v>
      </c>
      <c r="C157" t="n">
        <v>-2.3</v>
      </c>
      <c r="D157" t="n">
        <v>63580</v>
      </c>
      <c r="E157" t="n">
        <v>-2.1</v>
      </c>
      <c r="F157" t="n">
        <v>54790</v>
      </c>
      <c r="G157" t="n">
        <v>-1.8</v>
      </c>
      <c r="H157" t="n">
        <v>49074</v>
      </c>
      <c r="I157" t="n">
        <v>-1.7</v>
      </c>
    </row>
    <row r="158">
      <c r="A158" s="44" t="n">
        <v>33635</v>
      </c>
      <c r="B158" t="n">
        <v>52187</v>
      </c>
      <c r="C158" t="n">
        <v>-4.3</v>
      </c>
      <c r="D158" t="n">
        <v>63911</v>
      </c>
      <c r="E158" t="n">
        <v>-0.8</v>
      </c>
      <c r="F158" t="n">
        <v>53593</v>
      </c>
      <c r="G158" t="n">
        <v>-4.2</v>
      </c>
      <c r="H158" t="n">
        <v>47124</v>
      </c>
      <c r="I158" t="n">
        <v>-4.2</v>
      </c>
    </row>
    <row r="159">
      <c r="A159" s="44" t="n">
        <v>33725</v>
      </c>
      <c r="B159" t="n">
        <v>52663</v>
      </c>
      <c r="C159" t="n">
        <v>-5</v>
      </c>
      <c r="D159" t="n">
        <v>63509</v>
      </c>
      <c r="E159" t="n">
        <v>-3.4</v>
      </c>
      <c r="F159" t="n">
        <v>53689</v>
      </c>
      <c r="G159" t="n">
        <v>-3.8</v>
      </c>
      <c r="H159" t="n">
        <v>48028</v>
      </c>
      <c r="I159" t="n">
        <v>-5.8</v>
      </c>
    </row>
    <row r="160">
      <c r="A160" s="44" t="n">
        <v>33817</v>
      </c>
      <c r="B160" t="n">
        <v>52243</v>
      </c>
      <c r="C160" t="n">
        <v>-4.8</v>
      </c>
      <c r="D160" t="n">
        <v>63154</v>
      </c>
      <c r="E160" t="n">
        <v>-2.9</v>
      </c>
      <c r="F160" t="n">
        <v>53179</v>
      </c>
      <c r="G160" t="n">
        <v>-5.3</v>
      </c>
      <c r="H160" t="n">
        <v>47822</v>
      </c>
      <c r="I160" t="n">
        <v>-4.5</v>
      </c>
    </row>
    <row r="161">
      <c r="A161" s="44" t="n">
        <v>33909</v>
      </c>
      <c r="B161" t="n">
        <v>50168</v>
      </c>
      <c r="C161" t="n">
        <v>-6.5</v>
      </c>
      <c r="D161" t="n">
        <v>61071</v>
      </c>
      <c r="E161" t="n">
        <v>-3.9</v>
      </c>
      <c r="F161" t="n">
        <v>51034</v>
      </c>
      <c r="G161" t="n">
        <v>-6.9</v>
      </c>
      <c r="H161" t="n">
        <v>45665</v>
      </c>
      <c r="I161" t="n">
        <v>-6.9</v>
      </c>
    </row>
    <row r="162">
      <c r="A162" s="44" t="n">
        <v>34001</v>
      </c>
      <c r="B162" t="n">
        <v>50128</v>
      </c>
      <c r="C162" t="n">
        <v>-3.9</v>
      </c>
      <c r="D162" t="n">
        <v>61621</v>
      </c>
      <c r="E162" t="n">
        <v>-3.6</v>
      </c>
      <c r="F162" t="n">
        <v>51544</v>
      </c>
      <c r="G162" t="n">
        <v>-3.8</v>
      </c>
      <c r="H162" t="n">
        <v>44619</v>
      </c>
      <c r="I162" t="n">
        <v>-5.3</v>
      </c>
    </row>
    <row r="163">
      <c r="A163" s="44" t="n">
        <v>34090</v>
      </c>
      <c r="B163" t="n">
        <v>51918</v>
      </c>
      <c r="C163" t="n">
        <v>-1.4</v>
      </c>
      <c r="D163" t="n">
        <v>62931</v>
      </c>
      <c r="E163" t="n">
        <v>-0.9</v>
      </c>
      <c r="F163" t="n">
        <v>52672</v>
      </c>
      <c r="G163" t="n">
        <v>-1.9</v>
      </c>
      <c r="H163" t="n">
        <v>47362</v>
      </c>
      <c r="I163" t="n">
        <v>-1.4</v>
      </c>
    </row>
    <row r="164">
      <c r="A164" s="44" t="n">
        <v>34182</v>
      </c>
      <c r="B164" t="n">
        <v>51746</v>
      </c>
      <c r="C164" t="n">
        <v>-1</v>
      </c>
      <c r="D164" t="n">
        <v>61562</v>
      </c>
      <c r="E164" t="n">
        <v>-2.5</v>
      </c>
      <c r="F164" t="n">
        <v>52260</v>
      </c>
      <c r="G164" t="n">
        <v>-1.7</v>
      </c>
      <c r="H164" t="n">
        <v>48049</v>
      </c>
      <c r="I164" t="n">
        <v>0.5</v>
      </c>
    </row>
    <row r="165">
      <c r="A165" s="44" t="n">
        <v>34274</v>
      </c>
      <c r="B165" t="n">
        <v>51050</v>
      </c>
      <c r="C165" t="n">
        <v>1.8</v>
      </c>
      <c r="D165" t="n">
        <v>60008</v>
      </c>
      <c r="E165" t="n">
        <v>-1.7</v>
      </c>
      <c r="F165" t="n">
        <v>52038</v>
      </c>
      <c r="G165" t="n">
        <v>2</v>
      </c>
      <c r="H165" t="n">
        <v>47183</v>
      </c>
      <c r="I165" t="n">
        <v>3.3</v>
      </c>
    </row>
    <row r="166">
      <c r="A166" s="44" t="n">
        <v>34366</v>
      </c>
      <c r="B166" t="n">
        <v>51327</v>
      </c>
      <c r="C166" t="n">
        <v>2.4</v>
      </c>
      <c r="D166" t="n">
        <v>62084</v>
      </c>
      <c r="E166" t="n">
        <v>0.8</v>
      </c>
      <c r="F166" t="n">
        <v>52363</v>
      </c>
      <c r="G166" t="n">
        <v>1.6</v>
      </c>
      <c r="H166" t="n">
        <v>46997</v>
      </c>
      <c r="I166" t="n">
        <v>5.3</v>
      </c>
    </row>
    <row r="167">
      <c r="A167" s="44" t="n">
        <v>34455</v>
      </c>
      <c r="B167" t="n">
        <v>51362</v>
      </c>
      <c r="C167" t="n">
        <v>-1.1</v>
      </c>
      <c r="D167" t="n">
        <v>59102</v>
      </c>
      <c r="E167" t="n">
        <v>-6.1</v>
      </c>
      <c r="F167" t="n">
        <v>52477</v>
      </c>
      <c r="G167" t="n">
        <v>-0.4</v>
      </c>
      <c r="H167" t="n">
        <v>47404</v>
      </c>
      <c r="I167" t="n">
        <v>0.1</v>
      </c>
    </row>
    <row r="168">
      <c r="A168" s="44" t="n">
        <v>34547</v>
      </c>
      <c r="B168" t="n">
        <v>51731</v>
      </c>
      <c r="C168" t="n">
        <v>-0</v>
      </c>
      <c r="D168" t="n">
        <v>58687</v>
      </c>
      <c r="E168" t="n">
        <v>-4.7</v>
      </c>
      <c r="F168" t="n">
        <v>52808</v>
      </c>
      <c r="G168" t="n">
        <v>1</v>
      </c>
      <c r="H168" t="n">
        <v>47786</v>
      </c>
      <c r="I168" t="n">
        <v>-0.5</v>
      </c>
    </row>
    <row r="169">
      <c r="A169" s="44" t="n">
        <v>34639</v>
      </c>
      <c r="B169" t="n">
        <v>52114</v>
      </c>
      <c r="C169" t="n">
        <v>2.1</v>
      </c>
      <c r="D169" t="n">
        <v>61586</v>
      </c>
      <c r="E169" t="n">
        <v>2.6</v>
      </c>
      <c r="F169" t="n">
        <v>52703</v>
      </c>
      <c r="G169" t="n">
        <v>1.3</v>
      </c>
      <c r="H169" t="n">
        <v>47811</v>
      </c>
      <c r="I169" t="n">
        <v>1.3</v>
      </c>
    </row>
    <row r="170">
      <c r="A170" s="44" t="n">
        <v>34731</v>
      </c>
      <c r="B170" t="n">
        <v>51084</v>
      </c>
      <c r="C170" t="n">
        <v>-0.5</v>
      </c>
      <c r="D170" t="n">
        <v>62243</v>
      </c>
      <c r="E170" t="n">
        <v>0.3</v>
      </c>
      <c r="F170" t="n">
        <v>51845</v>
      </c>
      <c r="G170" t="n">
        <v>-1</v>
      </c>
      <c r="H170" t="n">
        <v>47300</v>
      </c>
      <c r="I170" t="n">
        <v>0.6</v>
      </c>
    </row>
    <row r="171">
      <c r="A171" s="44" t="n">
        <v>34820</v>
      </c>
      <c r="B171" t="n">
        <v>51633</v>
      </c>
      <c r="C171" t="n">
        <v>0.5</v>
      </c>
      <c r="D171" t="n">
        <v>62020</v>
      </c>
      <c r="E171" t="n">
        <v>4.9</v>
      </c>
      <c r="F171" t="n">
        <v>52452</v>
      </c>
      <c r="G171" t="n">
        <v>-0</v>
      </c>
      <c r="H171" t="n">
        <v>47850</v>
      </c>
      <c r="I171" t="n">
        <v>0.9</v>
      </c>
    </row>
    <row r="172">
      <c r="A172" s="44" t="n">
        <v>34912</v>
      </c>
      <c r="B172" t="n">
        <v>51334</v>
      </c>
      <c r="C172" t="n">
        <v>-0.8</v>
      </c>
      <c r="D172" t="n">
        <v>63301</v>
      </c>
      <c r="E172" t="n">
        <v>7.9</v>
      </c>
      <c r="F172" t="n">
        <v>52415</v>
      </c>
      <c r="G172" t="n">
        <v>-0.7</v>
      </c>
      <c r="H172" t="n">
        <v>46909</v>
      </c>
      <c r="I172" t="n">
        <v>-1.8</v>
      </c>
    </row>
    <row r="173">
      <c r="A173" s="44" t="n">
        <v>35004</v>
      </c>
      <c r="B173" t="n">
        <v>50930</v>
      </c>
      <c r="C173" t="n">
        <v>-2.3</v>
      </c>
      <c r="D173" t="n">
        <v>62772</v>
      </c>
      <c r="E173" t="n">
        <v>1.9</v>
      </c>
      <c r="F173" t="n">
        <v>51545</v>
      </c>
      <c r="G173" t="n">
        <v>-2.2</v>
      </c>
      <c r="H173" t="n">
        <v>46801</v>
      </c>
      <c r="I173" t="n">
        <v>-2.1</v>
      </c>
    </row>
    <row r="174">
      <c r="A174" s="44" t="n">
        <v>35096</v>
      </c>
      <c r="B174" t="n">
        <v>51367</v>
      </c>
      <c r="C174" t="n">
        <v>0.6</v>
      </c>
      <c r="D174" t="n">
        <v>62302</v>
      </c>
      <c r="E174" t="n">
        <v>0.1</v>
      </c>
      <c r="F174" t="n">
        <v>52097</v>
      </c>
      <c r="G174" t="n">
        <v>0.5</v>
      </c>
      <c r="H174" t="n">
        <v>47136</v>
      </c>
      <c r="I174" t="n">
        <v>-0.3</v>
      </c>
    </row>
    <row r="175">
      <c r="A175" s="44" t="n">
        <v>35186</v>
      </c>
      <c r="B175" t="n">
        <v>53032</v>
      </c>
      <c r="C175" t="n">
        <v>2.7</v>
      </c>
      <c r="D175" t="n">
        <v>65530</v>
      </c>
      <c r="E175" t="n">
        <v>5.7</v>
      </c>
      <c r="F175" t="n">
        <v>53624</v>
      </c>
      <c r="G175" t="n">
        <v>2.2</v>
      </c>
      <c r="H175" t="n">
        <v>46895</v>
      </c>
      <c r="I175" t="n">
        <v>-2</v>
      </c>
    </row>
    <row r="176">
      <c r="A176" s="44" t="n">
        <v>35278</v>
      </c>
      <c r="B176" t="n">
        <v>54008</v>
      </c>
      <c r="C176" t="n">
        <v>5.2</v>
      </c>
      <c r="D176" t="n">
        <v>68613</v>
      </c>
      <c r="E176" t="n">
        <v>8.4</v>
      </c>
      <c r="F176" t="n">
        <v>54555</v>
      </c>
      <c r="G176" t="n">
        <v>4.1</v>
      </c>
      <c r="H176" t="n">
        <v>49293</v>
      </c>
      <c r="I176" t="n">
        <v>5.1</v>
      </c>
    </row>
    <row r="177">
      <c r="A177" s="44" t="n">
        <v>35370</v>
      </c>
      <c r="B177" t="n">
        <v>55169</v>
      </c>
      <c r="C177" t="n">
        <v>8.300000000000001</v>
      </c>
      <c r="D177" t="n">
        <v>70210</v>
      </c>
      <c r="E177" t="n">
        <v>11.8</v>
      </c>
      <c r="F177" t="n">
        <v>55408</v>
      </c>
      <c r="G177" t="n">
        <v>7.5</v>
      </c>
      <c r="H177" t="n">
        <v>50520</v>
      </c>
      <c r="I177" t="n">
        <v>7.9</v>
      </c>
    </row>
    <row r="178">
      <c r="A178" s="44" t="n">
        <v>35462</v>
      </c>
      <c r="B178" t="n">
        <v>55810</v>
      </c>
      <c r="C178" t="n">
        <v>8.6</v>
      </c>
      <c r="D178" t="n">
        <v>70549</v>
      </c>
      <c r="E178" t="n">
        <v>13.2</v>
      </c>
      <c r="F178" t="n">
        <v>56399</v>
      </c>
      <c r="G178" t="n">
        <v>8.300000000000001</v>
      </c>
      <c r="H178" t="n">
        <v>50948</v>
      </c>
      <c r="I178" t="n">
        <v>8.1</v>
      </c>
    </row>
    <row r="179">
      <c r="A179" s="44" t="n">
        <v>35551</v>
      </c>
      <c r="B179" t="n">
        <v>58403</v>
      </c>
      <c r="C179" t="n">
        <v>10.1</v>
      </c>
      <c r="D179" t="n">
        <v>71892</v>
      </c>
      <c r="E179" t="n">
        <v>9.699999999999999</v>
      </c>
      <c r="F179" t="n">
        <v>58651</v>
      </c>
      <c r="G179" t="n">
        <v>9.4</v>
      </c>
      <c r="H179" t="n">
        <v>53802</v>
      </c>
      <c r="I179" t="n">
        <v>14.7</v>
      </c>
    </row>
    <row r="180">
      <c r="A180" s="44" t="n">
        <v>35643</v>
      </c>
      <c r="B180" t="n">
        <v>60754</v>
      </c>
      <c r="C180" t="n">
        <v>12.5</v>
      </c>
      <c r="D180" t="n">
        <v>73284</v>
      </c>
      <c r="E180" t="n">
        <v>6.8</v>
      </c>
      <c r="F180" t="n">
        <v>60618</v>
      </c>
      <c r="G180" t="n">
        <v>11.1</v>
      </c>
      <c r="H180" t="n">
        <v>56653</v>
      </c>
      <c r="I180" t="n">
        <v>14.9</v>
      </c>
    </row>
    <row r="181">
      <c r="A181" s="44" t="n">
        <v>35735</v>
      </c>
      <c r="B181" t="n">
        <v>61830</v>
      </c>
      <c r="C181" t="n">
        <v>12.1</v>
      </c>
      <c r="D181" t="n">
        <v>75462</v>
      </c>
      <c r="E181" t="n">
        <v>7.5</v>
      </c>
      <c r="F181" t="n">
        <v>61443</v>
      </c>
      <c r="G181" t="n">
        <v>10.9</v>
      </c>
      <c r="H181" t="n">
        <v>57763</v>
      </c>
      <c r="I181" t="n">
        <v>14.3</v>
      </c>
    </row>
    <row r="182">
      <c r="A182" s="44" t="n">
        <v>35827</v>
      </c>
      <c r="B182" t="n">
        <v>62903</v>
      </c>
      <c r="C182" t="n">
        <v>12.7</v>
      </c>
      <c r="D182" t="n">
        <v>74853</v>
      </c>
      <c r="E182" t="n">
        <v>6.1</v>
      </c>
      <c r="F182" t="n">
        <v>62817</v>
      </c>
      <c r="G182" t="n">
        <v>11.4</v>
      </c>
      <c r="H182" t="n">
        <v>58867</v>
      </c>
      <c r="I182" t="n">
        <v>15.5</v>
      </c>
    </row>
    <row r="183">
      <c r="A183" s="44" t="n">
        <v>35916</v>
      </c>
      <c r="B183" t="n">
        <v>65221</v>
      </c>
      <c r="C183" t="n">
        <v>11.7</v>
      </c>
      <c r="D183" t="n">
        <v>75618</v>
      </c>
      <c r="E183" t="n">
        <v>5.2</v>
      </c>
      <c r="F183" t="n">
        <v>65234</v>
      </c>
      <c r="G183" t="n">
        <v>11.2</v>
      </c>
      <c r="H183" t="n">
        <v>61286</v>
      </c>
      <c r="I183" t="n">
        <v>13.9</v>
      </c>
    </row>
    <row r="184">
      <c r="A184" s="44" t="n">
        <v>36008</v>
      </c>
      <c r="B184" t="n">
        <v>66366</v>
      </c>
      <c r="C184" t="n">
        <v>9.199999999999999</v>
      </c>
      <c r="D184" t="n">
        <v>78354</v>
      </c>
      <c r="E184" t="n">
        <v>6.9</v>
      </c>
      <c r="F184" t="n">
        <v>65856</v>
      </c>
      <c r="G184" t="n">
        <v>8.6</v>
      </c>
      <c r="H184" t="n">
        <v>62685</v>
      </c>
      <c r="I184" t="n">
        <v>10.6</v>
      </c>
    </row>
    <row r="185">
      <c r="A185" s="44" t="n">
        <v>36100</v>
      </c>
      <c r="B185" t="n">
        <v>66313</v>
      </c>
      <c r="C185" t="n">
        <v>7.3</v>
      </c>
      <c r="D185" t="n">
        <v>78804</v>
      </c>
      <c r="E185" t="n">
        <v>4.4</v>
      </c>
      <c r="F185" t="n">
        <v>65962</v>
      </c>
      <c r="G185" t="n">
        <v>7.4</v>
      </c>
      <c r="H185" t="n">
        <v>62568</v>
      </c>
      <c r="I185" t="n">
        <v>8.300000000000001</v>
      </c>
    </row>
    <row r="186">
      <c r="A186" s="44" t="n">
        <v>36192</v>
      </c>
      <c r="B186" t="n">
        <v>67478</v>
      </c>
      <c r="C186" t="n">
        <v>7.3</v>
      </c>
      <c r="D186" t="n">
        <v>79650</v>
      </c>
      <c r="E186" t="n">
        <v>6.4</v>
      </c>
      <c r="F186" t="n">
        <v>67183</v>
      </c>
      <c r="G186" t="n">
        <v>6.9</v>
      </c>
      <c r="H186" t="n">
        <v>63751</v>
      </c>
      <c r="I186" t="n">
        <v>8.300000000000001</v>
      </c>
    </row>
    <row r="187">
      <c r="A187" s="44" t="n">
        <v>36281</v>
      </c>
      <c r="B187" t="n">
        <v>70010</v>
      </c>
      <c r="C187" t="n">
        <v>7.3</v>
      </c>
      <c r="D187" t="n">
        <v>80886</v>
      </c>
      <c r="E187" t="n">
        <v>7</v>
      </c>
      <c r="F187" t="n">
        <v>69583</v>
      </c>
      <c r="G187" t="n">
        <v>6.7</v>
      </c>
      <c r="H187" t="n">
        <v>66559</v>
      </c>
      <c r="I187" t="n">
        <v>8.6</v>
      </c>
    </row>
    <row r="188">
      <c r="A188" s="44" t="n">
        <v>36373</v>
      </c>
      <c r="B188" t="n">
        <v>72362</v>
      </c>
      <c r="C188" t="n">
        <v>9</v>
      </c>
      <c r="D188" t="n">
        <v>83917</v>
      </c>
      <c r="E188" t="n">
        <v>7.1</v>
      </c>
      <c r="F188" t="n">
        <v>71855</v>
      </c>
      <c r="G188" t="n">
        <v>9.1</v>
      </c>
      <c r="H188" t="n">
        <v>69018</v>
      </c>
      <c r="I188" t="n">
        <v>10.1</v>
      </c>
    </row>
    <row r="189">
      <c r="A189" s="44" t="n">
        <v>36465</v>
      </c>
      <c r="B189" t="n">
        <v>74638</v>
      </c>
      <c r="C189" t="n">
        <v>12.6</v>
      </c>
      <c r="D189" t="n">
        <v>86141</v>
      </c>
      <c r="E189" t="n">
        <v>9.300000000000001</v>
      </c>
      <c r="F189" t="n">
        <v>74283</v>
      </c>
      <c r="G189" t="n">
        <v>12.6</v>
      </c>
      <c r="H189" t="n">
        <v>71149</v>
      </c>
      <c r="I189" t="n">
        <v>13.7</v>
      </c>
    </row>
    <row r="190">
      <c r="A190" s="44" t="n">
        <v>36557</v>
      </c>
      <c r="B190" t="n">
        <v>77698</v>
      </c>
      <c r="C190" t="n">
        <v>15.1</v>
      </c>
      <c r="D190" t="n">
        <v>89015</v>
      </c>
      <c r="E190" t="n">
        <v>11.8</v>
      </c>
      <c r="F190" t="n">
        <v>77208</v>
      </c>
      <c r="G190" t="n">
        <v>14.9</v>
      </c>
      <c r="H190" t="n">
        <v>74285</v>
      </c>
      <c r="I190" t="n">
        <v>16.5</v>
      </c>
    </row>
    <row r="191">
      <c r="A191" s="44" t="n">
        <v>36647</v>
      </c>
      <c r="B191" t="n">
        <v>81202</v>
      </c>
      <c r="C191" t="n">
        <v>16</v>
      </c>
      <c r="D191" t="n">
        <v>90383</v>
      </c>
      <c r="E191" t="n">
        <v>11.7</v>
      </c>
      <c r="F191" t="n">
        <v>80893</v>
      </c>
      <c r="G191" t="n">
        <v>16.3</v>
      </c>
      <c r="H191" t="n">
        <v>77808</v>
      </c>
      <c r="I191" t="n">
        <v>16.9</v>
      </c>
    </row>
    <row r="192">
      <c r="A192" s="44" t="n">
        <v>36739</v>
      </c>
      <c r="B192" t="n">
        <v>80935</v>
      </c>
      <c r="C192" t="n">
        <v>11.8</v>
      </c>
      <c r="D192" t="n">
        <v>92207</v>
      </c>
      <c r="E192" t="n">
        <v>9.9</v>
      </c>
      <c r="F192" t="n">
        <v>80756</v>
      </c>
      <c r="G192" t="n">
        <v>12.4</v>
      </c>
      <c r="H192" t="n">
        <v>77930</v>
      </c>
      <c r="I192" t="n">
        <v>12.9</v>
      </c>
    </row>
    <row r="193">
      <c r="A193" s="44" t="n">
        <v>36831</v>
      </c>
      <c r="B193" t="n">
        <v>81628</v>
      </c>
      <c r="C193" t="n">
        <v>9.4</v>
      </c>
      <c r="D193" t="n">
        <v>92950</v>
      </c>
      <c r="E193" t="n">
        <v>7.9</v>
      </c>
      <c r="F193" t="n">
        <v>81580</v>
      </c>
      <c r="G193" t="n">
        <v>9.800000000000001</v>
      </c>
      <c r="H193" t="n">
        <v>78035</v>
      </c>
      <c r="I193" t="n">
        <v>9.699999999999999</v>
      </c>
    </row>
    <row r="194">
      <c r="A194" s="44" t="n">
        <v>36923</v>
      </c>
      <c r="B194" t="n">
        <v>83976</v>
      </c>
      <c r="C194" t="n">
        <v>8.1</v>
      </c>
      <c r="D194" t="n">
        <v>95641</v>
      </c>
      <c r="E194" t="n">
        <v>7.4</v>
      </c>
      <c r="F194" t="n">
        <v>83297</v>
      </c>
      <c r="G194" t="n">
        <v>7.9</v>
      </c>
      <c r="H194" t="n">
        <v>80656</v>
      </c>
      <c r="I194" t="n">
        <v>8.6</v>
      </c>
    </row>
    <row r="195">
      <c r="A195" s="44" t="n">
        <v>37012</v>
      </c>
      <c r="B195" t="n">
        <v>87638</v>
      </c>
      <c r="C195" t="n">
        <v>7.9</v>
      </c>
      <c r="D195" t="n">
        <v>97534</v>
      </c>
      <c r="E195" t="n">
        <v>7.9</v>
      </c>
      <c r="F195" t="n">
        <v>87482</v>
      </c>
      <c r="G195" t="n">
        <v>8.1</v>
      </c>
      <c r="H195" t="n">
        <v>84472</v>
      </c>
      <c r="I195" t="n">
        <v>8.6</v>
      </c>
    </row>
    <row r="196">
      <c r="A196" s="44" t="n">
        <v>37104</v>
      </c>
      <c r="B196" t="n">
        <v>91049</v>
      </c>
      <c r="C196" t="n">
        <v>12.5</v>
      </c>
      <c r="D196" t="n">
        <v>101312</v>
      </c>
      <c r="E196" t="n">
        <v>9.9</v>
      </c>
      <c r="F196" t="n">
        <v>90659</v>
      </c>
      <c r="G196" t="n">
        <v>12.3</v>
      </c>
      <c r="H196" t="n">
        <v>87562</v>
      </c>
      <c r="I196" t="n">
        <v>12.4</v>
      </c>
    </row>
    <row r="197">
      <c r="A197" s="44" t="n">
        <v>37196</v>
      </c>
      <c r="B197" t="n">
        <v>92533</v>
      </c>
      <c r="C197" t="n">
        <v>13.4</v>
      </c>
      <c r="D197" t="n">
        <v>104462</v>
      </c>
      <c r="E197" t="n">
        <v>12.4</v>
      </c>
      <c r="F197" t="n">
        <v>92450</v>
      </c>
      <c r="G197" t="n">
        <v>13.3</v>
      </c>
      <c r="H197" t="n">
        <v>88656</v>
      </c>
      <c r="I197" t="n">
        <v>13.6</v>
      </c>
    </row>
    <row r="198">
      <c r="A198" s="44" t="n">
        <v>37288</v>
      </c>
      <c r="B198" t="n">
        <v>95356</v>
      </c>
      <c r="C198" t="n">
        <v>13.6</v>
      </c>
      <c r="D198" t="n">
        <v>106735</v>
      </c>
      <c r="E198" t="n">
        <v>11.6</v>
      </c>
      <c r="F198" t="n">
        <v>95849</v>
      </c>
      <c r="G198" t="n">
        <v>15.1</v>
      </c>
      <c r="H198" t="n">
        <v>91441</v>
      </c>
      <c r="I198" t="n">
        <v>13.4</v>
      </c>
    </row>
    <row r="199">
      <c r="A199" s="44" t="n">
        <v>37377</v>
      </c>
      <c r="B199" t="n">
        <v>103501</v>
      </c>
      <c r="C199" t="n">
        <v>18.1</v>
      </c>
      <c r="D199" t="n">
        <v>113801</v>
      </c>
      <c r="E199" t="n">
        <v>16.7</v>
      </c>
      <c r="F199" t="n">
        <v>103335</v>
      </c>
      <c r="G199" t="n">
        <v>18.1</v>
      </c>
      <c r="H199" t="n">
        <v>99562</v>
      </c>
      <c r="I199" t="n">
        <v>17.9</v>
      </c>
    </row>
    <row r="200">
      <c r="A200" s="44" t="n">
        <v>37469</v>
      </c>
      <c r="B200" t="n">
        <v>110830</v>
      </c>
      <c r="C200" t="n">
        <v>21.7</v>
      </c>
      <c r="D200" t="n">
        <v>119508</v>
      </c>
      <c r="E200" t="n">
        <v>18</v>
      </c>
      <c r="F200" t="n">
        <v>110900</v>
      </c>
      <c r="G200" t="n">
        <v>22.3</v>
      </c>
      <c r="H200" t="n">
        <v>106987</v>
      </c>
      <c r="I200" t="n">
        <v>22.2</v>
      </c>
    </row>
    <row r="201">
      <c r="A201" s="44" t="n">
        <v>37561</v>
      </c>
      <c r="B201" t="n">
        <v>115940</v>
      </c>
      <c r="C201" t="n">
        <v>25.3</v>
      </c>
      <c r="D201" t="n">
        <v>125937</v>
      </c>
      <c r="E201" t="n">
        <v>20.6</v>
      </c>
      <c r="F201" t="n">
        <v>116789</v>
      </c>
      <c r="G201" t="n">
        <v>26.3</v>
      </c>
      <c r="H201" t="n">
        <v>112528</v>
      </c>
      <c r="I201" t="n">
        <v>26.9</v>
      </c>
    </row>
    <row r="202">
      <c r="A202" s="44" t="n">
        <v>37653</v>
      </c>
      <c r="B202" t="n">
        <v>119938</v>
      </c>
      <c r="C202" t="n">
        <v>25.8</v>
      </c>
      <c r="D202" t="n">
        <v>130705</v>
      </c>
      <c r="E202" t="n">
        <v>22.5</v>
      </c>
      <c r="F202" t="n">
        <v>121304</v>
      </c>
      <c r="G202" t="n">
        <v>26.6</v>
      </c>
      <c r="H202" t="n">
        <v>116676</v>
      </c>
      <c r="I202" t="n">
        <v>27.6</v>
      </c>
    </row>
    <row r="203">
      <c r="A203" s="44" t="n">
        <v>37742</v>
      </c>
      <c r="B203" t="n">
        <v>125382</v>
      </c>
      <c r="C203" t="n">
        <v>21.1</v>
      </c>
      <c r="D203" t="n">
        <v>133711</v>
      </c>
      <c r="E203" t="n">
        <v>17.5</v>
      </c>
      <c r="F203" t="n">
        <v>126292</v>
      </c>
      <c r="G203" t="n">
        <v>22.2</v>
      </c>
      <c r="H203" t="n">
        <v>122520</v>
      </c>
      <c r="I203" t="n">
        <v>23.1</v>
      </c>
    </row>
    <row r="204">
      <c r="A204" s="44" t="n">
        <v>37834</v>
      </c>
      <c r="B204" t="n">
        <v>129761</v>
      </c>
      <c r="C204" t="n">
        <v>17.1</v>
      </c>
      <c r="D204" t="n">
        <v>136027</v>
      </c>
      <c r="E204" t="n">
        <v>13.8</v>
      </c>
      <c r="F204" t="n">
        <v>130090</v>
      </c>
      <c r="G204" t="n">
        <v>17.3</v>
      </c>
      <c r="H204" t="n">
        <v>126581</v>
      </c>
      <c r="I204" t="n">
        <v>18.3</v>
      </c>
    </row>
    <row r="205">
      <c r="A205" s="44" t="n">
        <v>37926</v>
      </c>
      <c r="B205" t="n">
        <v>133903</v>
      </c>
      <c r="C205" t="n">
        <v>15.5</v>
      </c>
      <c r="D205" t="n">
        <v>140892</v>
      </c>
      <c r="E205" t="n">
        <v>11.9</v>
      </c>
      <c r="F205" t="n">
        <v>134302</v>
      </c>
      <c r="G205" t="n">
        <v>15</v>
      </c>
      <c r="H205" t="n">
        <v>130638</v>
      </c>
      <c r="I205" t="n">
        <v>16.1</v>
      </c>
    </row>
    <row r="206">
      <c r="A206" s="44" t="n">
        <v>38018</v>
      </c>
      <c r="B206" t="n">
        <v>140225</v>
      </c>
      <c r="C206" t="n">
        <v>16.9</v>
      </c>
      <c r="D206" t="n">
        <v>147415</v>
      </c>
      <c r="E206" t="n">
        <v>12.8</v>
      </c>
      <c r="F206" t="n">
        <v>140045</v>
      </c>
      <c r="G206" t="n">
        <v>15.4</v>
      </c>
      <c r="H206" t="n">
        <v>136710</v>
      </c>
      <c r="I206" t="n">
        <v>17.2</v>
      </c>
    </row>
    <row r="207">
      <c r="A207" s="44" t="n">
        <v>38108</v>
      </c>
      <c r="B207" t="n">
        <v>148462</v>
      </c>
      <c r="C207" t="n">
        <v>18.4</v>
      </c>
      <c r="D207" t="n">
        <v>154907</v>
      </c>
      <c r="E207" t="n">
        <v>15.9</v>
      </c>
      <c r="F207" t="n">
        <v>148931</v>
      </c>
      <c r="G207" t="n">
        <v>17.9</v>
      </c>
      <c r="H207" t="n">
        <v>146623</v>
      </c>
      <c r="I207" t="n">
        <v>19.7</v>
      </c>
    </row>
    <row r="208">
      <c r="A208" s="44" t="n">
        <v>38200</v>
      </c>
      <c r="B208" t="n">
        <v>153482</v>
      </c>
      <c r="C208" t="n">
        <v>18.3</v>
      </c>
      <c r="D208" t="n">
        <v>162816</v>
      </c>
      <c r="E208" t="n">
        <v>19.7</v>
      </c>
      <c r="F208" t="n">
        <v>153976</v>
      </c>
      <c r="G208" t="n">
        <v>18.4</v>
      </c>
      <c r="H208" t="n">
        <v>151484</v>
      </c>
      <c r="I208" t="n">
        <v>19.7</v>
      </c>
    </row>
    <row r="209">
      <c r="A209" s="44" t="n">
        <v>38292</v>
      </c>
      <c r="B209" t="n">
        <v>152464</v>
      </c>
      <c r="C209" t="n">
        <v>13.9</v>
      </c>
      <c r="D209" t="n">
        <v>162451</v>
      </c>
      <c r="E209" t="n">
        <v>15.3</v>
      </c>
      <c r="F209" t="n">
        <v>152735</v>
      </c>
      <c r="G209" t="n">
        <v>13.7</v>
      </c>
      <c r="H209" t="n">
        <v>151337</v>
      </c>
      <c r="I209" t="n">
        <v>15.8</v>
      </c>
    </row>
    <row r="210">
      <c r="A210" s="44" t="n">
        <v>38384</v>
      </c>
      <c r="B210" t="n">
        <v>152790</v>
      </c>
      <c r="C210" t="n">
        <v>9</v>
      </c>
      <c r="D210" t="n">
        <v>161567</v>
      </c>
      <c r="E210" t="n">
        <v>9.6</v>
      </c>
      <c r="F210" t="n">
        <v>153281</v>
      </c>
      <c r="G210" t="n">
        <v>9.5</v>
      </c>
      <c r="H210" t="n">
        <v>151768</v>
      </c>
      <c r="I210" t="n">
        <v>11</v>
      </c>
    </row>
    <row r="211">
      <c r="A211" s="44" t="n">
        <v>38473</v>
      </c>
      <c r="B211" t="n">
        <v>157494</v>
      </c>
      <c r="C211" t="n">
        <v>6.1</v>
      </c>
      <c r="D211" t="n">
        <v>164342</v>
      </c>
      <c r="E211" t="n">
        <v>6.1</v>
      </c>
      <c r="F211" t="n">
        <v>156364</v>
      </c>
      <c r="G211" t="n">
        <v>5</v>
      </c>
      <c r="H211" t="n">
        <v>156530</v>
      </c>
      <c r="I211" t="n">
        <v>6.8</v>
      </c>
    </row>
    <row r="212">
      <c r="A212" s="44" t="n">
        <v>38565</v>
      </c>
      <c r="B212" t="n">
        <v>157627</v>
      </c>
      <c r="C212" t="n">
        <v>2.7</v>
      </c>
      <c r="D212" t="n">
        <v>165284</v>
      </c>
      <c r="E212" t="n">
        <v>1.5</v>
      </c>
      <c r="F212" t="n">
        <v>155491</v>
      </c>
      <c r="G212" t="n">
        <v>1</v>
      </c>
      <c r="H212" t="n">
        <v>155038</v>
      </c>
      <c r="I212" t="n">
        <v>2.3</v>
      </c>
    </row>
    <row r="213">
      <c r="A213" s="44" t="n">
        <v>38657</v>
      </c>
      <c r="B213" t="n">
        <v>157387</v>
      </c>
      <c r="C213" t="n">
        <v>3.2</v>
      </c>
      <c r="D213" t="n">
        <v>166980</v>
      </c>
      <c r="E213" t="n">
        <v>2.8</v>
      </c>
      <c r="F213" t="n">
        <v>155297</v>
      </c>
      <c r="G213" t="n">
        <v>1.7</v>
      </c>
      <c r="H213" t="n">
        <v>154193</v>
      </c>
      <c r="I213" t="n">
        <v>1.9</v>
      </c>
    </row>
    <row r="214">
      <c r="A214" s="44" t="n">
        <v>38749</v>
      </c>
      <c r="B214" t="n">
        <v>160319</v>
      </c>
      <c r="C214" t="n">
        <v>4.9</v>
      </c>
      <c r="D214" t="n">
        <v>166857</v>
      </c>
      <c r="E214" t="n">
        <v>3.3</v>
      </c>
      <c r="F214" t="n">
        <v>158303</v>
      </c>
      <c r="G214" t="n">
        <v>3.3</v>
      </c>
      <c r="H214" t="n">
        <v>157789</v>
      </c>
      <c r="I214" t="n">
        <v>4</v>
      </c>
    </row>
    <row r="215">
      <c r="A215" s="44" t="n">
        <v>38838</v>
      </c>
      <c r="B215" t="n">
        <v>165035</v>
      </c>
      <c r="C215" t="n">
        <v>4.8</v>
      </c>
      <c r="D215" t="n">
        <v>172688</v>
      </c>
      <c r="E215" t="n">
        <v>5.1</v>
      </c>
      <c r="F215" t="n">
        <v>162340</v>
      </c>
      <c r="G215" t="n">
        <v>3.8</v>
      </c>
      <c r="H215" t="n">
        <v>163249</v>
      </c>
      <c r="I215" t="n">
        <v>4.3</v>
      </c>
    </row>
    <row r="216">
      <c r="A216" s="44" t="n">
        <v>38930</v>
      </c>
      <c r="B216" t="n">
        <v>168460</v>
      </c>
      <c r="C216" t="n">
        <v>6.9</v>
      </c>
      <c r="D216" t="n">
        <v>175386</v>
      </c>
      <c r="E216" t="n">
        <v>6.1</v>
      </c>
      <c r="F216" t="n">
        <v>165907</v>
      </c>
      <c r="G216" t="n">
        <v>6.7</v>
      </c>
      <c r="H216" t="n">
        <v>166402</v>
      </c>
      <c r="I216" t="n">
        <v>7.3</v>
      </c>
    </row>
    <row r="217">
      <c r="A217" s="44" t="n">
        <v>39022</v>
      </c>
      <c r="B217" t="n">
        <v>172065</v>
      </c>
      <c r="C217" t="n">
        <v>9.300000000000001</v>
      </c>
      <c r="D217" t="n">
        <v>180964</v>
      </c>
      <c r="E217" t="n">
        <v>8.4</v>
      </c>
      <c r="F217" t="n">
        <v>169066</v>
      </c>
      <c r="G217" t="n">
        <v>8.9</v>
      </c>
      <c r="H217" t="n">
        <v>170302</v>
      </c>
      <c r="I217" t="n">
        <v>10.4</v>
      </c>
    </row>
    <row r="218">
      <c r="A218" s="44" t="n">
        <v>39114</v>
      </c>
      <c r="B218" t="n">
        <v>175554</v>
      </c>
      <c r="C218" t="n">
        <v>9.5</v>
      </c>
      <c r="D218" t="n">
        <v>184424</v>
      </c>
      <c r="E218" t="n">
        <v>10.5</v>
      </c>
      <c r="F218" t="n">
        <v>172247</v>
      </c>
      <c r="G218" t="n">
        <v>8.800000000000001</v>
      </c>
      <c r="H218" t="n">
        <v>174591</v>
      </c>
      <c r="I218" t="n">
        <v>10.6</v>
      </c>
    </row>
    <row r="219">
      <c r="A219" s="44" t="n">
        <v>39203</v>
      </c>
      <c r="B219" t="n">
        <v>181810</v>
      </c>
      <c r="C219" t="n">
        <v>10.2</v>
      </c>
      <c r="D219" t="n">
        <v>190214</v>
      </c>
      <c r="E219" t="n">
        <v>10.1</v>
      </c>
      <c r="F219" t="n">
        <v>169967</v>
      </c>
      <c r="G219" t="n">
        <v>4.7</v>
      </c>
      <c r="H219" t="n">
        <v>181302</v>
      </c>
      <c r="I219" t="n">
        <v>11.1</v>
      </c>
    </row>
    <row r="220">
      <c r="A220" s="44" t="n">
        <v>39295</v>
      </c>
      <c r="B220" t="n">
        <v>184131</v>
      </c>
      <c r="C220" t="n">
        <v>9.300000000000001</v>
      </c>
      <c r="D220" t="n">
        <v>190476</v>
      </c>
      <c r="E220" t="n">
        <v>8.6</v>
      </c>
      <c r="F220" t="n">
        <v>172398</v>
      </c>
      <c r="G220" t="n">
        <v>3.9</v>
      </c>
      <c r="H220" t="n">
        <v>183185</v>
      </c>
      <c r="I220" t="n">
        <v>10.1</v>
      </c>
    </row>
    <row r="221">
      <c r="A221" s="44" t="n">
        <v>39387</v>
      </c>
      <c r="B221" t="n">
        <v>183959</v>
      </c>
      <c r="C221" t="n">
        <v>6.9</v>
      </c>
      <c r="D221" t="n">
        <v>192268</v>
      </c>
      <c r="E221" t="n">
        <v>6.2</v>
      </c>
      <c r="F221" t="n">
        <v>171753</v>
      </c>
      <c r="G221" t="n">
        <v>1.6</v>
      </c>
      <c r="H221" t="n">
        <v>183599</v>
      </c>
      <c r="I221" t="n">
        <v>7.8</v>
      </c>
    </row>
    <row r="222">
      <c r="A222" s="44" t="n">
        <v>39479</v>
      </c>
      <c r="B222" t="n">
        <v>179363</v>
      </c>
      <c r="C222" t="n">
        <v>2.2</v>
      </c>
      <c r="D222" t="n">
        <v>190798</v>
      </c>
      <c r="E222" t="n">
        <v>3.5</v>
      </c>
      <c r="F222" t="n">
        <v>167812</v>
      </c>
      <c r="G222" t="n">
        <v>-2.6</v>
      </c>
      <c r="H222" t="n">
        <v>178618</v>
      </c>
      <c r="I222" t="n">
        <v>2.3</v>
      </c>
    </row>
    <row r="223">
      <c r="A223" s="44" t="n">
        <v>39569</v>
      </c>
      <c r="B223" t="n">
        <v>174514</v>
      </c>
      <c r="C223" t="n">
        <v>-4</v>
      </c>
      <c r="D223" t="n">
        <v>186533</v>
      </c>
      <c r="E223" t="n">
        <v>-1.9</v>
      </c>
      <c r="F223" t="n">
        <v>163416</v>
      </c>
      <c r="G223" t="n">
        <v>-3.9</v>
      </c>
      <c r="H223" t="n">
        <v>173908</v>
      </c>
      <c r="I223" t="n">
        <v>-4.1</v>
      </c>
    </row>
    <row r="224">
      <c r="A224" s="44" t="n">
        <v>39661</v>
      </c>
      <c r="B224" t="n">
        <v>165188</v>
      </c>
      <c r="C224" t="n">
        <v>-10.3</v>
      </c>
      <c r="D224" t="n">
        <v>175604</v>
      </c>
      <c r="E224" t="n">
        <v>-7.8</v>
      </c>
      <c r="F224" t="n">
        <v>154405</v>
      </c>
      <c r="G224" t="n">
        <v>-10.4</v>
      </c>
      <c r="H224" t="n">
        <v>164682</v>
      </c>
      <c r="I224" t="n">
        <v>-10.1</v>
      </c>
    </row>
    <row r="225">
      <c r="A225" s="44" t="n">
        <v>39753</v>
      </c>
      <c r="B225" t="n">
        <v>156828</v>
      </c>
      <c r="C225" t="n">
        <v>-14.7</v>
      </c>
      <c r="D225" t="n">
        <v>164457</v>
      </c>
      <c r="E225" t="n">
        <v>-14.5</v>
      </c>
      <c r="F225" t="n">
        <v>146512</v>
      </c>
      <c r="G225" t="n">
        <v>-14.7</v>
      </c>
      <c r="H225" t="n">
        <v>156217</v>
      </c>
      <c r="I225" t="n">
        <v>-14.9</v>
      </c>
    </row>
    <row r="226">
      <c r="A226" s="44" t="n">
        <v>39845</v>
      </c>
      <c r="B226" t="n">
        <v>149709</v>
      </c>
      <c r="C226" t="n">
        <v>-16.5</v>
      </c>
      <c r="D226" t="n">
        <v>159691</v>
      </c>
      <c r="E226" t="n">
        <v>-16.3</v>
      </c>
      <c r="F226" t="n">
        <v>139958</v>
      </c>
      <c r="G226" t="n">
        <v>-16.6</v>
      </c>
      <c r="H226" t="n">
        <v>147537</v>
      </c>
      <c r="I226" t="n">
        <v>-17.4</v>
      </c>
    </row>
    <row r="227">
      <c r="A227" s="44" t="n">
        <v>39934</v>
      </c>
      <c r="B227" t="n">
        <v>154066</v>
      </c>
      <c r="C227" t="n">
        <v>-11.7</v>
      </c>
      <c r="D227" t="n">
        <v>157934</v>
      </c>
      <c r="E227" t="n">
        <v>-15.3</v>
      </c>
      <c r="F227" t="n">
        <v>143532</v>
      </c>
      <c r="G227" t="n">
        <v>-12.2</v>
      </c>
      <c r="H227" t="n">
        <v>153671</v>
      </c>
      <c r="I227" t="n">
        <v>-11.6</v>
      </c>
    </row>
    <row r="228">
      <c r="A228" s="44" t="n">
        <v>40026</v>
      </c>
      <c r="B228" t="n">
        <v>160159</v>
      </c>
      <c r="C228" t="n">
        <v>-3</v>
      </c>
      <c r="D228" t="n">
        <v>163534</v>
      </c>
      <c r="E228" t="n">
        <v>-6.9</v>
      </c>
      <c r="F228" t="n">
        <v>149108</v>
      </c>
      <c r="G228" t="n">
        <v>-3.4</v>
      </c>
      <c r="H228" t="n">
        <v>159615</v>
      </c>
      <c r="I228" t="n">
        <v>-3.1</v>
      </c>
    </row>
    <row r="229">
      <c r="A229" s="44" t="n">
        <v>40118</v>
      </c>
      <c r="B229" t="n">
        <v>162116</v>
      </c>
      <c r="C229" t="n">
        <v>3.4</v>
      </c>
      <c r="D229" t="n">
        <v>164433</v>
      </c>
      <c r="E229" t="n">
        <v>-0</v>
      </c>
      <c r="F229" t="n">
        <v>150746</v>
      </c>
      <c r="G229" t="n">
        <v>2.9</v>
      </c>
      <c r="H229" t="n">
        <v>162602</v>
      </c>
      <c r="I229" t="n">
        <v>4.1</v>
      </c>
    </row>
    <row r="230">
      <c r="A230" s="44" t="n">
        <v>40210</v>
      </c>
      <c r="B230" t="n">
        <v>162887</v>
      </c>
      <c r="C230" t="n">
        <v>8.800000000000001</v>
      </c>
      <c r="D230" t="n">
        <v>168346</v>
      </c>
      <c r="E230" t="n">
        <v>5.4</v>
      </c>
      <c r="F230" t="n">
        <v>151620</v>
      </c>
      <c r="G230" t="n">
        <v>8.300000000000001</v>
      </c>
      <c r="H230" t="n">
        <v>162498</v>
      </c>
      <c r="I230" t="n">
        <v>10.1</v>
      </c>
    </row>
    <row r="231">
      <c r="A231" s="44" t="n">
        <v>40299</v>
      </c>
      <c r="B231" t="n">
        <v>168719</v>
      </c>
      <c r="C231" t="n">
        <v>9.5</v>
      </c>
      <c r="D231" t="n">
        <v>169098</v>
      </c>
      <c r="E231" t="n">
        <v>7.1</v>
      </c>
      <c r="F231" t="n">
        <v>156433</v>
      </c>
      <c r="G231" t="n">
        <v>9</v>
      </c>
      <c r="H231" t="n">
        <v>170080</v>
      </c>
      <c r="I231" t="n">
        <v>10.7</v>
      </c>
    </row>
    <row r="232">
      <c r="A232" s="44" t="n">
        <v>40391</v>
      </c>
      <c r="B232" t="n">
        <v>167354</v>
      </c>
      <c r="C232" t="n">
        <v>4.5</v>
      </c>
      <c r="D232" t="n">
        <v>171904</v>
      </c>
      <c r="E232" t="n">
        <v>5.1</v>
      </c>
      <c r="F232" t="n">
        <v>154793</v>
      </c>
      <c r="G232" t="n">
        <v>3.8</v>
      </c>
      <c r="H232" t="n">
        <v>169421</v>
      </c>
      <c r="I232" t="n">
        <v>6.1</v>
      </c>
    </row>
    <row r="233">
      <c r="A233" s="44" t="n">
        <v>40483</v>
      </c>
      <c r="B233" t="n">
        <v>162971</v>
      </c>
      <c r="C233" t="n">
        <v>0.5</v>
      </c>
      <c r="D233" t="n">
        <v>167395</v>
      </c>
      <c r="E233" t="n">
        <v>1.8</v>
      </c>
      <c r="F233" t="n">
        <v>151840</v>
      </c>
      <c r="G233" t="n">
        <v>0.7</v>
      </c>
      <c r="H233" t="n">
        <v>162892</v>
      </c>
      <c r="I233" t="n">
        <v>0.2</v>
      </c>
    </row>
    <row r="234">
      <c r="A234" s="44" t="n">
        <v>40575</v>
      </c>
      <c r="B234" t="n">
        <v>162379</v>
      </c>
      <c r="C234" t="n">
        <v>-0.3</v>
      </c>
      <c r="D234" t="n">
        <v>167779</v>
      </c>
      <c r="E234" t="n">
        <v>-0.3</v>
      </c>
      <c r="F234" t="n">
        <v>151177</v>
      </c>
      <c r="G234" t="n">
        <v>-0.3</v>
      </c>
      <c r="H234" t="n">
        <v>162491</v>
      </c>
      <c r="I234" t="n">
        <v>-0</v>
      </c>
    </row>
    <row r="235">
      <c r="A235" s="44" t="n">
        <v>40664</v>
      </c>
      <c r="B235" t="n">
        <v>166764</v>
      </c>
      <c r="C235" t="n">
        <v>-1.2</v>
      </c>
      <c r="D235" t="n">
        <v>171473</v>
      </c>
      <c r="E235" t="n">
        <v>1.4</v>
      </c>
      <c r="F235" t="n">
        <v>154469</v>
      </c>
      <c r="G235" t="n">
        <v>-1.3</v>
      </c>
      <c r="H235" t="n">
        <v>168278</v>
      </c>
      <c r="I235" t="n">
        <v>-1.1</v>
      </c>
    </row>
    <row r="236">
      <c r="A236" s="44" t="n">
        <v>40756</v>
      </c>
      <c r="B236" t="n">
        <v>166597</v>
      </c>
      <c r="C236" t="n">
        <v>-0.5</v>
      </c>
      <c r="D236" t="n">
        <v>170263</v>
      </c>
      <c r="E236" t="n">
        <v>-1</v>
      </c>
      <c r="F236" t="n">
        <v>154103</v>
      </c>
      <c r="G236" t="n">
        <v>-0.4</v>
      </c>
      <c r="H236" t="n">
        <v>168895</v>
      </c>
      <c r="I236" t="n">
        <v>-0.3</v>
      </c>
    </row>
    <row r="237">
      <c r="A237" s="44" t="n">
        <v>40848</v>
      </c>
      <c r="B237" t="n">
        <v>164785</v>
      </c>
      <c r="C237" t="n">
        <v>1.1</v>
      </c>
      <c r="D237" t="n">
        <v>172707</v>
      </c>
      <c r="E237" t="n">
        <v>3.2</v>
      </c>
      <c r="F237" t="n">
        <v>152432</v>
      </c>
      <c r="G237" t="n">
        <v>0.4</v>
      </c>
      <c r="H237" t="n">
        <v>166107</v>
      </c>
      <c r="I237" t="n">
        <v>2</v>
      </c>
    </row>
    <row r="238">
      <c r="A238" s="44" t="n">
        <v>40940</v>
      </c>
      <c r="B238" t="n">
        <v>162722</v>
      </c>
      <c r="C238" t="n">
        <v>0.2</v>
      </c>
      <c r="D238" t="n">
        <v>173045</v>
      </c>
      <c r="E238" t="n">
        <v>3.1</v>
      </c>
      <c r="F238" t="n">
        <v>150532</v>
      </c>
      <c r="G238" t="n">
        <v>-0.4</v>
      </c>
      <c r="H238" t="n">
        <v>163840</v>
      </c>
      <c r="I238" t="n">
        <v>0.8</v>
      </c>
    </row>
    <row r="239">
      <c r="A239" s="44" t="n">
        <v>41030</v>
      </c>
      <c r="B239" t="n">
        <v>164955</v>
      </c>
      <c r="C239" t="n">
        <v>-1.1</v>
      </c>
      <c r="D239" t="n">
        <v>175697</v>
      </c>
      <c r="E239" t="n">
        <v>2.5</v>
      </c>
      <c r="F239" t="n">
        <v>152059</v>
      </c>
      <c r="G239" t="n">
        <v>-1.6</v>
      </c>
      <c r="H239" t="n">
        <v>167423</v>
      </c>
      <c r="I239" t="n">
        <v>-0.5</v>
      </c>
    </row>
    <row r="240">
      <c r="A240" s="44" t="n">
        <v>41122</v>
      </c>
      <c r="B240" t="n">
        <v>163910</v>
      </c>
      <c r="C240" t="n">
        <v>-1.6</v>
      </c>
      <c r="D240" t="n">
        <v>172052</v>
      </c>
      <c r="E240" t="n">
        <v>1.1</v>
      </c>
      <c r="F240" t="n">
        <v>151360</v>
      </c>
      <c r="G240" t="n">
        <v>-1.8</v>
      </c>
      <c r="H240" t="n">
        <v>166351</v>
      </c>
      <c r="I240" t="n">
        <v>-1.5</v>
      </c>
    </row>
    <row r="241">
      <c r="A241" s="44" t="n">
        <v>41214</v>
      </c>
      <c r="B241" t="n">
        <v>162924</v>
      </c>
      <c r="C241" t="n">
        <v>-1.1</v>
      </c>
      <c r="D241" t="n">
        <v>173337</v>
      </c>
      <c r="E241" t="n">
        <v>0.4</v>
      </c>
      <c r="F241" t="n">
        <v>150302</v>
      </c>
      <c r="G241" t="n">
        <v>-1.4</v>
      </c>
      <c r="H241" t="n">
        <v>165276</v>
      </c>
      <c r="I241" t="n">
        <v>-0.5</v>
      </c>
    </row>
    <row r="242">
      <c r="A242" s="44" t="n">
        <v>41306</v>
      </c>
      <c r="B242" t="n">
        <v>163056</v>
      </c>
      <c r="C242" t="n">
        <v>0.2</v>
      </c>
      <c r="D242" t="n">
        <v>174064</v>
      </c>
      <c r="E242" t="n">
        <v>0.6</v>
      </c>
      <c r="F242" t="n">
        <v>151028</v>
      </c>
      <c r="G242" t="n">
        <v>0.3</v>
      </c>
      <c r="H242" t="n">
        <v>164406</v>
      </c>
      <c r="I242" t="n">
        <v>0.3</v>
      </c>
    </row>
    <row r="243">
      <c r="A243" s="44" t="n">
        <v>41395</v>
      </c>
      <c r="B243" t="n">
        <v>167294</v>
      </c>
      <c r="C243" t="n">
        <v>1.4</v>
      </c>
      <c r="D243" t="n">
        <v>175419</v>
      </c>
      <c r="E243" t="n">
        <v>-0.2</v>
      </c>
      <c r="F243" t="n">
        <v>154696</v>
      </c>
      <c r="G243" t="n">
        <v>1.7</v>
      </c>
      <c r="H243" t="n">
        <v>169600</v>
      </c>
      <c r="I243" t="n">
        <v>1.3</v>
      </c>
    </row>
    <row r="244">
      <c r="A244" s="44" t="n">
        <v>41487</v>
      </c>
      <c r="B244" t="n">
        <v>170918</v>
      </c>
      <c r="C244" t="n">
        <v>4.3</v>
      </c>
      <c r="D244" t="n">
        <v>179164</v>
      </c>
      <c r="E244" t="n">
        <v>4.1</v>
      </c>
      <c r="F244" t="n">
        <v>157639</v>
      </c>
      <c r="G244" t="n">
        <v>4.1</v>
      </c>
      <c r="H244" t="n">
        <v>173856</v>
      </c>
      <c r="I244" t="n">
        <v>4.5</v>
      </c>
    </row>
    <row r="245">
      <c r="A245" s="44" t="n">
        <v>41579</v>
      </c>
      <c r="B245" t="n">
        <v>174444</v>
      </c>
      <c r="C245" t="n">
        <v>7.1</v>
      </c>
      <c r="D245" t="n">
        <v>183364</v>
      </c>
      <c r="E245" t="n">
        <v>5.8</v>
      </c>
      <c r="F245" t="n">
        <v>160595</v>
      </c>
      <c r="G245" t="n">
        <v>6.8</v>
      </c>
      <c r="H245" t="n">
        <v>178062</v>
      </c>
      <c r="I245" t="n">
        <v>7.7</v>
      </c>
    </row>
    <row r="246">
      <c r="A246" s="44" t="n">
        <v>41671</v>
      </c>
      <c r="B246" t="n">
        <v>178124</v>
      </c>
      <c r="C246" t="n">
        <v>9.199999999999999</v>
      </c>
      <c r="D246" t="n">
        <v>189228</v>
      </c>
      <c r="E246" t="n">
        <v>8.699999999999999</v>
      </c>
      <c r="F246" t="n">
        <v>163729</v>
      </c>
      <c r="G246" t="n">
        <v>8.4</v>
      </c>
      <c r="H246" t="n">
        <v>182361</v>
      </c>
      <c r="I246" t="n">
        <v>10.9</v>
      </c>
    </row>
    <row r="247">
      <c r="A247" s="44" t="n">
        <v>41760</v>
      </c>
      <c r="B247" t="n">
        <v>186544</v>
      </c>
      <c r="C247" t="n">
        <v>11.5</v>
      </c>
      <c r="D247" t="n">
        <v>190051</v>
      </c>
      <c r="E247" t="n">
        <v>8.300000000000001</v>
      </c>
      <c r="F247" t="n">
        <v>171680</v>
      </c>
      <c r="G247" t="n">
        <v>11</v>
      </c>
      <c r="H247" t="n">
        <v>192251</v>
      </c>
      <c r="I247" t="n">
        <v>13.4</v>
      </c>
    </row>
    <row r="248">
      <c r="A248" s="44" t="n">
        <v>41852</v>
      </c>
      <c r="B248" t="n">
        <v>188810</v>
      </c>
      <c r="C248" t="n">
        <v>10.5</v>
      </c>
      <c r="D248" t="n">
        <v>193409</v>
      </c>
      <c r="E248" t="n">
        <v>8</v>
      </c>
      <c r="F248" t="n">
        <v>173918</v>
      </c>
      <c r="G248" t="n">
        <v>10.3</v>
      </c>
      <c r="H248" t="n">
        <v>195345</v>
      </c>
      <c r="I248" t="n">
        <v>12.4</v>
      </c>
    </row>
    <row r="249">
      <c r="A249" s="44" t="n">
        <v>41944</v>
      </c>
      <c r="B249" t="n">
        <v>189002</v>
      </c>
      <c r="C249" t="n">
        <v>8.300000000000001</v>
      </c>
      <c r="D249" t="n">
        <v>196136</v>
      </c>
      <c r="E249" t="n">
        <v>7</v>
      </c>
      <c r="F249" t="n">
        <v>174683</v>
      </c>
      <c r="G249" t="n">
        <v>8.800000000000001</v>
      </c>
      <c r="H249" t="n">
        <v>193554</v>
      </c>
      <c r="I249" t="n">
        <v>8.699999999999999</v>
      </c>
    </row>
    <row r="250">
      <c r="A250" s="44" t="n">
        <v>42036</v>
      </c>
      <c r="B250" t="n">
        <v>188566</v>
      </c>
      <c r="C250" t="n">
        <v>5.9</v>
      </c>
      <c r="D250" t="n">
        <v>192434</v>
      </c>
      <c r="E250" t="n">
        <v>1.7</v>
      </c>
      <c r="F250" t="n">
        <v>174053</v>
      </c>
      <c r="G250" t="n">
        <v>6.3</v>
      </c>
      <c r="H250" t="n">
        <v>194178</v>
      </c>
      <c r="I250" t="n">
        <v>6.5</v>
      </c>
    </row>
    <row r="251">
      <c r="A251" s="44" t="n">
        <v>42125</v>
      </c>
      <c r="B251" t="n">
        <v>194258</v>
      </c>
      <c r="C251" t="n">
        <v>4.1</v>
      </c>
      <c r="D251" t="n">
        <v>194511</v>
      </c>
      <c r="E251" t="n">
        <v>2.3</v>
      </c>
      <c r="F251" t="n">
        <v>179358</v>
      </c>
      <c r="G251" t="n">
        <v>4.5</v>
      </c>
      <c r="H251" t="n">
        <v>201008</v>
      </c>
      <c r="I251" t="n">
        <v>4.6</v>
      </c>
    </row>
    <row r="252">
      <c r="A252" s="44" t="n">
        <v>42217</v>
      </c>
      <c r="B252" t="n">
        <v>195733</v>
      </c>
      <c r="C252" t="n">
        <v>3.7</v>
      </c>
      <c r="D252" t="n">
        <v>202250</v>
      </c>
      <c r="E252" t="n">
        <v>4.6</v>
      </c>
      <c r="F252" t="n">
        <v>0</v>
      </c>
      <c r="H252" t="n">
        <v>0</v>
      </c>
    </row>
    <row r="253">
      <c r="A253" s="44" t="n">
        <v>42309</v>
      </c>
      <c r="B253" t="n">
        <v>197044</v>
      </c>
      <c r="C253" t="n">
        <v>4.3</v>
      </c>
      <c r="D253" t="n">
        <v>203122</v>
      </c>
      <c r="E253" t="n">
        <v>3.6</v>
      </c>
    </row>
    <row r="254">
      <c r="A254" s="44" t="n">
        <v>42401</v>
      </c>
      <c r="B254" t="n">
        <v>198564</v>
      </c>
      <c r="C254" t="n">
        <v>5.3</v>
      </c>
      <c r="D254" t="n">
        <v>210093</v>
      </c>
      <c r="E254" t="n">
        <v>9.199999999999999</v>
      </c>
    </row>
    <row r="255">
      <c r="A255" s="44" t="n">
        <v>42491</v>
      </c>
      <c r="B255" t="n">
        <v>204238</v>
      </c>
      <c r="C255" t="n">
        <v>5.1</v>
      </c>
      <c r="D255" t="n">
        <v>214987</v>
      </c>
      <c r="E255" t="n">
        <v>10.5</v>
      </c>
    </row>
    <row r="256">
      <c r="A256" s="44" t="n">
        <v>42583</v>
      </c>
      <c r="B256" t="n">
        <v>206346</v>
      </c>
      <c r="C256" t="n">
        <v>5.4</v>
      </c>
      <c r="D256" t="n">
        <v>219881</v>
      </c>
      <c r="E256" t="n">
        <v>8.699999999999999</v>
      </c>
    </row>
    <row r="257">
      <c r="A257" s="44" t="n">
        <v>42675</v>
      </c>
      <c r="B257" t="n">
        <v>205937</v>
      </c>
      <c r="C257" t="n">
        <v>4.5</v>
      </c>
      <c r="D257" t="n">
        <v>218725</v>
      </c>
      <c r="E257" t="n">
        <v>7.7</v>
      </c>
    </row>
    <row r="258">
      <c r="A258" s="44" t="n">
        <v>42767</v>
      </c>
      <c r="B258" t="n">
        <v>206665</v>
      </c>
      <c r="C258" t="n">
        <v>4.1</v>
      </c>
      <c r="D258" t="n">
        <v>216824</v>
      </c>
      <c r="E258" t="n">
        <v>3.2</v>
      </c>
    </row>
    <row r="259">
      <c r="A259" s="44" t="n">
        <v>42856</v>
      </c>
      <c r="B259" t="n">
        <v>209971</v>
      </c>
      <c r="C259" t="n">
        <v>2.8</v>
      </c>
      <c r="D259" t="n">
        <v>223315</v>
      </c>
      <c r="E259" t="n">
        <v>3.9</v>
      </c>
    </row>
    <row r="260">
      <c r="A260" s="44" t="n">
        <v>42948</v>
      </c>
      <c r="B260" t="n">
        <v>211672</v>
      </c>
      <c r="C260" t="n">
        <v>2.6</v>
      </c>
      <c r="D260" t="n">
        <v>224273</v>
      </c>
      <c r="E260" t="n">
        <v>2</v>
      </c>
    </row>
    <row r="261">
      <c r="A261" s="44" t="n">
        <v>43040</v>
      </c>
      <c r="B261" t="n">
        <v>211433</v>
      </c>
      <c r="C261" t="n">
        <v>2.7</v>
      </c>
      <c r="D261" t="n">
        <v>233723</v>
      </c>
      <c r="E261" t="n">
        <v>6.9</v>
      </c>
    </row>
    <row r="262">
      <c r="A262" s="44" t="n">
        <v>43132</v>
      </c>
      <c r="B262" t="n">
        <v>211792</v>
      </c>
      <c r="C262" t="n">
        <v>2.5</v>
      </c>
      <c r="D262" t="n">
        <v>233116</v>
      </c>
      <c r="E262" t="n">
        <v>7.5</v>
      </c>
    </row>
    <row r="263">
      <c r="A263" s="44" t="n">
        <v>43221</v>
      </c>
      <c r="B263" t="n">
        <v>214578</v>
      </c>
      <c r="C263" t="n">
        <v>2.2</v>
      </c>
      <c r="D263" t="n">
        <v>230698</v>
      </c>
      <c r="E263" t="n">
        <v>3.3</v>
      </c>
    </row>
    <row r="264">
      <c r="A264" s="44" t="n">
        <v>43313</v>
      </c>
      <c r="B264" t="n">
        <v>216103</v>
      </c>
      <c r="C264" t="n">
        <v>2.1</v>
      </c>
      <c r="D264" t="n">
        <v>233214</v>
      </c>
      <c r="E264" t="n">
        <v>4</v>
      </c>
    </row>
    <row r="265">
      <c r="A265" s="44" t="n">
        <v>43405</v>
      </c>
      <c r="B265" t="n">
        <v>214178</v>
      </c>
      <c r="C265" t="n">
        <v>1.3</v>
      </c>
      <c r="D265" t="n">
        <v>237486</v>
      </c>
      <c r="E265" t="n">
        <v>1.6</v>
      </c>
    </row>
    <row r="266">
      <c r="A266" s="44" t="n">
        <v>43497</v>
      </c>
      <c r="B266" t="n">
        <v>212694</v>
      </c>
      <c r="C266" t="n">
        <v>0.4</v>
      </c>
      <c r="D266" t="n">
        <v>238442</v>
      </c>
      <c r="E266" t="n">
        <v>2.3</v>
      </c>
    </row>
    <row r="267">
      <c r="A267" s="44" t="n">
        <v>43586</v>
      </c>
      <c r="B267" t="n">
        <v>215910</v>
      </c>
      <c r="C267" t="n">
        <v>0.6</v>
      </c>
      <c r="D267" t="n">
        <v>241067</v>
      </c>
      <c r="E267" t="n">
        <v>4.5</v>
      </c>
    </row>
    <row r="268">
      <c r="A268" s="44" t="n">
        <v>43678</v>
      </c>
      <c r="B268" t="n">
        <v>216805</v>
      </c>
      <c r="C268" t="n">
        <v>0.3</v>
      </c>
      <c r="D268" t="n">
        <v>239248</v>
      </c>
      <c r="E268" t="n">
        <v>2.6</v>
      </c>
    </row>
    <row r="269">
      <c r="A269" s="44" t="n">
        <v>43770</v>
      </c>
      <c r="B269" t="n">
        <v>215925</v>
      </c>
      <c r="C269" t="n">
        <v>0.8</v>
      </c>
      <c r="D269" t="n">
        <v>246669</v>
      </c>
      <c r="E269" t="n">
        <v>3.9</v>
      </c>
    </row>
    <row r="270">
      <c r="A270" s="44" t="n">
        <v>43862</v>
      </c>
      <c r="B270" t="n">
        <v>217911</v>
      </c>
      <c r="C270" t="n">
        <v>2.5</v>
      </c>
      <c r="D270" t="n">
        <v>243653</v>
      </c>
      <c r="E270" t="n">
        <v>2.2</v>
      </c>
    </row>
    <row r="271">
      <c r="A271" s="44" t="n">
        <v>43952</v>
      </c>
      <c r="B271" t="n">
        <v>220133</v>
      </c>
      <c r="C271" t="n">
        <v>2</v>
      </c>
      <c r="D271" t="n">
        <v>249624</v>
      </c>
      <c r="E271" t="n">
        <v>3.5</v>
      </c>
    </row>
    <row r="272">
      <c r="A272" s="44" t="n">
        <v>44044</v>
      </c>
      <c r="B272" t="n">
        <v>224337</v>
      </c>
      <c r="C272" t="n">
        <v>3.5</v>
      </c>
      <c r="D272" t="n">
        <v>250678</v>
      </c>
      <c r="E272" t="n">
        <v>4.8</v>
      </c>
    </row>
    <row r="273">
      <c r="A273" s="44" t="n">
        <v>44136</v>
      </c>
      <c r="B273" t="n">
        <v>229819</v>
      </c>
      <c r="C273" t="n">
        <v>6.4</v>
      </c>
      <c r="D273" t="n">
        <v>255143</v>
      </c>
      <c r="E273" t="n">
        <v>3.4</v>
      </c>
    </row>
    <row r="274">
      <c r="A274" s="44" t="n">
        <v>44228</v>
      </c>
      <c r="B274" t="n">
        <v>231644</v>
      </c>
      <c r="C274" t="n">
        <v>6.3</v>
      </c>
      <c r="D274" t="n">
        <v>249522</v>
      </c>
      <c r="E274" t="n">
        <v>2.4</v>
      </c>
    </row>
    <row r="275">
      <c r="A275" s="44" t="n">
        <v>44317</v>
      </c>
      <c r="B275" t="n">
        <v>242709</v>
      </c>
      <c r="C275" t="n">
        <v>10.3</v>
      </c>
      <c r="D275" t="n">
        <v>257684</v>
      </c>
      <c r="E275" t="n">
        <v>3.2</v>
      </c>
    </row>
    <row r="276">
      <c r="A276" s="44" t="n">
        <v>44409</v>
      </c>
      <c r="B276" t="n">
        <v>247535</v>
      </c>
      <c r="C276" t="n">
        <v>10.3</v>
      </c>
      <c r="D276" t="n">
        <v>265516</v>
      </c>
      <c r="E276" t="n">
        <v>5.9</v>
      </c>
    </row>
    <row r="277">
      <c r="A277" s="44" t="n">
        <v>44501</v>
      </c>
      <c r="B277" t="n">
        <v>253113</v>
      </c>
      <c r="C277" t="n">
        <v>10.1</v>
      </c>
      <c r="D277" t="n">
        <v>266030</v>
      </c>
      <c r="E277" t="n">
        <v>4.3</v>
      </c>
    </row>
    <row r="278">
      <c r="A278" s="44" t="n">
        <v>44593</v>
      </c>
      <c r="B278" t="n">
        <v>260771</v>
      </c>
      <c r="C278" t="n">
        <v>12.6</v>
      </c>
      <c r="D278" t="n">
        <v>279031</v>
      </c>
      <c r="E278" t="n">
        <v>11.8</v>
      </c>
    </row>
    <row r="279">
      <c r="A279" s="44" t="n">
        <v>44682</v>
      </c>
      <c r="B279" t="n">
        <v>270452</v>
      </c>
      <c r="C279" t="n">
        <v>11.4</v>
      </c>
      <c r="D279" t="n">
        <v>295022</v>
      </c>
      <c r="E279" t="n">
        <v>14.5</v>
      </c>
    </row>
    <row r="280">
      <c r="A280" s="44" t="n">
        <v>44774</v>
      </c>
      <c r="B280" t="n">
        <v>273135</v>
      </c>
      <c r="C280" t="n">
        <v>10.3</v>
      </c>
      <c r="D280" t="n">
        <v>292773</v>
      </c>
      <c r="E280" t="n">
        <v>10.3</v>
      </c>
    </row>
    <row r="281">
      <c r="A281" s="44" t="n">
        <v>44866</v>
      </c>
      <c r="B281" t="n">
        <v>265195</v>
      </c>
      <c r="C281" t="n">
        <v>4.8</v>
      </c>
      <c r="D281" t="n">
        <v>291963</v>
      </c>
      <c r="E281" t="n">
        <v>9.699999999999999</v>
      </c>
    </row>
    <row r="282">
      <c r="A282" s="44" t="n">
        <v>44958</v>
      </c>
      <c r="B282" t="n">
        <v>258115</v>
      </c>
      <c r="C282" t="n">
        <v>-1</v>
      </c>
      <c r="D282" t="n">
        <v>285763</v>
      </c>
      <c r="E282" t="n">
        <v>2.4</v>
      </c>
    </row>
    <row r="283">
      <c r="A283" s="44" t="n">
        <v>45047</v>
      </c>
      <c r="B283" t="n">
        <v>261995</v>
      </c>
      <c r="C283" t="n">
        <v>-3.1</v>
      </c>
      <c r="D283" t="n">
        <v>291023</v>
      </c>
      <c r="E283" t="n">
        <v>-1.4</v>
      </c>
    </row>
    <row r="284">
      <c r="A284" s="44" t="n">
        <v>45139</v>
      </c>
      <c r="B284" t="n">
        <v>260181</v>
      </c>
      <c r="C284" t="n">
        <v>-4.7</v>
      </c>
      <c r="D284" t="n">
        <v>300952</v>
      </c>
      <c r="E284" t="n">
        <v>2.8</v>
      </c>
    </row>
    <row r="285">
      <c r="A285" s="44" t="n">
        <v>45231</v>
      </c>
      <c r="B285" t="n">
        <v>259157</v>
      </c>
      <c r="C285" t="n">
        <v>-2.3</v>
      </c>
      <c r="D285" t="n">
        <v>295821</v>
      </c>
      <c r="E285" t="n">
        <v>1.3</v>
      </c>
    </row>
    <row r="286">
      <c r="A286" s="44" t="n">
        <v>45323</v>
      </c>
      <c r="B286" t="n">
        <v>260791</v>
      </c>
      <c r="C286" t="n">
        <v>1</v>
      </c>
      <c r="D286" t="n">
        <v>301041</v>
      </c>
      <c r="E286" t="n">
        <v>5.3</v>
      </c>
    </row>
    <row r="287">
      <c r="A287" s="44" t="n">
        <v>45413</v>
      </c>
      <c r="B287" t="n">
        <v>265012</v>
      </c>
      <c r="C287" t="n">
        <v>1.2</v>
      </c>
      <c r="D287" t="n">
        <v>298236</v>
      </c>
      <c r="E287" t="n">
        <v>2.5</v>
      </c>
    </row>
    <row r="288">
      <c r="A288" s="44" t="n">
        <v>45505</v>
      </c>
      <c r="B288" t="n">
        <v>266640</v>
      </c>
      <c r="C288" t="n">
        <v>2.5</v>
      </c>
      <c r="D288" t="n">
        <v>299191</v>
      </c>
      <c r="E288" t="n">
        <v>-0.6</v>
      </c>
    </row>
    <row r="289">
      <c r="A289" s="44" t="n">
        <v>45597</v>
      </c>
      <c r="B289" t="n">
        <v>268518</v>
      </c>
      <c r="C289" t="n">
        <v>3.6</v>
      </c>
      <c r="D289" t="n">
        <v>307673</v>
      </c>
      <c r="E289" t="n">
        <v>4</v>
      </c>
    </row>
    <row r="290">
      <c r="A290" s="44" t="n">
        <v>45689</v>
      </c>
      <c r="B290" t="n">
        <v>270867</v>
      </c>
      <c r="C290" t="n">
        <v>3.9</v>
      </c>
      <c r="D290" t="n">
        <v>309918</v>
      </c>
      <c r="E290" t="n">
        <v>2.9</v>
      </c>
    </row>
    <row r="291">
      <c r="A291" s="44" t="n">
        <v>45778</v>
      </c>
      <c r="B291" t="n">
        <v>272751</v>
      </c>
      <c r="C291" t="n">
        <v>2.9</v>
      </c>
      <c r="D291" t="n">
        <v>313238</v>
      </c>
      <c r="E29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6BEB9"/>
    <outlinePr summaryBelow="1" summaryRight="1"/>
    <pageSetUpPr/>
  </sheetPr>
  <dimension ref="A1:D1118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  <col width="12" customWidth="1" min="4" max="4"/>
  </cols>
  <sheetData>
    <row r="1" ht="30" customHeight="1">
      <c r="A1" s="17" t="inlineStr">
        <is>
          <t>Country</t>
        </is>
      </c>
      <c r="B1" s="17" t="inlineStr">
        <is>
          <t>Country Code</t>
        </is>
      </c>
      <c r="C1" s="17" t="inlineStr">
        <is>
          <t>Year</t>
        </is>
      </c>
      <c r="D1" s="17" t="inlineStr">
        <is>
          <t>CPI</t>
        </is>
      </c>
    </row>
    <row r="2">
      <c r="A2" t="inlineStr">
        <is>
          <t>Aruba</t>
        </is>
      </c>
      <c r="B2" t="inlineStr">
        <is>
          <t>ABW</t>
        </is>
      </c>
      <c r="C2" t="n">
        <v>1985</v>
      </c>
      <c r="D2" t="n">
        <v>4.03225805628628</v>
      </c>
    </row>
    <row r="3">
      <c r="A3" t="inlineStr">
        <is>
          <t>Aruba</t>
        </is>
      </c>
      <c r="B3" t="inlineStr">
        <is>
          <t>ABW</t>
        </is>
      </c>
      <c r="C3" t="n">
        <v>1986</v>
      </c>
      <c r="D3" t="n">
        <v>1.07396640826829</v>
      </c>
    </row>
    <row r="4">
      <c r="A4" t="inlineStr">
        <is>
          <t>Aruba</t>
        </is>
      </c>
      <c r="B4" t="inlineStr">
        <is>
          <t>ABW</t>
        </is>
      </c>
      <c r="C4" t="n">
        <v>1987</v>
      </c>
      <c r="D4" t="n">
        <v>3.64304545817706</v>
      </c>
    </row>
    <row r="5">
      <c r="A5" t="inlineStr">
        <is>
          <t>Aruba</t>
        </is>
      </c>
      <c r="B5" t="inlineStr">
        <is>
          <t>ABW</t>
        </is>
      </c>
      <c r="C5" t="n">
        <v>1988</v>
      </c>
      <c r="D5" t="n">
        <v>3.12186849610723</v>
      </c>
    </row>
    <row r="6">
      <c r="A6" t="inlineStr">
        <is>
          <t>Aruba</t>
        </is>
      </c>
      <c r="B6" t="inlineStr">
        <is>
          <t>ABW</t>
        </is>
      </c>
      <c r="C6" t="n">
        <v>1989</v>
      </c>
      <c r="D6" t="n">
        <v>3.99162804604575</v>
      </c>
    </row>
    <row r="7">
      <c r="A7" t="inlineStr">
        <is>
          <t>Aruba</t>
        </is>
      </c>
      <c r="B7" t="inlineStr">
        <is>
          <t>ABW</t>
        </is>
      </c>
      <c r="C7" t="n">
        <v>1990</v>
      </c>
      <c r="D7" t="n">
        <v>5.83668775158166</v>
      </c>
    </row>
    <row r="8">
      <c r="A8" t="inlineStr">
        <is>
          <t>Aruba</t>
        </is>
      </c>
      <c r="B8" t="inlineStr">
        <is>
          <t>ABW</t>
        </is>
      </c>
      <c r="C8" t="n">
        <v>1991</v>
      </c>
      <c r="D8" t="n">
        <v>5.55555555555579</v>
      </c>
    </row>
    <row r="9">
      <c r="A9" t="inlineStr">
        <is>
          <t>Aruba</t>
        </is>
      </c>
      <c r="B9" t="inlineStr">
        <is>
          <t>ABW</t>
        </is>
      </c>
      <c r="C9" t="n">
        <v>1992</v>
      </c>
      <c r="D9" t="n">
        <v>3.8733753699648</v>
      </c>
    </row>
    <row r="10">
      <c r="A10" t="inlineStr">
        <is>
          <t>Aruba</t>
        </is>
      </c>
      <c r="B10" t="inlineStr">
        <is>
          <t>ABW</t>
        </is>
      </c>
      <c r="C10" t="n">
        <v>1993</v>
      </c>
      <c r="D10" t="n">
        <v>5.2155599603571</v>
      </c>
    </row>
    <row r="11">
      <c r="A11" t="inlineStr">
        <is>
          <t>Aruba</t>
        </is>
      </c>
      <c r="B11" t="inlineStr">
        <is>
          <t>ABW</t>
        </is>
      </c>
      <c r="C11" t="n">
        <v>1994</v>
      </c>
      <c r="D11" t="n">
        <v>6.3110797127044</v>
      </c>
    </row>
    <row r="12">
      <c r="A12" t="inlineStr">
        <is>
          <t>Aruba</t>
        </is>
      </c>
      <c r="B12" t="inlineStr">
        <is>
          <t>ABW</t>
        </is>
      </c>
      <c r="C12" t="n">
        <v>1995</v>
      </c>
      <c r="D12" t="n">
        <v>3.36139107320899</v>
      </c>
    </row>
    <row r="13">
      <c r="A13" t="inlineStr">
        <is>
          <t>Aruba</t>
        </is>
      </c>
      <c r="B13" t="inlineStr">
        <is>
          <t>ABW</t>
        </is>
      </c>
      <c r="C13" t="n">
        <v>1996</v>
      </c>
      <c r="D13" t="n">
        <v>3.22528797213979</v>
      </c>
    </row>
    <row r="14">
      <c r="A14" t="inlineStr">
        <is>
          <t>Aruba</t>
        </is>
      </c>
      <c r="B14" t="inlineStr">
        <is>
          <t>ABW</t>
        </is>
      </c>
      <c r="C14" t="n">
        <v>1997</v>
      </c>
      <c r="D14" t="n">
        <v>2.99994809778412</v>
      </c>
    </row>
    <row r="15">
      <c r="A15" t="inlineStr">
        <is>
          <t>Aruba</t>
        </is>
      </c>
      <c r="B15" t="inlineStr">
        <is>
          <t>ABW</t>
        </is>
      </c>
      <c r="C15" t="n">
        <v>1998</v>
      </c>
      <c r="D15" t="n">
        <v>1.86948853615541</v>
      </c>
    </row>
    <row r="16">
      <c r="A16" t="inlineStr">
        <is>
          <t>Aruba</t>
        </is>
      </c>
      <c r="B16" t="inlineStr">
        <is>
          <t>ABW</t>
        </is>
      </c>
      <c r="C16" t="n">
        <v>1999</v>
      </c>
      <c r="D16" t="n">
        <v>2.28037198258753</v>
      </c>
    </row>
    <row r="17">
      <c r="A17" t="inlineStr">
        <is>
          <t>Aruba</t>
        </is>
      </c>
      <c r="B17" t="inlineStr">
        <is>
          <t>ABW</t>
        </is>
      </c>
      <c r="C17" t="n">
        <v>2000</v>
      </c>
      <c r="D17" t="n">
        <v>4.04402131190513</v>
      </c>
    </row>
    <row r="18">
      <c r="A18" t="inlineStr">
        <is>
          <t>Aruba</t>
        </is>
      </c>
      <c r="B18" t="inlineStr">
        <is>
          <t>ABW</t>
        </is>
      </c>
      <c r="C18" t="n">
        <v>2001</v>
      </c>
      <c r="D18" t="n">
        <v>2.88360430316264</v>
      </c>
    </row>
    <row r="19">
      <c r="A19" t="inlineStr">
        <is>
          <t>Aruba</t>
        </is>
      </c>
      <c r="B19" t="inlineStr">
        <is>
          <t>ABW</t>
        </is>
      </c>
      <c r="C19" t="n">
        <v>2002</v>
      </c>
      <c r="D19" t="n">
        <v>3.31524678585423</v>
      </c>
    </row>
    <row r="20">
      <c r="A20" t="inlineStr">
        <is>
          <t>Aruba</t>
        </is>
      </c>
      <c r="B20" t="inlineStr">
        <is>
          <t>ABW</t>
        </is>
      </c>
      <c r="C20" t="n">
        <v>2003</v>
      </c>
      <c r="D20" t="n">
        <v>3.65636507938418</v>
      </c>
    </row>
    <row r="21">
      <c r="A21" t="inlineStr">
        <is>
          <t>Aruba</t>
        </is>
      </c>
      <c r="B21" t="inlineStr">
        <is>
          <t>ABW</t>
        </is>
      </c>
      <c r="C21" t="n">
        <v>2004</v>
      </c>
      <c r="D21" t="n">
        <v>2.52912946932762</v>
      </c>
    </row>
    <row r="22">
      <c r="A22" t="inlineStr">
        <is>
          <t>Aruba</t>
        </is>
      </c>
      <c r="B22" t="inlineStr">
        <is>
          <t>ABW</t>
        </is>
      </c>
      <c r="C22" t="n">
        <v>2005</v>
      </c>
      <c r="D22" t="n">
        <v>3.39778677828806</v>
      </c>
    </row>
    <row r="23">
      <c r="A23" t="inlineStr">
        <is>
          <t>Aruba</t>
        </is>
      </c>
      <c r="B23" t="inlineStr">
        <is>
          <t>ABW</t>
        </is>
      </c>
      <c r="C23" t="n">
        <v>2006</v>
      </c>
      <c r="D23" t="n">
        <v>3.60802438784541</v>
      </c>
    </row>
    <row r="24">
      <c r="A24" t="inlineStr">
        <is>
          <t>Aruba</t>
        </is>
      </c>
      <c r="B24" t="inlineStr">
        <is>
          <t>ABW</t>
        </is>
      </c>
      <c r="C24" t="n">
        <v>2007</v>
      </c>
      <c r="D24" t="n">
        <v>5.39256784475517</v>
      </c>
    </row>
    <row r="25">
      <c r="A25" t="inlineStr">
        <is>
          <t>Aruba</t>
        </is>
      </c>
      <c r="B25" t="inlineStr">
        <is>
          <t>ABW</t>
        </is>
      </c>
      <c r="C25" t="n">
        <v>2008</v>
      </c>
      <c r="D25" t="n">
        <v>8.955987051777839</v>
      </c>
    </row>
    <row r="26">
      <c r="A26" t="inlineStr">
        <is>
          <t>Aruba</t>
        </is>
      </c>
      <c r="B26" t="inlineStr">
        <is>
          <t>ABW</t>
        </is>
      </c>
      <c r="C26" t="n">
        <v>2009</v>
      </c>
      <c r="D26" t="n">
        <v>-2.13542872046937</v>
      </c>
    </row>
    <row r="27">
      <c r="A27" t="inlineStr">
        <is>
          <t>Aruba</t>
        </is>
      </c>
      <c r="B27" t="inlineStr">
        <is>
          <t>ABW</t>
        </is>
      </c>
      <c r="C27" t="n">
        <v>2010</v>
      </c>
      <c r="D27" t="n">
        <v>2.07814071860787</v>
      </c>
    </row>
    <row r="28">
      <c r="A28" t="inlineStr">
        <is>
          <t>Aruba</t>
        </is>
      </c>
      <c r="B28" t="inlineStr">
        <is>
          <t>ABW</t>
        </is>
      </c>
      <c r="C28" t="n">
        <v>2011</v>
      </c>
      <c r="D28" t="n">
        <v>4.31629742195203</v>
      </c>
    </row>
    <row r="29">
      <c r="A29" t="inlineStr">
        <is>
          <t>Aruba</t>
        </is>
      </c>
      <c r="B29" t="inlineStr">
        <is>
          <t>ABW</t>
        </is>
      </c>
      <c r="C29" t="n">
        <v>2012</v>
      </c>
      <c r="D29" t="n">
        <v>0.627471992893373</v>
      </c>
    </row>
    <row r="30">
      <c r="A30" t="inlineStr">
        <is>
          <t>Aruba</t>
        </is>
      </c>
      <c r="B30" t="inlineStr">
        <is>
          <t>ABW</t>
        </is>
      </c>
      <c r="C30" t="n">
        <v>2013</v>
      </c>
      <c r="D30" t="n">
        <v>-2.37206524252261</v>
      </c>
    </row>
    <row r="31">
      <c r="A31" t="inlineStr">
        <is>
          <t>Aruba</t>
        </is>
      </c>
      <c r="B31" t="inlineStr">
        <is>
          <t>ABW</t>
        </is>
      </c>
      <c r="C31" t="n">
        <v>2014</v>
      </c>
      <c r="D31" t="n">
        <v>0.421440918881214</v>
      </c>
    </row>
    <row r="32">
      <c r="A32" t="inlineStr">
        <is>
          <t>Aruba</t>
        </is>
      </c>
      <c r="B32" t="inlineStr">
        <is>
          <t>ABW</t>
        </is>
      </c>
      <c r="C32" t="n">
        <v>2015</v>
      </c>
      <c r="D32" t="n">
        <v>0.474763597342641</v>
      </c>
    </row>
    <row r="33">
      <c r="A33" t="inlineStr">
        <is>
          <t>Aruba</t>
        </is>
      </c>
      <c r="B33" t="inlineStr">
        <is>
          <t>ABW</t>
        </is>
      </c>
      <c r="C33" t="n">
        <v>2016</v>
      </c>
      <c r="D33" t="n">
        <v>-0.931195987079561</v>
      </c>
    </row>
    <row r="34">
      <c r="A34" t="inlineStr">
        <is>
          <t>Aruba</t>
        </is>
      </c>
      <c r="B34" t="inlineStr">
        <is>
          <t>ABW</t>
        </is>
      </c>
      <c r="C34" t="n">
        <v>2017</v>
      </c>
      <c r="D34" t="n">
        <v>-1.02828178762012</v>
      </c>
    </row>
    <row r="35">
      <c r="A35" t="inlineStr">
        <is>
          <t>Aruba</t>
        </is>
      </c>
      <c r="B35" t="inlineStr">
        <is>
          <t>ABW</t>
        </is>
      </c>
      <c r="C35" t="n">
        <v>2018</v>
      </c>
      <c r="D35" t="n">
        <v>3.62604141352961</v>
      </c>
    </row>
    <row r="36">
      <c r="A36" t="inlineStr">
        <is>
          <t>Aruba</t>
        </is>
      </c>
      <c r="B36" t="inlineStr">
        <is>
          <t>ABW</t>
        </is>
      </c>
      <c r="C36" t="n">
        <v>2019</v>
      </c>
      <c r="D36" t="n">
        <v>4.25746204335428</v>
      </c>
    </row>
    <row r="37">
      <c r="A37" t="inlineStr">
        <is>
          <t>Africa Eastern and Southern</t>
        </is>
      </c>
      <c r="B37" t="inlineStr">
        <is>
          <t>AFE</t>
        </is>
      </c>
      <c r="C37" t="n">
        <v>1974</v>
      </c>
      <c r="D37" t="n">
        <v>19.5983935742148</v>
      </c>
    </row>
    <row r="38">
      <c r="A38" t="inlineStr">
        <is>
          <t>Africa Eastern and Southern</t>
        </is>
      </c>
      <c r="B38" t="inlineStr">
        <is>
          <t>AFE</t>
        </is>
      </c>
      <c r="C38" t="n">
        <v>1975</v>
      </c>
      <c r="D38" t="n">
        <v>15.2240989352891</v>
      </c>
    </row>
    <row r="39">
      <c r="A39" t="inlineStr">
        <is>
          <t>Africa Eastern and Southern</t>
        </is>
      </c>
      <c r="B39" t="inlineStr">
        <is>
          <t>AFE</t>
        </is>
      </c>
      <c r="C39" t="n">
        <v>1976</v>
      </c>
      <c r="D39" t="n">
        <v>11.2164812938294</v>
      </c>
    </row>
    <row r="40">
      <c r="A40" t="inlineStr">
        <is>
          <t>Africa Eastern and Southern</t>
        </is>
      </c>
      <c r="B40" t="inlineStr">
        <is>
          <t>AFE</t>
        </is>
      </c>
      <c r="C40" t="n">
        <v>1977</v>
      </c>
      <c r="D40" t="n">
        <v>14.2380554942681</v>
      </c>
    </row>
    <row r="41">
      <c r="A41" t="inlineStr">
        <is>
          <t>Africa Eastern and Southern</t>
        </is>
      </c>
      <c r="B41" t="inlineStr">
        <is>
          <t>AFE</t>
        </is>
      </c>
      <c r="C41" t="n">
        <v>1978</v>
      </c>
      <c r="D41" t="n">
        <v>12.52689251464</v>
      </c>
    </row>
    <row r="42">
      <c r="A42" t="inlineStr">
        <is>
          <t>Africa Eastern and Southern</t>
        </is>
      </c>
      <c r="B42" t="inlineStr">
        <is>
          <t>AFE</t>
        </is>
      </c>
      <c r="C42" t="n">
        <v>1979</v>
      </c>
      <c r="D42" t="n">
        <v>15.0698498241015</v>
      </c>
    </row>
    <row r="43">
      <c r="A43" t="inlineStr">
        <is>
          <t>Africa Eastern and Southern</t>
        </is>
      </c>
      <c r="B43" t="inlineStr">
        <is>
          <t>AFE</t>
        </is>
      </c>
      <c r="C43" t="n">
        <v>1980</v>
      </c>
      <c r="D43" t="n">
        <v>15.0665115372509</v>
      </c>
    </row>
    <row r="44">
      <c r="A44" t="inlineStr">
        <is>
          <t>Africa Eastern and Southern</t>
        </is>
      </c>
      <c r="B44" t="inlineStr">
        <is>
          <t>AFE</t>
        </is>
      </c>
      <c r="C44" t="n">
        <v>1981</v>
      </c>
      <c r="D44" t="n">
        <v>14.4615910742106</v>
      </c>
    </row>
    <row r="45">
      <c r="A45" t="inlineStr">
        <is>
          <t>Africa Eastern and Southern</t>
        </is>
      </c>
      <c r="B45" t="inlineStr">
        <is>
          <t>AFE</t>
        </is>
      </c>
      <c r="C45" t="n">
        <v>1982</v>
      </c>
      <c r="D45" t="n">
        <v>12.1399176954734</v>
      </c>
    </row>
    <row r="46">
      <c r="A46" t="inlineStr">
        <is>
          <t>Africa Eastern and Southern</t>
        </is>
      </c>
      <c r="B46" t="inlineStr">
        <is>
          <t>AFE</t>
        </is>
      </c>
      <c r="C46" t="n">
        <v>1983</v>
      </c>
      <c r="D46" t="n">
        <v>11.5675243834069</v>
      </c>
    </row>
    <row r="47">
      <c r="A47" t="inlineStr">
        <is>
          <t>Africa Eastern and Southern</t>
        </is>
      </c>
      <c r="B47" t="inlineStr">
        <is>
          <t>AFE</t>
        </is>
      </c>
      <c r="C47" t="n">
        <v>1984</v>
      </c>
      <c r="D47" t="n">
        <v>10.9838625715774</v>
      </c>
    </row>
    <row r="48">
      <c r="A48" t="inlineStr">
        <is>
          <t>Africa Eastern and Southern</t>
        </is>
      </c>
      <c r="B48" t="inlineStr">
        <is>
          <t>AFE</t>
        </is>
      </c>
      <c r="C48" t="n">
        <v>1985</v>
      </c>
      <c r="D48" t="n">
        <v>13.0065664218827</v>
      </c>
    </row>
    <row r="49">
      <c r="A49" t="inlineStr">
        <is>
          <t>Africa Eastern and Southern</t>
        </is>
      </c>
      <c r="B49" t="inlineStr">
        <is>
          <t>AFE</t>
        </is>
      </c>
      <c r="C49" t="n">
        <v>1986</v>
      </c>
      <c r="D49" t="n">
        <v>13.8919716455565</v>
      </c>
    </row>
    <row r="50">
      <c r="A50" t="inlineStr">
        <is>
          <t>Africa Eastern and Southern</t>
        </is>
      </c>
      <c r="B50" t="inlineStr">
        <is>
          <t>AFE</t>
        </is>
      </c>
      <c r="C50" t="n">
        <v>1987</v>
      </c>
      <c r="D50" t="n">
        <v>12.5634432211069</v>
      </c>
    </row>
    <row r="51">
      <c r="A51" t="inlineStr">
        <is>
          <t>Africa Eastern and Southern</t>
        </is>
      </c>
      <c r="B51" t="inlineStr">
        <is>
          <t>AFE</t>
        </is>
      </c>
      <c r="C51" t="n">
        <v>1988</v>
      </c>
      <c r="D51" t="n">
        <v>12.5222580655931</v>
      </c>
    </row>
    <row r="52">
      <c r="A52" t="inlineStr">
        <is>
          <t>Africa Eastern and Southern</t>
        </is>
      </c>
      <c r="B52" t="inlineStr">
        <is>
          <t>AFE</t>
        </is>
      </c>
      <c r="C52" t="n">
        <v>1989</v>
      </c>
      <c r="D52" t="n">
        <v>12.5582020707012</v>
      </c>
    </row>
    <row r="53">
      <c r="A53" t="inlineStr">
        <is>
          <t>Africa Eastern and Southern</t>
        </is>
      </c>
      <c r="B53" t="inlineStr">
        <is>
          <t>AFE</t>
        </is>
      </c>
      <c r="C53" t="n">
        <v>1990</v>
      </c>
      <c r="D53" t="n">
        <v>12.4579139789566</v>
      </c>
    </row>
    <row r="54">
      <c r="A54" t="inlineStr">
        <is>
          <t>Africa Eastern and Southern</t>
        </is>
      </c>
      <c r="B54" t="inlineStr">
        <is>
          <t>AFE</t>
        </is>
      </c>
      <c r="C54" t="n">
        <v>1991</v>
      </c>
      <c r="D54" t="n">
        <v>17.6781002638523</v>
      </c>
    </row>
    <row r="55">
      <c r="A55" t="inlineStr">
        <is>
          <t>Africa Eastern and Southern</t>
        </is>
      </c>
      <c r="B55" t="inlineStr">
        <is>
          <t>AFE</t>
        </is>
      </c>
      <c r="C55" t="n">
        <v>1992</v>
      </c>
      <c r="D55" t="n">
        <v>16.1676123963339</v>
      </c>
    </row>
    <row r="56">
      <c r="A56" t="inlineStr">
        <is>
          <t>Africa Eastern and Southern</t>
        </is>
      </c>
      <c r="B56" t="inlineStr">
        <is>
          <t>AFE</t>
        </is>
      </c>
      <c r="C56" t="n">
        <v>1993</v>
      </c>
      <c r="D56" t="n">
        <v>13.1356607683724</v>
      </c>
    </row>
    <row r="57">
      <c r="A57" t="inlineStr">
        <is>
          <t>Africa Eastern and Southern</t>
        </is>
      </c>
      <c r="B57" t="inlineStr">
        <is>
          <t>AFE</t>
        </is>
      </c>
      <c r="C57" t="n">
        <v>1994</v>
      </c>
      <c r="D57" t="n">
        <v>14.8528149833969</v>
      </c>
    </row>
    <row r="58">
      <c r="A58" t="inlineStr">
        <is>
          <t>Africa Eastern and Southern</t>
        </is>
      </c>
      <c r="B58" t="inlineStr">
        <is>
          <t>AFE</t>
        </is>
      </c>
      <c r="C58" t="n">
        <v>1995</v>
      </c>
      <c r="D58" t="n">
        <v>12.2885912601426</v>
      </c>
    </row>
    <row r="59">
      <c r="A59" t="inlineStr">
        <is>
          <t>Africa Eastern and Southern</t>
        </is>
      </c>
      <c r="B59" t="inlineStr">
        <is>
          <t>AFE</t>
        </is>
      </c>
      <c r="C59" t="n">
        <v>1996</v>
      </c>
      <c r="D59" t="n">
        <v>9.70658632526504</v>
      </c>
    </row>
    <row r="60">
      <c r="A60" t="inlineStr">
        <is>
          <t>Africa Eastern and Southern</t>
        </is>
      </c>
      <c r="B60" t="inlineStr">
        <is>
          <t>AFE</t>
        </is>
      </c>
      <c r="C60" t="n">
        <v>1997</v>
      </c>
      <c r="D60" t="n">
        <v>10.2495987403066</v>
      </c>
    </row>
    <row r="61">
      <c r="A61" t="inlineStr">
        <is>
          <t>Africa Eastern and Southern</t>
        </is>
      </c>
      <c r="B61" t="inlineStr">
        <is>
          <t>AFE</t>
        </is>
      </c>
      <c r="C61" t="n">
        <v>1998</v>
      </c>
      <c r="D61" t="n">
        <v>7.49525542305607</v>
      </c>
    </row>
    <row r="62">
      <c r="A62" t="inlineStr">
        <is>
          <t>Africa Eastern and Southern</t>
        </is>
      </c>
      <c r="B62" t="inlineStr">
        <is>
          <t>AFE</t>
        </is>
      </c>
      <c r="C62" t="n">
        <v>1999</v>
      </c>
      <c r="D62" t="n">
        <v>7.81986477630863</v>
      </c>
    </row>
    <row r="63">
      <c r="A63" t="inlineStr">
        <is>
          <t>Africa Eastern and Southern</t>
        </is>
      </c>
      <c r="B63" t="inlineStr">
        <is>
          <t>AFE</t>
        </is>
      </c>
      <c r="C63" t="n">
        <v>2000</v>
      </c>
      <c r="D63" t="n">
        <v>8.601485148514911</v>
      </c>
    </row>
    <row r="64">
      <c r="A64" t="inlineStr">
        <is>
          <t>Africa Eastern and Southern</t>
        </is>
      </c>
      <c r="B64" t="inlineStr">
        <is>
          <t>AFE</t>
        </is>
      </c>
      <c r="C64" t="n">
        <v>2001</v>
      </c>
      <c r="D64" t="n">
        <v>5.84035398311558</v>
      </c>
    </row>
    <row r="65">
      <c r="A65" t="inlineStr">
        <is>
          <t>Africa Eastern and Southern</t>
        </is>
      </c>
      <c r="B65" t="inlineStr">
        <is>
          <t>AFE</t>
        </is>
      </c>
      <c r="C65" t="n">
        <v>2002</v>
      </c>
      <c r="D65" t="n">
        <v>8.76375520313543</v>
      </c>
    </row>
    <row r="66">
      <c r="A66" t="inlineStr">
        <is>
          <t>Africa Eastern and Southern</t>
        </is>
      </c>
      <c r="B66" t="inlineStr">
        <is>
          <t>AFE</t>
        </is>
      </c>
      <c r="C66" t="n">
        <v>2003</v>
      </c>
      <c r="D66" t="n">
        <v>7.44970014007366</v>
      </c>
    </row>
    <row r="67">
      <c r="A67" t="inlineStr">
        <is>
          <t>Africa Eastern and Southern</t>
        </is>
      </c>
      <c r="B67" t="inlineStr">
        <is>
          <t>AFE</t>
        </is>
      </c>
      <c r="C67" t="n">
        <v>2004</v>
      </c>
      <c r="D67" t="n">
        <v>5.02342068616285</v>
      </c>
    </row>
    <row r="68">
      <c r="A68" t="inlineStr">
        <is>
          <t>Africa Eastern and Southern</t>
        </is>
      </c>
      <c r="B68" t="inlineStr">
        <is>
          <t>AFE</t>
        </is>
      </c>
      <c r="C68" t="n">
        <v>2005</v>
      </c>
      <c r="D68" t="n">
        <v>8.558038022397779</v>
      </c>
    </row>
    <row r="69">
      <c r="A69" t="inlineStr">
        <is>
          <t>Africa Eastern and Southern</t>
        </is>
      </c>
      <c r="B69" t="inlineStr">
        <is>
          <t>AFE</t>
        </is>
      </c>
      <c r="C69" t="n">
        <v>2006</v>
      </c>
      <c r="D69" t="n">
        <v>8.898163802140321</v>
      </c>
    </row>
    <row r="70">
      <c r="A70" t="inlineStr">
        <is>
          <t>Africa Eastern and Southern</t>
        </is>
      </c>
      <c r="B70" t="inlineStr">
        <is>
          <t>AFE</t>
        </is>
      </c>
      <c r="C70" t="n">
        <v>2007</v>
      </c>
      <c r="D70" t="n">
        <v>8.45077480634999</v>
      </c>
    </row>
    <row r="71">
      <c r="A71" t="inlineStr">
        <is>
          <t>Africa Eastern and Southern</t>
        </is>
      </c>
      <c r="B71" t="inlineStr">
        <is>
          <t>AFE</t>
        </is>
      </c>
      <c r="C71" t="n">
        <v>2008</v>
      </c>
      <c r="D71" t="n">
        <v>12.5666446595156</v>
      </c>
    </row>
    <row r="72">
      <c r="A72" t="inlineStr">
        <is>
          <t>Africa Eastern and Southern</t>
        </is>
      </c>
      <c r="B72" t="inlineStr">
        <is>
          <t>AFE</t>
        </is>
      </c>
      <c r="C72" t="n">
        <v>2009</v>
      </c>
      <c r="D72" t="n">
        <v>8.95421802392949</v>
      </c>
    </row>
    <row r="73">
      <c r="A73" t="inlineStr">
        <is>
          <t>Africa Eastern and Southern</t>
        </is>
      </c>
      <c r="B73" t="inlineStr">
        <is>
          <t>AFE</t>
        </is>
      </c>
      <c r="C73" t="n">
        <v>2010</v>
      </c>
      <c r="D73" t="n">
        <v>5.53753791645677</v>
      </c>
    </row>
    <row r="74">
      <c r="A74" t="inlineStr">
        <is>
          <t>Africa Eastern and Southern</t>
        </is>
      </c>
      <c r="B74" t="inlineStr">
        <is>
          <t>AFE</t>
        </is>
      </c>
      <c r="C74" t="n">
        <v>2011</v>
      </c>
      <c r="D74" t="n">
        <v>8.97120640995788</v>
      </c>
    </row>
    <row r="75">
      <c r="A75" t="inlineStr">
        <is>
          <t>Africa Eastern and Southern</t>
        </is>
      </c>
      <c r="B75" t="inlineStr">
        <is>
          <t>AFE</t>
        </is>
      </c>
      <c r="C75" t="n">
        <v>2012</v>
      </c>
      <c r="D75" t="n">
        <v>9.158708431679051</v>
      </c>
    </row>
    <row r="76">
      <c r="A76" t="inlineStr">
        <is>
          <t>Africa Eastern and Southern</t>
        </is>
      </c>
      <c r="B76" t="inlineStr">
        <is>
          <t>AFE</t>
        </is>
      </c>
      <c r="C76" t="n">
        <v>2013</v>
      </c>
      <c r="D76" t="n">
        <v>5.74883133553455</v>
      </c>
    </row>
    <row r="77">
      <c r="A77" t="inlineStr">
        <is>
          <t>Africa Eastern and Southern</t>
        </is>
      </c>
      <c r="B77" t="inlineStr">
        <is>
          <t>AFE</t>
        </is>
      </c>
      <c r="C77" t="n">
        <v>2014</v>
      </c>
      <c r="D77" t="n">
        <v>5.37028961008587</v>
      </c>
    </row>
    <row r="78">
      <c r="A78" t="inlineStr">
        <is>
          <t>Africa Eastern and Southern</t>
        </is>
      </c>
      <c r="B78" t="inlineStr">
        <is>
          <t>AFE</t>
        </is>
      </c>
      <c r="C78" t="n">
        <v>2015</v>
      </c>
      <c r="D78" t="n">
        <v>5.24587835022454</v>
      </c>
    </row>
    <row r="79">
      <c r="A79" t="inlineStr">
        <is>
          <t>Africa Eastern and Southern</t>
        </is>
      </c>
      <c r="B79" t="inlineStr">
        <is>
          <t>AFE</t>
        </is>
      </c>
      <c r="C79" t="n">
        <v>2016</v>
      </c>
      <c r="D79" t="n">
        <v>6.59650490696543</v>
      </c>
    </row>
    <row r="80">
      <c r="A80" t="inlineStr">
        <is>
          <t>Africa Eastern and Southern</t>
        </is>
      </c>
      <c r="B80" t="inlineStr">
        <is>
          <t>AFE</t>
        </is>
      </c>
      <c r="C80" t="n">
        <v>2017</v>
      </c>
      <c r="D80" t="n">
        <v>6.39934341569381</v>
      </c>
    </row>
    <row r="81">
      <c r="A81" t="inlineStr">
        <is>
          <t>Africa Eastern and Southern</t>
        </is>
      </c>
      <c r="B81" t="inlineStr">
        <is>
          <t>AFE</t>
        </is>
      </c>
      <c r="C81" t="n">
        <v>2018</v>
      </c>
      <c r="D81" t="n">
        <v>4.72080474200535</v>
      </c>
    </row>
    <row r="82">
      <c r="A82" t="inlineStr">
        <is>
          <t>Africa Eastern and Southern</t>
        </is>
      </c>
      <c r="B82" t="inlineStr">
        <is>
          <t>AFE</t>
        </is>
      </c>
      <c r="C82" t="n">
        <v>2019</v>
      </c>
      <c r="D82" t="n">
        <v>4.64496717329569</v>
      </c>
    </row>
    <row r="83">
      <c r="A83" t="inlineStr">
        <is>
          <t>Africa Eastern and Southern</t>
        </is>
      </c>
      <c r="B83" t="inlineStr">
        <is>
          <t>AFE</t>
        </is>
      </c>
      <c r="C83" t="n">
        <v>2020</v>
      </c>
      <c r="D83" t="n">
        <v>5.40516207933392</v>
      </c>
    </row>
    <row r="84">
      <c r="A84" t="inlineStr">
        <is>
          <t>Africa Eastern and Southern</t>
        </is>
      </c>
      <c r="B84" t="inlineStr">
        <is>
          <t>AFE</t>
        </is>
      </c>
      <c r="C84" t="n">
        <v>2021</v>
      </c>
      <c r="D84" t="n">
        <v>7.24097765588442</v>
      </c>
    </row>
    <row r="85">
      <c r="A85" t="inlineStr">
        <is>
          <t>Africa Eastern and Southern</t>
        </is>
      </c>
      <c r="B85" t="inlineStr">
        <is>
          <t>AFE</t>
        </is>
      </c>
      <c r="C85" t="n">
        <v>2022</v>
      </c>
      <c r="D85" t="n">
        <v>10.7737512242899</v>
      </c>
    </row>
    <row r="86">
      <c r="A86" t="inlineStr">
        <is>
          <t>Africa Eastern and Southern</t>
        </is>
      </c>
      <c r="B86" t="inlineStr">
        <is>
          <t>AFE</t>
        </is>
      </c>
      <c r="C86" t="n">
        <v>2023</v>
      </c>
      <c r="D86" t="n">
        <v>7.12697482131851</v>
      </c>
    </row>
    <row r="87">
      <c r="A87" t="inlineStr">
        <is>
          <t>Afghanistan</t>
        </is>
      </c>
      <c r="B87" t="inlineStr">
        <is>
          <t>AFG</t>
        </is>
      </c>
      <c r="C87" t="n">
        <v>2005</v>
      </c>
      <c r="D87" t="n">
        <v>12.6862687216715</v>
      </c>
    </row>
    <row r="88">
      <c r="A88" t="inlineStr">
        <is>
          <t>Afghanistan</t>
        </is>
      </c>
      <c r="B88" t="inlineStr">
        <is>
          <t>AFG</t>
        </is>
      </c>
      <c r="C88" t="n">
        <v>2006</v>
      </c>
      <c r="D88" t="n">
        <v>6.78459655001655</v>
      </c>
    </row>
    <row r="89">
      <c r="A89" t="inlineStr">
        <is>
          <t>Afghanistan</t>
        </is>
      </c>
      <c r="B89" t="inlineStr">
        <is>
          <t>AFG</t>
        </is>
      </c>
      <c r="C89" t="n">
        <v>2007</v>
      </c>
      <c r="D89" t="n">
        <v>8.68057078513406</v>
      </c>
    </row>
    <row r="90">
      <c r="A90" t="inlineStr">
        <is>
          <t>Afghanistan</t>
        </is>
      </c>
      <c r="B90" t="inlineStr">
        <is>
          <t>AFG</t>
        </is>
      </c>
      <c r="C90" t="n">
        <v>2008</v>
      </c>
      <c r="D90" t="n">
        <v>26.4186641547444</v>
      </c>
    </row>
    <row r="91">
      <c r="A91" t="inlineStr">
        <is>
          <t>Afghanistan</t>
        </is>
      </c>
      <c r="B91" t="inlineStr">
        <is>
          <t>AFG</t>
        </is>
      </c>
      <c r="C91" t="n">
        <v>2009</v>
      </c>
      <c r="D91" t="n">
        <v>-6.81116108898996</v>
      </c>
    </row>
    <row r="92">
      <c r="A92" t="inlineStr">
        <is>
          <t>Afghanistan</t>
        </is>
      </c>
      <c r="B92" t="inlineStr">
        <is>
          <t>AFG</t>
        </is>
      </c>
      <c r="C92" t="n">
        <v>2010</v>
      </c>
      <c r="D92" t="n">
        <v>2.17853752389419</v>
      </c>
    </row>
    <row r="93">
      <c r="A93" t="inlineStr">
        <is>
          <t>Afghanistan</t>
        </is>
      </c>
      <c r="B93" t="inlineStr">
        <is>
          <t>AFG</t>
        </is>
      </c>
      <c r="C93" t="n">
        <v>2011</v>
      </c>
      <c r="D93" t="n">
        <v>11.8041858089129</v>
      </c>
    </row>
    <row r="94">
      <c r="A94" t="inlineStr">
        <is>
          <t>Afghanistan</t>
        </is>
      </c>
      <c r="B94" t="inlineStr">
        <is>
          <t>AFG</t>
        </is>
      </c>
      <c r="C94" t="n">
        <v>2012</v>
      </c>
      <c r="D94" t="n">
        <v>6.44121280934117</v>
      </c>
    </row>
    <row r="95">
      <c r="A95" t="inlineStr">
        <is>
          <t>Afghanistan</t>
        </is>
      </c>
      <c r="B95" t="inlineStr">
        <is>
          <t>AFG</t>
        </is>
      </c>
      <c r="C95" t="n">
        <v>2013</v>
      </c>
      <c r="D95" t="n">
        <v>7.38577178397855</v>
      </c>
    </row>
    <row r="96">
      <c r="A96" t="inlineStr">
        <is>
          <t>Afghanistan</t>
        </is>
      </c>
      <c r="B96" t="inlineStr">
        <is>
          <t>AFG</t>
        </is>
      </c>
      <c r="C96" t="n">
        <v>2014</v>
      </c>
      <c r="D96" t="n">
        <v>4.67399603536345</v>
      </c>
    </row>
    <row r="97">
      <c r="A97" t="inlineStr">
        <is>
          <t>Afghanistan</t>
        </is>
      </c>
      <c r="B97" t="inlineStr">
        <is>
          <t>AFG</t>
        </is>
      </c>
      <c r="C97" t="n">
        <v>2015</v>
      </c>
      <c r="D97" t="n">
        <v>-0.661709164713742</v>
      </c>
    </row>
    <row r="98">
      <c r="A98" t="inlineStr">
        <is>
          <t>Afghanistan</t>
        </is>
      </c>
      <c r="B98" t="inlineStr">
        <is>
          <t>AFG</t>
        </is>
      </c>
      <c r="C98" t="n">
        <v>2016</v>
      </c>
      <c r="D98" t="n">
        <v>4.38389195513915</v>
      </c>
    </row>
    <row r="99">
      <c r="A99" t="inlineStr">
        <is>
          <t>Afghanistan</t>
        </is>
      </c>
      <c r="B99" t="inlineStr">
        <is>
          <t>AFG</t>
        </is>
      </c>
      <c r="C99" t="n">
        <v>2017</v>
      </c>
      <c r="D99" t="n">
        <v>4.97595150553833</v>
      </c>
    </row>
    <row r="100">
      <c r="A100" t="inlineStr">
        <is>
          <t>Afghanistan</t>
        </is>
      </c>
      <c r="B100" t="inlineStr">
        <is>
          <t>AFG</t>
        </is>
      </c>
      <c r="C100" t="n">
        <v>2018</v>
      </c>
      <c r="D100" t="n">
        <v>0.626149149168847</v>
      </c>
    </row>
    <row r="101">
      <c r="A101" t="inlineStr">
        <is>
          <t>Afghanistan</t>
        </is>
      </c>
      <c r="B101" t="inlineStr">
        <is>
          <t>AFG</t>
        </is>
      </c>
      <c r="C101" t="n">
        <v>2019</v>
      </c>
      <c r="D101" t="n">
        <v>2.30237251516834</v>
      </c>
    </row>
    <row r="102">
      <c r="A102" t="inlineStr">
        <is>
          <t>Afghanistan</t>
        </is>
      </c>
      <c r="B102" t="inlineStr">
        <is>
          <t>AFG</t>
        </is>
      </c>
      <c r="C102" t="n">
        <v>2020</v>
      </c>
      <c r="D102" t="n">
        <v>5.60188791482224</v>
      </c>
    </row>
    <row r="103">
      <c r="A103" t="inlineStr">
        <is>
          <t>Afghanistan</t>
        </is>
      </c>
      <c r="B103" t="inlineStr">
        <is>
          <t>AFG</t>
        </is>
      </c>
      <c r="C103" t="n">
        <v>2021</v>
      </c>
      <c r="D103" t="n">
        <v>5.13320340824963</v>
      </c>
    </row>
    <row r="104">
      <c r="A104" t="inlineStr">
        <is>
          <t>Afghanistan</t>
        </is>
      </c>
      <c r="B104" t="inlineStr">
        <is>
          <t>AFG</t>
        </is>
      </c>
      <c r="C104" t="n">
        <v>2022</v>
      </c>
      <c r="D104" t="n">
        <v>13.7121023720065</v>
      </c>
    </row>
    <row r="105">
      <c r="A105" t="inlineStr">
        <is>
          <t>Afghanistan</t>
        </is>
      </c>
      <c r="B105" t="inlineStr">
        <is>
          <t>AFG</t>
        </is>
      </c>
      <c r="C105" t="n">
        <v>2023</v>
      </c>
      <c r="D105" t="n">
        <v>-4.64470870797775</v>
      </c>
    </row>
    <row r="106">
      <c r="A106" t="inlineStr">
        <is>
          <t>Afghanistan</t>
        </is>
      </c>
      <c r="B106" t="inlineStr">
        <is>
          <t>AFG</t>
        </is>
      </c>
      <c r="C106" t="n">
        <v>2024</v>
      </c>
      <c r="D106" t="n">
        <v>-6.60118564073726</v>
      </c>
    </row>
    <row r="107">
      <c r="A107" t="inlineStr">
        <is>
          <t>Africa Western and Central</t>
        </is>
      </c>
      <c r="B107" t="inlineStr">
        <is>
          <t>AFW</t>
        </is>
      </c>
      <c r="C107" t="n">
        <v>1981</v>
      </c>
      <c r="D107" t="n">
        <v>8.799210833087731</v>
      </c>
    </row>
    <row r="108">
      <c r="A108" t="inlineStr">
        <is>
          <t>Africa Western and Central</t>
        </is>
      </c>
      <c r="B108" t="inlineStr">
        <is>
          <t>AFW</t>
        </is>
      </c>
      <c r="C108" t="n">
        <v>1982</v>
      </c>
      <c r="D108" t="n">
        <v>12.0597652081337</v>
      </c>
    </row>
    <row r="109">
      <c r="A109" t="inlineStr">
        <is>
          <t>Africa Western and Central</t>
        </is>
      </c>
      <c r="B109" t="inlineStr">
        <is>
          <t>AFW</t>
        </is>
      </c>
      <c r="C109" t="n">
        <v>1983</v>
      </c>
      <c r="D109" t="n">
        <v>10.6719367588934</v>
      </c>
    </row>
    <row r="110">
      <c r="A110" t="inlineStr">
        <is>
          <t>Africa Western and Central</t>
        </is>
      </c>
      <c r="B110" t="inlineStr">
        <is>
          <t>AFW</t>
        </is>
      </c>
      <c r="C110" t="n">
        <v>1984</v>
      </c>
      <c r="D110" t="n">
        <v>11.2499999999997</v>
      </c>
    </row>
    <row r="111">
      <c r="A111" t="inlineStr">
        <is>
          <t>Africa Western and Central</t>
        </is>
      </c>
      <c r="B111" t="inlineStr">
        <is>
          <t>AFW</t>
        </is>
      </c>
      <c r="C111" t="n">
        <v>1985</v>
      </c>
      <c r="D111" t="n">
        <v>7.3549257759783</v>
      </c>
    </row>
    <row r="112">
      <c r="A112" t="inlineStr">
        <is>
          <t>Africa Western and Central</t>
        </is>
      </c>
      <c r="B112" t="inlineStr">
        <is>
          <t>AFW</t>
        </is>
      </c>
      <c r="C112" t="n">
        <v>1986</v>
      </c>
      <c r="D112" t="n">
        <v>5.9509649994662</v>
      </c>
    </row>
    <row r="113">
      <c r="A113" t="inlineStr">
        <is>
          <t>Africa Western and Central</t>
        </is>
      </c>
      <c r="B113" t="inlineStr">
        <is>
          <t>AFW</t>
        </is>
      </c>
      <c r="C113" t="n">
        <v>1987</v>
      </c>
      <c r="D113" t="n">
        <v>0.248788555354758</v>
      </c>
    </row>
    <row r="114">
      <c r="A114" t="inlineStr">
        <is>
          <t>Africa Western and Central</t>
        </is>
      </c>
      <c r="B114" t="inlineStr">
        <is>
          <t>AFW</t>
        </is>
      </c>
      <c r="C114" t="n">
        <v>1988</v>
      </c>
      <c r="D114" t="n">
        <v>2.52365930599391</v>
      </c>
    </row>
    <row r="115">
      <c r="A115" t="inlineStr">
        <is>
          <t>Africa Western and Central</t>
        </is>
      </c>
      <c r="B115" t="inlineStr">
        <is>
          <t>AFW</t>
        </is>
      </c>
      <c r="C115" t="n">
        <v>1989</v>
      </c>
      <c r="D115" t="n">
        <v>0.8692870226082891</v>
      </c>
    </row>
    <row r="116">
      <c r="A116" t="inlineStr">
        <is>
          <t>Africa Western and Central</t>
        </is>
      </c>
      <c r="B116" t="inlineStr">
        <is>
          <t>AFW</t>
        </is>
      </c>
      <c r="C116" t="n">
        <v>1990</v>
      </c>
      <c r="D116" t="n">
        <v>1.05736139457209</v>
      </c>
    </row>
    <row r="117">
      <c r="A117" t="inlineStr">
        <is>
          <t>Africa Western and Central</t>
        </is>
      </c>
      <c r="B117" t="inlineStr">
        <is>
          <t>AFW</t>
        </is>
      </c>
      <c r="C117" t="n">
        <v>1991</v>
      </c>
      <c r="D117" t="n">
        <v>1.74188785932665</v>
      </c>
    </row>
    <row r="118">
      <c r="A118" t="inlineStr">
        <is>
          <t>Africa Western and Central</t>
        </is>
      </c>
      <c r="B118" t="inlineStr">
        <is>
          <t>AFW</t>
        </is>
      </c>
      <c r="C118" t="n">
        <v>1992</v>
      </c>
      <c r="D118" t="n">
        <v>-0.0629990064786939</v>
      </c>
    </row>
    <row r="119">
      <c r="A119" t="inlineStr">
        <is>
          <t>Africa Western and Central</t>
        </is>
      </c>
      <c r="B119" t="inlineStr">
        <is>
          <t>AFW</t>
        </is>
      </c>
      <c r="C119" t="n">
        <v>1993</v>
      </c>
      <c r="D119" t="n">
        <v>0.553455723541917</v>
      </c>
    </row>
    <row r="120">
      <c r="A120" t="inlineStr">
        <is>
          <t>Africa Western and Central</t>
        </is>
      </c>
      <c r="B120" t="inlineStr">
        <is>
          <t>AFW</t>
        </is>
      </c>
      <c r="C120" t="n">
        <v>1994</v>
      </c>
      <c r="D120" t="n">
        <v>31.8410168416385</v>
      </c>
    </row>
    <row r="121">
      <c r="A121" t="inlineStr">
        <is>
          <t>Africa Western and Central</t>
        </is>
      </c>
      <c r="B121" t="inlineStr">
        <is>
          <t>AFW</t>
        </is>
      </c>
      <c r="C121" t="n">
        <v>1995</v>
      </c>
      <c r="D121" t="n">
        <v>10.5632886691814</v>
      </c>
    </row>
    <row r="122">
      <c r="A122" t="inlineStr">
        <is>
          <t>Africa Western and Central</t>
        </is>
      </c>
      <c r="B122" t="inlineStr">
        <is>
          <t>AFW</t>
        </is>
      </c>
      <c r="C122" t="n">
        <v>1996</v>
      </c>
      <c r="D122" t="n">
        <v>4.914239726372</v>
      </c>
    </row>
    <row r="123">
      <c r="A123" t="inlineStr">
        <is>
          <t>Africa Western and Central</t>
        </is>
      </c>
      <c r="B123" t="inlineStr">
        <is>
          <t>AFW</t>
        </is>
      </c>
      <c r="C123" t="n">
        <v>1997</v>
      </c>
      <c r="D123" t="n">
        <v>3.99714170439302</v>
      </c>
    </row>
    <row r="124">
      <c r="A124" t="inlineStr">
        <is>
          <t>Africa Western and Central</t>
        </is>
      </c>
      <c r="B124" t="inlineStr">
        <is>
          <t>AFW</t>
        </is>
      </c>
      <c r="C124" t="n">
        <v>1998</v>
      </c>
      <c r="D124" t="n">
        <v>4.47112543851098</v>
      </c>
    </row>
    <row r="125">
      <c r="A125" t="inlineStr">
        <is>
          <t>Africa Western and Central</t>
        </is>
      </c>
      <c r="B125" t="inlineStr">
        <is>
          <t>AFW</t>
        </is>
      </c>
      <c r="C125" t="n">
        <v>1999</v>
      </c>
      <c r="D125" t="n">
        <v>0.372266170311928</v>
      </c>
    </row>
    <row r="126">
      <c r="A126" t="inlineStr">
        <is>
          <t>Africa Western and Central</t>
        </is>
      </c>
      <c r="B126" t="inlineStr">
        <is>
          <t>AFW</t>
        </is>
      </c>
      <c r="C126" t="n">
        <v>2000</v>
      </c>
      <c r="D126" t="n">
        <v>2.53077516737987</v>
      </c>
    </row>
    <row r="127">
      <c r="A127" t="inlineStr">
        <is>
          <t>Africa Western and Central</t>
        </is>
      </c>
      <c r="B127" t="inlineStr">
        <is>
          <t>AFW</t>
        </is>
      </c>
      <c r="C127" t="n">
        <v>2001</v>
      </c>
      <c r="D127" t="n">
        <v>4.36152914007262</v>
      </c>
    </row>
    <row r="128">
      <c r="A128" t="inlineStr">
        <is>
          <t>Africa Western and Central</t>
        </is>
      </c>
      <c r="B128" t="inlineStr">
        <is>
          <t>AFW</t>
        </is>
      </c>
      <c r="C128" t="n">
        <v>2002</v>
      </c>
      <c r="D128" t="n">
        <v>3.18869330220589</v>
      </c>
    </row>
    <row r="129">
      <c r="A129" t="inlineStr">
        <is>
          <t>Africa Western and Central</t>
        </is>
      </c>
      <c r="B129" t="inlineStr">
        <is>
          <t>AFW</t>
        </is>
      </c>
      <c r="C129" t="n">
        <v>2003</v>
      </c>
      <c r="D129" t="n">
        <v>1.76090410099629</v>
      </c>
    </row>
    <row r="130">
      <c r="A130" t="inlineStr">
        <is>
          <t>Africa Western and Central</t>
        </is>
      </c>
      <c r="B130" t="inlineStr">
        <is>
          <t>AFW</t>
        </is>
      </c>
      <c r="C130" t="n">
        <v>2004</v>
      </c>
      <c r="D130" t="n">
        <v>0.694336305945734</v>
      </c>
    </row>
    <row r="131">
      <c r="A131" t="inlineStr">
        <is>
          <t>Africa Western and Central</t>
        </is>
      </c>
      <c r="B131" t="inlineStr">
        <is>
          <t>AFW</t>
        </is>
      </c>
      <c r="C131" t="n">
        <v>2005</v>
      </c>
      <c r="D131" t="n">
        <v>5.63163351357613</v>
      </c>
    </row>
    <row r="132">
      <c r="A132" t="inlineStr">
        <is>
          <t>Africa Western and Central</t>
        </is>
      </c>
      <c r="B132" t="inlineStr">
        <is>
          <t>AFW</t>
        </is>
      </c>
      <c r="C132" t="n">
        <v>2006</v>
      </c>
      <c r="D132" t="n">
        <v>4.41589984169561</v>
      </c>
    </row>
    <row r="133">
      <c r="A133" t="inlineStr">
        <is>
          <t>Africa Western and Central</t>
        </is>
      </c>
      <c r="B133" t="inlineStr">
        <is>
          <t>AFW</t>
        </is>
      </c>
      <c r="C133" t="n">
        <v>2007</v>
      </c>
      <c r="D133" t="n">
        <v>3.60736767984597</v>
      </c>
    </row>
    <row r="134">
      <c r="A134" t="inlineStr">
        <is>
          <t>Africa Western and Central</t>
        </is>
      </c>
      <c r="B134" t="inlineStr">
        <is>
          <t>AFW</t>
        </is>
      </c>
      <c r="C134" t="n">
        <v>2008</v>
      </c>
      <c r="D134" t="n">
        <v>8.45297623326759</v>
      </c>
    </row>
    <row r="135">
      <c r="A135" t="inlineStr">
        <is>
          <t>Africa Western and Central</t>
        </is>
      </c>
      <c r="B135" t="inlineStr">
        <is>
          <t>AFW</t>
        </is>
      </c>
      <c r="C135" t="n">
        <v>2009</v>
      </c>
      <c r="D135" t="n">
        <v>3.28244037589321</v>
      </c>
    </row>
    <row r="136">
      <c r="A136" t="inlineStr">
        <is>
          <t>Africa Western and Central</t>
        </is>
      </c>
      <c r="B136" t="inlineStr">
        <is>
          <t>AFW</t>
        </is>
      </c>
      <c r="C136" t="n">
        <v>2010</v>
      </c>
      <c r="D136" t="n">
        <v>1.78484420477113</v>
      </c>
    </row>
    <row r="137">
      <c r="A137" t="inlineStr">
        <is>
          <t>Africa Western and Central</t>
        </is>
      </c>
      <c r="B137" t="inlineStr">
        <is>
          <t>AFW</t>
        </is>
      </c>
      <c r="C137" t="n">
        <v>2011</v>
      </c>
      <c r="D137" t="n">
        <v>4.01869907534488</v>
      </c>
    </row>
    <row r="138">
      <c r="A138" t="inlineStr">
        <is>
          <t>Africa Western and Central</t>
        </is>
      </c>
      <c r="B138" t="inlineStr">
        <is>
          <t>AFW</t>
        </is>
      </c>
      <c r="C138" t="n">
        <v>2012</v>
      </c>
      <c r="D138" t="n">
        <v>4.57837463515948</v>
      </c>
    </row>
    <row r="139">
      <c r="A139" t="inlineStr">
        <is>
          <t>Africa Western and Central</t>
        </is>
      </c>
      <c r="B139" t="inlineStr">
        <is>
          <t>AFW</t>
        </is>
      </c>
      <c r="C139" t="n">
        <v>2013</v>
      </c>
      <c r="D139" t="n">
        <v>2.43920076104127</v>
      </c>
    </row>
    <row r="140">
      <c r="A140" t="inlineStr">
        <is>
          <t>Africa Western and Central</t>
        </is>
      </c>
      <c r="B140" t="inlineStr">
        <is>
          <t>AFW</t>
        </is>
      </c>
      <c r="C140" t="n">
        <v>2014</v>
      </c>
      <c r="D140" t="n">
        <v>1.76843582146219</v>
      </c>
    </row>
    <row r="141">
      <c r="A141" t="inlineStr">
        <is>
          <t>Africa Western and Central</t>
        </is>
      </c>
      <c r="B141" t="inlineStr">
        <is>
          <t>AFW</t>
        </is>
      </c>
      <c r="C141" t="n">
        <v>2015</v>
      </c>
      <c r="D141" t="n">
        <v>2.13081738058791</v>
      </c>
    </row>
    <row r="142">
      <c r="A142" t="inlineStr">
        <is>
          <t>Africa Western and Central</t>
        </is>
      </c>
      <c r="B142" t="inlineStr">
        <is>
          <t>AFW</t>
        </is>
      </c>
      <c r="C142" t="n">
        <v>2016</v>
      </c>
      <c r="D142" t="n">
        <v>1.48741550755546</v>
      </c>
    </row>
    <row r="143">
      <c r="A143" t="inlineStr">
        <is>
          <t>Africa Western and Central</t>
        </is>
      </c>
      <c r="B143" t="inlineStr">
        <is>
          <t>AFW</t>
        </is>
      </c>
      <c r="C143" t="n">
        <v>2017</v>
      </c>
      <c r="D143" t="n">
        <v>1.72548602374723</v>
      </c>
    </row>
    <row r="144">
      <c r="A144" t="inlineStr">
        <is>
          <t>Africa Western and Central</t>
        </is>
      </c>
      <c r="B144" t="inlineStr">
        <is>
          <t>AFW</t>
        </is>
      </c>
      <c r="C144" t="n">
        <v>2018</v>
      </c>
      <c r="D144" t="n">
        <v>1.78404994832039</v>
      </c>
    </row>
    <row r="145">
      <c r="A145" t="inlineStr">
        <is>
          <t>Africa Western and Central</t>
        </is>
      </c>
      <c r="B145" t="inlineStr">
        <is>
          <t>AFW</t>
        </is>
      </c>
      <c r="C145" t="n">
        <v>2019</v>
      </c>
      <c r="D145" t="n">
        <v>1.98309228487231</v>
      </c>
    </row>
    <row r="146">
      <c r="A146" t="inlineStr">
        <is>
          <t>Africa Western and Central</t>
        </is>
      </c>
      <c r="B146" t="inlineStr">
        <is>
          <t>AFW</t>
        </is>
      </c>
      <c r="C146" t="n">
        <v>2020</v>
      </c>
      <c r="D146" t="n">
        <v>2.49037783931944</v>
      </c>
    </row>
    <row r="147">
      <c r="A147" t="inlineStr">
        <is>
          <t>Africa Western and Central</t>
        </is>
      </c>
      <c r="B147" t="inlineStr">
        <is>
          <t>AFW</t>
        </is>
      </c>
      <c r="C147" t="n">
        <v>2021</v>
      </c>
      <c r="D147" t="n">
        <v>3.74570045027359</v>
      </c>
    </row>
    <row r="148">
      <c r="A148" t="inlineStr">
        <is>
          <t>Africa Western and Central</t>
        </is>
      </c>
      <c r="B148" t="inlineStr">
        <is>
          <t>AFW</t>
        </is>
      </c>
      <c r="C148" t="n">
        <v>2022</v>
      </c>
      <c r="D148" t="n">
        <v>7.94925143524016</v>
      </c>
    </row>
    <row r="149">
      <c r="A149" t="inlineStr">
        <is>
          <t>Africa Western and Central</t>
        </is>
      </c>
      <c r="B149" t="inlineStr">
        <is>
          <t>AFW</t>
        </is>
      </c>
      <c r="C149" t="n">
        <v>2023</v>
      </c>
      <c r="D149" t="n">
        <v>5.22116801323998</v>
      </c>
    </row>
    <row r="150">
      <c r="A150" t="inlineStr">
        <is>
          <t>Angola</t>
        </is>
      </c>
      <c r="B150" t="inlineStr">
        <is>
          <t>AGO</t>
        </is>
      </c>
      <c r="C150" t="n">
        <v>1991</v>
      </c>
      <c r="D150" t="n">
        <v>83.7837837837838</v>
      </c>
    </row>
    <row r="151">
      <c r="A151" t="inlineStr">
        <is>
          <t>Angola</t>
        </is>
      </c>
      <c r="B151" t="inlineStr">
        <is>
          <t>AGO</t>
        </is>
      </c>
      <c r="C151" t="n">
        <v>1992</v>
      </c>
      <c r="D151" t="n">
        <v>299.509803921569</v>
      </c>
    </row>
    <row r="152">
      <c r="A152" t="inlineStr">
        <is>
          <t>Angola</t>
        </is>
      </c>
      <c r="B152" t="inlineStr">
        <is>
          <t>AGO</t>
        </is>
      </c>
      <c r="C152" t="n">
        <v>1993</v>
      </c>
      <c r="D152" t="n">
        <v>1378.52760736196</v>
      </c>
    </row>
    <row r="153">
      <c r="A153" t="inlineStr">
        <is>
          <t>Angola</t>
        </is>
      </c>
      <c r="B153" t="inlineStr">
        <is>
          <t>AGO</t>
        </is>
      </c>
      <c r="C153" t="n">
        <v>1994</v>
      </c>
      <c r="D153" t="n">
        <v>949.792531120332</v>
      </c>
    </row>
    <row r="154">
      <c r="A154" t="inlineStr">
        <is>
          <t>Angola</t>
        </is>
      </c>
      <c r="B154" t="inlineStr">
        <is>
          <t>AGO</t>
        </is>
      </c>
      <c r="C154" t="n">
        <v>1995</v>
      </c>
      <c r="D154" t="n">
        <v>2666.45059288538</v>
      </c>
    </row>
    <row r="155">
      <c r="A155" t="inlineStr">
        <is>
          <t>Angola</t>
        </is>
      </c>
      <c r="B155" t="inlineStr">
        <is>
          <t>AGO</t>
        </is>
      </c>
      <c r="C155" t="n">
        <v>1996</v>
      </c>
      <c r="D155" t="n">
        <v>4145.10598220638</v>
      </c>
    </row>
    <row r="156">
      <c r="A156" t="inlineStr">
        <is>
          <t>Angola</t>
        </is>
      </c>
      <c r="B156" t="inlineStr">
        <is>
          <t>AGO</t>
        </is>
      </c>
      <c r="C156" t="n">
        <v>1997</v>
      </c>
      <c r="D156" t="n">
        <v>219.176721172974</v>
      </c>
    </row>
    <row r="157">
      <c r="A157" t="inlineStr">
        <is>
          <t>Angola</t>
        </is>
      </c>
      <c r="B157" t="inlineStr">
        <is>
          <t>AGO</t>
        </is>
      </c>
      <c r="C157" t="n">
        <v>1998</v>
      </c>
      <c r="D157" t="n">
        <v>107.284821528298</v>
      </c>
    </row>
    <row r="158">
      <c r="A158" t="inlineStr">
        <is>
          <t>Angola</t>
        </is>
      </c>
      <c r="B158" t="inlineStr">
        <is>
          <t>AGO</t>
        </is>
      </c>
      <c r="C158" t="n">
        <v>1999</v>
      </c>
      <c r="D158" t="n">
        <v>248.195902412868</v>
      </c>
    </row>
    <row r="159">
      <c r="A159" t="inlineStr">
        <is>
          <t>Angola</t>
        </is>
      </c>
      <c r="B159" t="inlineStr">
        <is>
          <t>AGO</t>
        </is>
      </c>
      <c r="C159" t="n">
        <v>2000</v>
      </c>
      <c r="D159" t="n">
        <v>324.996871601321</v>
      </c>
    </row>
    <row r="160">
      <c r="A160" t="inlineStr">
        <is>
          <t>Angola</t>
        </is>
      </c>
      <c r="B160" t="inlineStr">
        <is>
          <t>AGO</t>
        </is>
      </c>
      <c r="C160" t="n">
        <v>2001</v>
      </c>
      <c r="D160" t="n">
        <v>152.561022469299</v>
      </c>
    </row>
    <row r="161">
      <c r="A161" t="inlineStr">
        <is>
          <t>Angola</t>
        </is>
      </c>
      <c r="B161" t="inlineStr">
        <is>
          <t>AGO</t>
        </is>
      </c>
      <c r="C161" t="n">
        <v>2002</v>
      </c>
      <c r="D161" t="n">
        <v>108.897436089429</v>
      </c>
    </row>
    <row r="162">
      <c r="A162" t="inlineStr">
        <is>
          <t>Angola</t>
        </is>
      </c>
      <c r="B162" t="inlineStr">
        <is>
          <t>AGO</t>
        </is>
      </c>
      <c r="C162" t="n">
        <v>2003</v>
      </c>
      <c r="D162" t="n">
        <v>98.2241436573304</v>
      </c>
    </row>
    <row r="163">
      <c r="A163" t="inlineStr">
        <is>
          <t>Angola</t>
        </is>
      </c>
      <c r="B163" t="inlineStr">
        <is>
          <t>AGO</t>
        </is>
      </c>
      <c r="C163" t="n">
        <v>2004</v>
      </c>
      <c r="D163" t="n">
        <v>43.5421067519687</v>
      </c>
    </row>
    <row r="164">
      <c r="A164" t="inlineStr">
        <is>
          <t>Angola</t>
        </is>
      </c>
      <c r="B164" t="inlineStr">
        <is>
          <t>AGO</t>
        </is>
      </c>
      <c r="C164" t="n">
        <v>2005</v>
      </c>
      <c r="D164" t="n">
        <v>22.953513851394</v>
      </c>
    </row>
    <row r="165">
      <c r="A165" t="inlineStr">
        <is>
          <t>Angola</t>
        </is>
      </c>
      <c r="B165" t="inlineStr">
        <is>
          <t>AGO</t>
        </is>
      </c>
      <c r="C165" t="n">
        <v>2006</v>
      </c>
      <c r="D165" t="n">
        <v>13.3052101780032</v>
      </c>
    </row>
    <row r="166">
      <c r="A166" t="inlineStr">
        <is>
          <t>Angola</t>
        </is>
      </c>
      <c r="B166" t="inlineStr">
        <is>
          <t>AGO</t>
        </is>
      </c>
      <c r="C166" t="n">
        <v>2007</v>
      </c>
      <c r="D166" t="n">
        <v>12.2514974459487</v>
      </c>
    </row>
    <row r="167">
      <c r="A167" t="inlineStr">
        <is>
          <t>Angola</t>
        </is>
      </c>
      <c r="B167" t="inlineStr">
        <is>
          <t>AGO</t>
        </is>
      </c>
      <c r="C167" t="n">
        <v>2008</v>
      </c>
      <c r="D167" t="n">
        <v>12.4758291326398</v>
      </c>
    </row>
    <row r="168">
      <c r="A168" t="inlineStr">
        <is>
          <t>Angola</t>
        </is>
      </c>
      <c r="B168" t="inlineStr">
        <is>
          <t>AGO</t>
        </is>
      </c>
      <c r="C168" t="n">
        <v>2009</v>
      </c>
      <c r="D168" t="n">
        <v>13.7302839288408</v>
      </c>
    </row>
    <row r="169">
      <c r="A169" t="inlineStr">
        <is>
          <t>Angola</t>
        </is>
      </c>
      <c r="B169" t="inlineStr">
        <is>
          <t>AGO</t>
        </is>
      </c>
      <c r="C169" t="n">
        <v>2010</v>
      </c>
      <c r="D169" t="n">
        <v>14.4696564932577</v>
      </c>
    </row>
    <row r="170">
      <c r="A170" t="inlineStr">
        <is>
          <t>Angola</t>
        </is>
      </c>
      <c r="B170" t="inlineStr">
        <is>
          <t>AGO</t>
        </is>
      </c>
      <c r="C170" t="n">
        <v>2011</v>
      </c>
      <c r="D170" t="n">
        <v>13.4824679218511</v>
      </c>
    </row>
    <row r="171">
      <c r="A171" t="inlineStr">
        <is>
          <t>Angola</t>
        </is>
      </c>
      <c r="B171" t="inlineStr">
        <is>
          <t>AGO</t>
        </is>
      </c>
      <c r="C171" t="n">
        <v>2012</v>
      </c>
      <c r="D171" t="n">
        <v>10.2779049218839</v>
      </c>
    </row>
    <row r="172">
      <c r="A172" t="inlineStr">
        <is>
          <t>Angola</t>
        </is>
      </c>
      <c r="B172" t="inlineStr">
        <is>
          <t>AGO</t>
        </is>
      </c>
      <c r="C172" t="n">
        <v>2013</v>
      </c>
      <c r="D172" t="n">
        <v>8.777814293326241</v>
      </c>
    </row>
    <row r="173">
      <c r="A173" t="inlineStr">
        <is>
          <t>Angola</t>
        </is>
      </c>
      <c r="B173" t="inlineStr">
        <is>
          <t>AGO</t>
        </is>
      </c>
      <c r="C173" t="n">
        <v>2014</v>
      </c>
      <c r="D173" t="n">
        <v>7.28038730361121</v>
      </c>
    </row>
    <row r="174">
      <c r="A174" t="inlineStr">
        <is>
          <t>Angola</t>
        </is>
      </c>
      <c r="B174" t="inlineStr">
        <is>
          <t>AGO</t>
        </is>
      </c>
      <c r="C174" t="n">
        <v>2015</v>
      </c>
      <c r="D174" t="n">
        <v>9.35597215533784</v>
      </c>
    </row>
    <row r="175">
      <c r="A175" t="inlineStr">
        <is>
          <t>Angola</t>
        </is>
      </c>
      <c r="B175" t="inlineStr">
        <is>
          <t>AGO</t>
        </is>
      </c>
      <c r="C175" t="n">
        <v>2016</v>
      </c>
      <c r="D175" t="n">
        <v>30.6944150806719</v>
      </c>
    </row>
    <row r="176">
      <c r="A176" t="inlineStr">
        <is>
          <t>Angola</t>
        </is>
      </c>
      <c r="B176" t="inlineStr">
        <is>
          <t>AGO</t>
        </is>
      </c>
      <c r="C176" t="n">
        <v>2017</v>
      </c>
      <c r="D176" t="n">
        <v>29.8444799015679</v>
      </c>
    </row>
    <row r="177">
      <c r="A177" t="inlineStr">
        <is>
          <t>Angola</t>
        </is>
      </c>
      <c r="B177" t="inlineStr">
        <is>
          <t>AGO</t>
        </is>
      </c>
      <c r="C177" t="n">
        <v>2018</v>
      </c>
      <c r="D177" t="n">
        <v>19.6289379701521</v>
      </c>
    </row>
    <row r="178">
      <c r="A178" t="inlineStr">
        <is>
          <t>Angola</t>
        </is>
      </c>
      <c r="B178" t="inlineStr">
        <is>
          <t>AGO</t>
        </is>
      </c>
      <c r="C178" t="n">
        <v>2019</v>
      </c>
      <c r="D178" t="n">
        <v>17.080954143438</v>
      </c>
    </row>
    <row r="179">
      <c r="A179" t="inlineStr">
        <is>
          <t>Angola</t>
        </is>
      </c>
      <c r="B179" t="inlineStr">
        <is>
          <t>AGO</t>
        </is>
      </c>
      <c r="C179" t="n">
        <v>2020</v>
      </c>
      <c r="D179" t="n">
        <v>22.271539247051</v>
      </c>
    </row>
    <row r="180">
      <c r="A180" t="inlineStr">
        <is>
          <t>Angola</t>
        </is>
      </c>
      <c r="B180" t="inlineStr">
        <is>
          <t>AGO</t>
        </is>
      </c>
      <c r="C180" t="n">
        <v>2021</v>
      </c>
      <c r="D180" t="n">
        <v>25.7542948841891</v>
      </c>
    </row>
    <row r="181">
      <c r="A181" t="inlineStr">
        <is>
          <t>Angola</t>
        </is>
      </c>
      <c r="B181" t="inlineStr">
        <is>
          <t>AGO</t>
        </is>
      </c>
      <c r="C181" t="n">
        <v>2022</v>
      </c>
      <c r="D181" t="n">
        <v>21.3552901320822</v>
      </c>
    </row>
    <row r="182">
      <c r="A182" t="inlineStr">
        <is>
          <t>Angola</t>
        </is>
      </c>
      <c r="B182" t="inlineStr">
        <is>
          <t>AGO</t>
        </is>
      </c>
      <c r="C182" t="n">
        <v>2023</v>
      </c>
      <c r="D182" t="n">
        <v>13.6441017767715</v>
      </c>
    </row>
    <row r="183">
      <c r="A183" t="inlineStr">
        <is>
          <t>Angola</t>
        </is>
      </c>
      <c r="B183" t="inlineStr">
        <is>
          <t>AGO</t>
        </is>
      </c>
      <c r="C183" t="n">
        <v>2024</v>
      </c>
      <c r="D183" t="n">
        <v>28.2404948915772</v>
      </c>
    </row>
    <row r="184">
      <c r="A184" t="inlineStr">
        <is>
          <t>Albania</t>
        </is>
      </c>
      <c r="B184" t="inlineStr">
        <is>
          <t>ALB</t>
        </is>
      </c>
      <c r="C184" t="n">
        <v>1992</v>
      </c>
      <c r="D184" t="n">
        <v>226.005421253526</v>
      </c>
    </row>
    <row r="185">
      <c r="A185" t="inlineStr">
        <is>
          <t>Albania</t>
        </is>
      </c>
      <c r="B185" t="inlineStr">
        <is>
          <t>ALB</t>
        </is>
      </c>
      <c r="C185" t="n">
        <v>1993</v>
      </c>
      <c r="D185" t="n">
        <v>85.0047512387156</v>
      </c>
    </row>
    <row r="186">
      <c r="A186" t="inlineStr">
        <is>
          <t>Albania</t>
        </is>
      </c>
      <c r="B186" t="inlineStr">
        <is>
          <t>ALB</t>
        </is>
      </c>
      <c r="C186" t="n">
        <v>1994</v>
      </c>
      <c r="D186" t="n">
        <v>22.5650526933696</v>
      </c>
    </row>
    <row r="187">
      <c r="A187" t="inlineStr">
        <is>
          <t>Albania</t>
        </is>
      </c>
      <c r="B187" t="inlineStr">
        <is>
          <t>ALB</t>
        </is>
      </c>
      <c r="C187" t="n">
        <v>1995</v>
      </c>
      <c r="D187" t="n">
        <v>7.79321853789217</v>
      </c>
    </row>
    <row r="188">
      <c r="A188" t="inlineStr">
        <is>
          <t>Albania</t>
        </is>
      </c>
      <c r="B188" t="inlineStr">
        <is>
          <t>ALB</t>
        </is>
      </c>
      <c r="C188" t="n">
        <v>1996</v>
      </c>
      <c r="D188" t="n">
        <v>12.7254778087103</v>
      </c>
    </row>
    <row r="189">
      <c r="A189" t="inlineStr">
        <is>
          <t>Albania</t>
        </is>
      </c>
      <c r="B189" t="inlineStr">
        <is>
          <t>ALB</t>
        </is>
      </c>
      <c r="C189" t="n">
        <v>1997</v>
      </c>
      <c r="D189" t="n">
        <v>33.1802743753956</v>
      </c>
    </row>
    <row r="190">
      <c r="A190" t="inlineStr">
        <is>
          <t>Albania</t>
        </is>
      </c>
      <c r="B190" t="inlineStr">
        <is>
          <t>ALB</t>
        </is>
      </c>
      <c r="C190" t="n">
        <v>1998</v>
      </c>
      <c r="D190" t="n">
        <v>20.6428588670596</v>
      </c>
    </row>
    <row r="191">
      <c r="A191" t="inlineStr">
        <is>
          <t>Albania</t>
        </is>
      </c>
      <c r="B191" t="inlineStr">
        <is>
          <t>ALB</t>
        </is>
      </c>
      <c r="C191" t="n">
        <v>1999</v>
      </c>
      <c r="D191" t="n">
        <v>0.389437653561628</v>
      </c>
    </row>
    <row r="192">
      <c r="A192" t="inlineStr">
        <is>
          <t>Albania</t>
        </is>
      </c>
      <c r="B192" t="inlineStr">
        <is>
          <t>ALB</t>
        </is>
      </c>
      <c r="C192" t="n">
        <v>2000</v>
      </c>
      <c r="D192" t="n">
        <v>0.0500181363468238</v>
      </c>
    </row>
    <row r="193">
      <c r="A193" t="inlineStr">
        <is>
          <t>Albania</t>
        </is>
      </c>
      <c r="B193" t="inlineStr">
        <is>
          <t>ALB</t>
        </is>
      </c>
      <c r="C193" t="n">
        <v>2001</v>
      </c>
      <c r="D193" t="n">
        <v>3.10758827031434</v>
      </c>
    </row>
    <row r="194">
      <c r="A194" t="inlineStr">
        <is>
          <t>Albania</t>
        </is>
      </c>
      <c r="B194" t="inlineStr">
        <is>
          <t>ALB</t>
        </is>
      </c>
      <c r="C194" t="n">
        <v>2002</v>
      </c>
      <c r="D194" t="n">
        <v>7.77052583431552</v>
      </c>
    </row>
    <row r="195">
      <c r="A195" t="inlineStr">
        <is>
          <t>Albania</t>
        </is>
      </c>
      <c r="B195" t="inlineStr">
        <is>
          <t>ALB</t>
        </is>
      </c>
      <c r="C195" t="n">
        <v>2003</v>
      </c>
      <c r="D195" t="n">
        <v>0.484002611818478</v>
      </c>
    </row>
    <row r="196">
      <c r="A196" t="inlineStr">
        <is>
          <t>Albania</t>
        </is>
      </c>
      <c r="B196" t="inlineStr">
        <is>
          <t>ALB</t>
        </is>
      </c>
      <c r="C196" t="n">
        <v>2004</v>
      </c>
      <c r="D196" t="n">
        <v>2.28001916938101</v>
      </c>
    </row>
    <row r="197">
      <c r="A197" t="inlineStr">
        <is>
          <t>Albania</t>
        </is>
      </c>
      <c r="B197" t="inlineStr">
        <is>
          <t>ALB</t>
        </is>
      </c>
      <c r="C197" t="n">
        <v>2005</v>
      </c>
      <c r="D197" t="n">
        <v>2.36658195679795</v>
      </c>
    </row>
    <row r="198">
      <c r="A198" t="inlineStr">
        <is>
          <t>Albania</t>
        </is>
      </c>
      <c r="B198" t="inlineStr">
        <is>
          <t>ALB</t>
        </is>
      </c>
      <c r="C198" t="n">
        <v>2006</v>
      </c>
      <c r="D198" t="n">
        <v>2.37072831904282</v>
      </c>
    </row>
    <row r="199">
      <c r="A199" t="inlineStr">
        <is>
          <t>Albania</t>
        </is>
      </c>
      <c r="B199" t="inlineStr">
        <is>
          <t>ALB</t>
        </is>
      </c>
      <c r="C199" t="n">
        <v>2007</v>
      </c>
      <c r="D199" t="n">
        <v>2.93268248162323</v>
      </c>
    </row>
    <row r="200">
      <c r="A200" t="inlineStr">
        <is>
          <t>Albania</t>
        </is>
      </c>
      <c r="B200" t="inlineStr">
        <is>
          <t>ALB</t>
        </is>
      </c>
      <c r="C200" t="n">
        <v>2008</v>
      </c>
      <c r="D200" t="n">
        <v>3.32087090389265</v>
      </c>
    </row>
    <row r="201">
      <c r="A201" t="inlineStr">
        <is>
          <t>Albania</t>
        </is>
      </c>
      <c r="B201" t="inlineStr">
        <is>
          <t>ALB</t>
        </is>
      </c>
      <c r="C201" t="n">
        <v>2009</v>
      </c>
      <c r="D201" t="n">
        <v>2.26692209450831</v>
      </c>
    </row>
    <row r="202">
      <c r="A202" t="inlineStr">
        <is>
          <t>Albania</t>
        </is>
      </c>
      <c r="B202" t="inlineStr">
        <is>
          <t>ALB</t>
        </is>
      </c>
      <c r="C202" t="n">
        <v>2010</v>
      </c>
      <c r="D202" t="n">
        <v>3.6271009151748</v>
      </c>
    </row>
    <row r="203">
      <c r="A203" t="inlineStr">
        <is>
          <t>Albania</t>
        </is>
      </c>
      <c r="B203" t="inlineStr">
        <is>
          <t>ALB</t>
        </is>
      </c>
      <c r="C203" t="n">
        <v>2011</v>
      </c>
      <c r="D203" t="n">
        <v>3.42807130141503</v>
      </c>
    </row>
    <row r="204">
      <c r="A204" t="inlineStr">
        <is>
          <t>Albania</t>
        </is>
      </c>
      <c r="B204" t="inlineStr">
        <is>
          <t>ALB</t>
        </is>
      </c>
      <c r="C204" t="n">
        <v>2012</v>
      </c>
      <c r="D204" t="n">
        <v>2.03159268395296</v>
      </c>
    </row>
    <row r="205">
      <c r="A205" t="inlineStr">
        <is>
          <t>Albania</t>
        </is>
      </c>
      <c r="B205" t="inlineStr">
        <is>
          <t>ALB</t>
        </is>
      </c>
      <c r="C205" t="n">
        <v>2013</v>
      </c>
      <c r="D205" t="n">
        <v>1.93762080205223</v>
      </c>
    </row>
    <row r="206">
      <c r="A206" t="inlineStr">
        <is>
          <t>Albania</t>
        </is>
      </c>
      <c r="B206" t="inlineStr">
        <is>
          <t>ALB</t>
        </is>
      </c>
      <c r="C206" t="n">
        <v>2014</v>
      </c>
      <c r="D206" t="n">
        <v>1.62586504402604</v>
      </c>
    </row>
    <row r="207">
      <c r="A207" t="inlineStr">
        <is>
          <t>Albania</t>
        </is>
      </c>
      <c r="B207" t="inlineStr">
        <is>
          <t>ALB</t>
        </is>
      </c>
      <c r="C207" t="n">
        <v>2015</v>
      </c>
      <c r="D207" t="n">
        <v>3.50120835492657</v>
      </c>
    </row>
    <row r="208">
      <c r="A208" t="inlineStr">
        <is>
          <t>Albania</t>
        </is>
      </c>
      <c r="B208" t="inlineStr">
        <is>
          <t>ALB</t>
        </is>
      </c>
      <c r="C208" t="n">
        <v>2016</v>
      </c>
      <c r="D208" t="n">
        <v>-0.367317209784652</v>
      </c>
    </row>
    <row r="209">
      <c r="A209" t="inlineStr">
        <is>
          <t>Albania</t>
        </is>
      </c>
      <c r="B209" t="inlineStr">
        <is>
          <t>ALB</t>
        </is>
      </c>
      <c r="C209" t="n">
        <v>2017</v>
      </c>
      <c r="D209" t="n">
        <v>2.06059845920226</v>
      </c>
    </row>
    <row r="210">
      <c r="A210" t="inlineStr">
        <is>
          <t>Albania</t>
        </is>
      </c>
      <c r="B210" t="inlineStr">
        <is>
          <t>ALB</t>
        </is>
      </c>
      <c r="C210" t="n">
        <v>2018</v>
      </c>
      <c r="D210" t="n">
        <v>2.02805963071135</v>
      </c>
    </row>
    <row r="211">
      <c r="A211" t="inlineStr">
        <is>
          <t>Albania</t>
        </is>
      </c>
      <c r="B211" t="inlineStr">
        <is>
          <t>ALB</t>
        </is>
      </c>
      <c r="C211" t="n">
        <v>2019</v>
      </c>
      <c r="D211" t="n">
        <v>1.41109078954251</v>
      </c>
    </row>
    <row r="212">
      <c r="A212" t="inlineStr">
        <is>
          <t>Albania</t>
        </is>
      </c>
      <c r="B212" t="inlineStr">
        <is>
          <t>ALB</t>
        </is>
      </c>
      <c r="C212" t="n">
        <v>2020</v>
      </c>
      <c r="D212" t="n">
        <v>1.62088661717004</v>
      </c>
    </row>
    <row r="213">
      <c r="A213" t="inlineStr">
        <is>
          <t>Albania</t>
        </is>
      </c>
      <c r="B213" t="inlineStr">
        <is>
          <t>ALB</t>
        </is>
      </c>
      <c r="C213" t="n">
        <v>2021</v>
      </c>
      <c r="D213" t="n">
        <v>2.04147163139545</v>
      </c>
    </row>
    <row r="214">
      <c r="A214" t="inlineStr">
        <is>
          <t>Albania</t>
        </is>
      </c>
      <c r="B214" t="inlineStr">
        <is>
          <t>ALB</t>
        </is>
      </c>
      <c r="C214" t="n">
        <v>2022</v>
      </c>
      <c r="D214" t="n">
        <v>6.7252027153006</v>
      </c>
    </row>
    <row r="215">
      <c r="A215" t="inlineStr">
        <is>
          <t>Albania</t>
        </is>
      </c>
      <c r="B215" t="inlineStr">
        <is>
          <t>ALB</t>
        </is>
      </c>
      <c r="C215" t="n">
        <v>2023</v>
      </c>
      <c r="D215" t="n">
        <v>4.75976421930106</v>
      </c>
    </row>
    <row r="216">
      <c r="A216" t="inlineStr">
        <is>
          <t>Albania</t>
        </is>
      </c>
      <c r="B216" t="inlineStr">
        <is>
          <t>ALB</t>
        </is>
      </c>
      <c r="C216" t="n">
        <v>2024</v>
      </c>
      <c r="D216" t="n">
        <v>2.21448953273294</v>
      </c>
    </row>
    <row r="217">
      <c r="A217" t="inlineStr">
        <is>
          <t>Arab World</t>
        </is>
      </c>
      <c r="B217" t="inlineStr">
        <is>
          <t>ARB</t>
        </is>
      </c>
      <c r="C217" t="n">
        <v>1973</v>
      </c>
      <c r="D217" t="n">
        <v>8.266666666000059</v>
      </c>
    </row>
    <row r="218">
      <c r="A218" t="inlineStr">
        <is>
          <t>Arab World</t>
        </is>
      </c>
      <c r="B218" t="inlineStr">
        <is>
          <t>ARB</t>
        </is>
      </c>
      <c r="C218" t="n">
        <v>1974</v>
      </c>
      <c r="D218" t="n">
        <v>15.5282817502668</v>
      </c>
    </row>
    <row r="219">
      <c r="A219" t="inlineStr">
        <is>
          <t>Arab World</t>
        </is>
      </c>
      <c r="B219" t="inlineStr">
        <is>
          <t>ARB</t>
        </is>
      </c>
      <c r="C219" t="n">
        <v>1975</v>
      </c>
      <c r="D219" t="n">
        <v>9.66969548151245</v>
      </c>
    </row>
    <row r="220">
      <c r="A220" t="inlineStr">
        <is>
          <t>Arab World</t>
        </is>
      </c>
      <c r="B220" t="inlineStr">
        <is>
          <t>ARB</t>
        </is>
      </c>
      <c r="C220" t="n">
        <v>1976</v>
      </c>
      <c r="D220" t="n">
        <v>10.3174158877413</v>
      </c>
    </row>
    <row r="221">
      <c r="A221" t="inlineStr">
        <is>
          <t>Arab World</t>
        </is>
      </c>
      <c r="B221" t="inlineStr">
        <is>
          <t>ARB</t>
        </is>
      </c>
      <c r="C221" t="n">
        <v>1977</v>
      </c>
      <c r="D221" t="n">
        <v>11.989283322105</v>
      </c>
    </row>
    <row r="222">
      <c r="A222" t="inlineStr">
        <is>
          <t>Arab World</t>
        </is>
      </c>
      <c r="B222" t="inlineStr">
        <is>
          <t>ARB</t>
        </is>
      </c>
      <c r="C222" t="n">
        <v>1978</v>
      </c>
      <c r="D222" t="n">
        <v>9.7160327495434</v>
      </c>
    </row>
    <row r="223">
      <c r="A223" t="inlineStr">
        <is>
          <t>Arab World</t>
        </is>
      </c>
      <c r="B223" t="inlineStr">
        <is>
          <t>ARB</t>
        </is>
      </c>
      <c r="C223" t="n">
        <v>1980</v>
      </c>
      <c r="D223" t="n">
        <v>9.626056646131779</v>
      </c>
    </row>
    <row r="224">
      <c r="A224" t="inlineStr">
        <is>
          <t>Arab World</t>
        </is>
      </c>
      <c r="B224" t="inlineStr">
        <is>
          <t>ARB</t>
        </is>
      </c>
      <c r="C224" t="n">
        <v>1981</v>
      </c>
      <c r="D224" t="n">
        <v>10.7585034160145</v>
      </c>
    </row>
    <row r="225">
      <c r="A225" t="inlineStr">
        <is>
          <t>Arab World</t>
        </is>
      </c>
      <c r="B225" t="inlineStr">
        <is>
          <t>ARB</t>
        </is>
      </c>
      <c r="C225" t="n">
        <v>1982</v>
      </c>
      <c r="D225" t="n">
        <v>8.33125575581156</v>
      </c>
    </row>
    <row r="226">
      <c r="A226" t="inlineStr">
        <is>
          <t>Arab World</t>
        </is>
      </c>
      <c r="B226" t="inlineStr">
        <is>
          <t>ARB</t>
        </is>
      </c>
      <c r="C226" t="n">
        <v>1983</v>
      </c>
      <c r="D226" t="n">
        <v>5.4936655143209</v>
      </c>
    </row>
    <row r="227">
      <c r="A227" t="inlineStr">
        <is>
          <t>Arab World</t>
        </is>
      </c>
      <c r="B227" t="inlineStr">
        <is>
          <t>ARB</t>
        </is>
      </c>
      <c r="C227" t="n">
        <v>1984</v>
      </c>
      <c r="D227" t="n">
        <v>8.116397955170999</v>
      </c>
    </row>
    <row r="228">
      <c r="A228" t="inlineStr">
        <is>
          <t>Arab World</t>
        </is>
      </c>
      <c r="B228" t="inlineStr">
        <is>
          <t>ARB</t>
        </is>
      </c>
      <c r="C228" t="n">
        <v>1985</v>
      </c>
      <c r="D228" t="n">
        <v>7.25436179981635</v>
      </c>
    </row>
    <row r="229">
      <c r="A229" t="inlineStr">
        <is>
          <t>Arab World</t>
        </is>
      </c>
      <c r="B229" t="inlineStr">
        <is>
          <t>ARB</t>
        </is>
      </c>
      <c r="C229" t="n">
        <v>1986</v>
      </c>
      <c r="D229" t="n">
        <v>6.79885844748846</v>
      </c>
    </row>
    <row r="230">
      <c r="A230" t="inlineStr">
        <is>
          <t>Arab World</t>
        </is>
      </c>
      <c r="B230" t="inlineStr">
        <is>
          <t>ARB</t>
        </is>
      </c>
      <c r="C230" t="n">
        <v>1987</v>
      </c>
      <c r="D230" t="n">
        <v>4.22241666240751</v>
      </c>
    </row>
    <row r="231">
      <c r="A231" t="inlineStr">
        <is>
          <t>Arab World</t>
        </is>
      </c>
      <c r="B231" t="inlineStr">
        <is>
          <t>ARB</t>
        </is>
      </c>
      <c r="C231" t="n">
        <v>1988</v>
      </c>
      <c r="D231" t="n">
        <v>5.91154496373489</v>
      </c>
    </row>
    <row r="232">
      <c r="A232" t="inlineStr">
        <is>
          <t>Arab World</t>
        </is>
      </c>
      <c r="B232" t="inlineStr">
        <is>
          <t>ARB</t>
        </is>
      </c>
      <c r="C232" t="n">
        <v>1989</v>
      </c>
      <c r="D232" t="n">
        <v>7.74088603961336</v>
      </c>
    </row>
    <row r="233">
      <c r="A233" t="inlineStr">
        <is>
          <t>Arab World</t>
        </is>
      </c>
      <c r="B233" t="inlineStr">
        <is>
          <t>ARB</t>
        </is>
      </c>
      <c r="C233" t="n">
        <v>1990</v>
      </c>
      <c r="D233" t="n">
        <v>8.45146240803882</v>
      </c>
    </row>
    <row r="234">
      <c r="A234" t="inlineStr">
        <is>
          <t>Arab World</t>
        </is>
      </c>
      <c r="B234" t="inlineStr">
        <is>
          <t>ARB</t>
        </is>
      </c>
      <c r="C234" t="n">
        <v>1991</v>
      </c>
      <c r="D234" t="n">
        <v>9.00000000000003</v>
      </c>
    </row>
    <row r="235">
      <c r="A235" t="inlineStr">
        <is>
          <t>Arab World</t>
        </is>
      </c>
      <c r="B235" t="inlineStr">
        <is>
          <t>ARB</t>
        </is>
      </c>
      <c r="C235" t="n">
        <v>1992</v>
      </c>
      <c r="D235" t="n">
        <v>9.359751589531349</v>
      </c>
    </row>
    <row r="236">
      <c r="A236" t="inlineStr">
        <is>
          <t>Arab World</t>
        </is>
      </c>
      <c r="B236" t="inlineStr">
        <is>
          <t>ARB</t>
        </is>
      </c>
      <c r="C236" t="n">
        <v>1993</v>
      </c>
      <c r="D236" t="n">
        <v>9.370344159714611</v>
      </c>
    </row>
    <row r="237">
      <c r="A237" t="inlineStr">
        <is>
          <t>Arab World</t>
        </is>
      </c>
      <c r="B237" t="inlineStr">
        <is>
          <t>ARB</t>
        </is>
      </c>
      <c r="C237" t="n">
        <v>1994</v>
      </c>
      <c r="D237" t="n">
        <v>5.11259890444314</v>
      </c>
    </row>
    <row r="238">
      <c r="A238" t="inlineStr">
        <is>
          <t>Arab World</t>
        </is>
      </c>
      <c r="B238" t="inlineStr">
        <is>
          <t>ARB</t>
        </is>
      </c>
      <c r="C238" t="n">
        <v>1995</v>
      </c>
      <c r="D238" t="n">
        <v>6.54379068524171</v>
      </c>
    </row>
    <row r="239">
      <c r="A239" t="inlineStr">
        <is>
          <t>Arab World</t>
        </is>
      </c>
      <c r="B239" t="inlineStr">
        <is>
          <t>ARB</t>
        </is>
      </c>
      <c r="C239" t="n">
        <v>1996</v>
      </c>
      <c r="D239" t="n">
        <v>4.68130623916413</v>
      </c>
    </row>
    <row r="240">
      <c r="A240" t="inlineStr">
        <is>
          <t>Arab World</t>
        </is>
      </c>
      <c r="B240" t="inlineStr">
        <is>
          <t>ARB</t>
        </is>
      </c>
      <c r="C240" t="n">
        <v>1997</v>
      </c>
      <c r="D240" t="n">
        <v>3.60116103260946</v>
      </c>
    </row>
    <row r="241">
      <c r="A241" t="inlineStr">
        <is>
          <t>Arab World</t>
        </is>
      </c>
      <c r="B241" t="inlineStr">
        <is>
          <t>ARB</t>
        </is>
      </c>
      <c r="C241" t="n">
        <v>1998</v>
      </c>
      <c r="D241" t="n">
        <v>3.417319489758</v>
      </c>
    </row>
    <row r="242">
      <c r="A242" t="inlineStr">
        <is>
          <t>Arab World</t>
        </is>
      </c>
      <c r="B242" t="inlineStr">
        <is>
          <t>ARB</t>
        </is>
      </c>
      <c r="C242" t="n">
        <v>1999</v>
      </c>
      <c r="D242" t="n">
        <v>2.66937369053699</v>
      </c>
    </row>
    <row r="243">
      <c r="A243" t="inlineStr">
        <is>
          <t>Arab World</t>
        </is>
      </c>
      <c r="B243" t="inlineStr">
        <is>
          <t>ARB</t>
        </is>
      </c>
      <c r="C243" t="n">
        <v>2000</v>
      </c>
      <c r="D243" t="n">
        <v>1.85379035325277</v>
      </c>
    </row>
    <row r="244">
      <c r="A244" t="inlineStr">
        <is>
          <t>Arab World</t>
        </is>
      </c>
      <c r="B244" t="inlineStr">
        <is>
          <t>ARB</t>
        </is>
      </c>
      <c r="C244" t="n">
        <v>2001</v>
      </c>
      <c r="D244" t="n">
        <v>1.77220437351017</v>
      </c>
    </row>
    <row r="245">
      <c r="A245" t="inlineStr">
        <is>
          <t>Arab World</t>
        </is>
      </c>
      <c r="B245" t="inlineStr">
        <is>
          <t>ARB</t>
        </is>
      </c>
      <c r="C245" t="n">
        <v>2002</v>
      </c>
      <c r="D245" t="n">
        <v>1.83299389002049</v>
      </c>
    </row>
    <row r="246">
      <c r="A246" t="inlineStr">
        <is>
          <t>Arab World</t>
        </is>
      </c>
      <c r="B246" t="inlineStr">
        <is>
          <t>ARB</t>
        </is>
      </c>
      <c r="C246" t="n">
        <v>2003</v>
      </c>
      <c r="D246" t="n">
        <v>2.71259247474352</v>
      </c>
    </row>
    <row r="247">
      <c r="A247" t="inlineStr">
        <is>
          <t>Arab World</t>
        </is>
      </c>
      <c r="B247" t="inlineStr">
        <is>
          <t>ARB</t>
        </is>
      </c>
      <c r="C247" t="n">
        <v>2004</v>
      </c>
      <c r="D247" t="n">
        <v>3.63228004956625</v>
      </c>
    </row>
    <row r="248">
      <c r="A248" t="inlineStr">
        <is>
          <t>Arab World</t>
        </is>
      </c>
      <c r="B248" t="inlineStr">
        <is>
          <t>ARB</t>
        </is>
      </c>
      <c r="C248" t="n">
        <v>2005</v>
      </c>
      <c r="D248" t="n">
        <v>3.49368534619531</v>
      </c>
    </row>
    <row r="249">
      <c r="A249" t="inlineStr">
        <is>
          <t>Arab World</t>
        </is>
      </c>
      <c r="B249" t="inlineStr">
        <is>
          <t>ARB</t>
        </is>
      </c>
      <c r="C249" t="n">
        <v>2006</v>
      </c>
      <c r="D249" t="n">
        <v>3.54498591605033</v>
      </c>
    </row>
    <row r="250">
      <c r="A250" t="inlineStr">
        <is>
          <t>Arab World</t>
        </is>
      </c>
      <c r="B250" t="inlineStr">
        <is>
          <t>ARB</t>
        </is>
      </c>
      <c r="C250" t="n">
        <v>2007</v>
      </c>
      <c r="D250" t="n">
        <v>4.74390639021648</v>
      </c>
    </row>
    <row r="251">
      <c r="A251" t="inlineStr">
        <is>
          <t>Arab World</t>
        </is>
      </c>
      <c r="B251" t="inlineStr">
        <is>
          <t>ARB</t>
        </is>
      </c>
      <c r="C251" t="n">
        <v>2008</v>
      </c>
      <c r="D251" t="n">
        <v>11.2706652380848</v>
      </c>
    </row>
    <row r="252">
      <c r="A252" t="inlineStr">
        <is>
          <t>Arab World</t>
        </is>
      </c>
      <c r="B252" t="inlineStr">
        <is>
          <t>ARB</t>
        </is>
      </c>
      <c r="C252" t="n">
        <v>2009</v>
      </c>
      <c r="D252" t="n">
        <v>2.92089711805367</v>
      </c>
    </row>
    <row r="253">
      <c r="A253" t="inlineStr">
        <is>
          <t>Arab World</t>
        </is>
      </c>
      <c r="B253" t="inlineStr">
        <is>
          <t>ARB</t>
        </is>
      </c>
      <c r="C253" t="n">
        <v>2010</v>
      </c>
      <c r="D253" t="n">
        <v>3.91106195534028</v>
      </c>
    </row>
    <row r="254">
      <c r="A254" t="inlineStr">
        <is>
          <t>Arab World</t>
        </is>
      </c>
      <c r="B254" t="inlineStr">
        <is>
          <t>ARB</t>
        </is>
      </c>
      <c r="C254" t="n">
        <v>2011</v>
      </c>
      <c r="D254" t="n">
        <v>4.7531638888563</v>
      </c>
    </row>
    <row r="255">
      <c r="A255" t="inlineStr">
        <is>
          <t>Arab World</t>
        </is>
      </c>
      <c r="B255" t="inlineStr">
        <is>
          <t>ARB</t>
        </is>
      </c>
      <c r="C255" t="n">
        <v>2012</v>
      </c>
      <c r="D255" t="n">
        <v>4.6118443220664</v>
      </c>
    </row>
    <row r="256">
      <c r="A256" t="inlineStr">
        <is>
          <t>Arab World</t>
        </is>
      </c>
      <c r="B256" t="inlineStr">
        <is>
          <t>ARB</t>
        </is>
      </c>
      <c r="C256" t="n">
        <v>2013</v>
      </c>
      <c r="D256" t="n">
        <v>3.25423910998847</v>
      </c>
    </row>
    <row r="257">
      <c r="A257" t="inlineStr">
        <is>
          <t>Arab World</t>
        </is>
      </c>
      <c r="B257" t="inlineStr">
        <is>
          <t>ARB</t>
        </is>
      </c>
      <c r="C257" t="n">
        <v>2014</v>
      </c>
      <c r="D257" t="n">
        <v>2.77351613126123</v>
      </c>
    </row>
    <row r="258">
      <c r="A258" t="inlineStr">
        <is>
          <t>Arab World</t>
        </is>
      </c>
      <c r="B258" t="inlineStr">
        <is>
          <t>ARB</t>
        </is>
      </c>
      <c r="C258" t="n">
        <v>2015</v>
      </c>
      <c r="D258" t="n">
        <v>1.84862742374977</v>
      </c>
    </row>
    <row r="259">
      <c r="A259" t="inlineStr">
        <is>
          <t>Arab World</t>
        </is>
      </c>
      <c r="B259" t="inlineStr">
        <is>
          <t>ARB</t>
        </is>
      </c>
      <c r="C259" t="n">
        <v>2016</v>
      </c>
      <c r="D259" t="n">
        <v>2.6765917009819</v>
      </c>
    </row>
    <row r="260">
      <c r="A260" t="inlineStr">
        <is>
          <t>Arab World</t>
        </is>
      </c>
      <c r="B260" t="inlineStr">
        <is>
          <t>ARB</t>
        </is>
      </c>
      <c r="C260" t="n">
        <v>2017</v>
      </c>
      <c r="D260" t="n">
        <v>2.17183298510006</v>
      </c>
    </row>
    <row r="261">
      <c r="A261" t="inlineStr">
        <is>
          <t>Arab World</t>
        </is>
      </c>
      <c r="B261" t="inlineStr">
        <is>
          <t>ARB</t>
        </is>
      </c>
      <c r="C261" t="n">
        <v>2018</v>
      </c>
      <c r="D261" t="n">
        <v>2.45814158007532</v>
      </c>
    </row>
    <row r="262">
      <c r="A262" t="inlineStr">
        <is>
          <t>Arab World</t>
        </is>
      </c>
      <c r="B262" t="inlineStr">
        <is>
          <t>ARB</t>
        </is>
      </c>
      <c r="C262" t="n">
        <v>2019</v>
      </c>
      <c r="D262" t="n">
        <v>1.09184802655856</v>
      </c>
    </row>
    <row r="263">
      <c r="A263" t="inlineStr">
        <is>
          <t>Arab World</t>
        </is>
      </c>
      <c r="B263" t="inlineStr">
        <is>
          <t>ARB</t>
        </is>
      </c>
      <c r="C263" t="n">
        <v>2020</v>
      </c>
      <c r="D263" t="n">
        <v>1.61222220402456</v>
      </c>
    </row>
    <row r="264">
      <c r="A264" t="inlineStr">
        <is>
          <t>Arab World</t>
        </is>
      </c>
      <c r="B264" t="inlineStr">
        <is>
          <t>ARB</t>
        </is>
      </c>
      <c r="C264" t="n">
        <v>2021</v>
      </c>
      <c r="D264" t="n">
        <v>2.96581008346283</v>
      </c>
    </row>
    <row r="265">
      <c r="A265" t="inlineStr">
        <is>
          <t>Arab World</t>
        </is>
      </c>
      <c r="B265" t="inlineStr">
        <is>
          <t>ARB</t>
        </is>
      </c>
      <c r="C265" t="n">
        <v>2022</v>
      </c>
      <c r="D265" t="n">
        <v>5.08754200853911</v>
      </c>
    </row>
    <row r="266">
      <c r="A266" t="inlineStr">
        <is>
          <t>Arab World</t>
        </is>
      </c>
      <c r="B266" t="inlineStr">
        <is>
          <t>ARB</t>
        </is>
      </c>
      <c r="C266" t="n">
        <v>2023</v>
      </c>
      <c r="D266" t="n">
        <v>3.64216403030709</v>
      </c>
    </row>
    <row r="267">
      <c r="A267" t="inlineStr">
        <is>
          <t>United Arab Emirates</t>
        </is>
      </c>
      <c r="B267" t="inlineStr">
        <is>
          <t>ARE</t>
        </is>
      </c>
      <c r="C267" t="n">
        <v>2008</v>
      </c>
      <c r="D267" t="n">
        <v>12.2504202448139</v>
      </c>
    </row>
    <row r="268">
      <c r="A268" t="inlineStr">
        <is>
          <t>United Arab Emirates</t>
        </is>
      </c>
      <c r="B268" t="inlineStr">
        <is>
          <t>ARE</t>
        </is>
      </c>
      <c r="C268" t="n">
        <v>2009</v>
      </c>
      <c r="D268" t="n">
        <v>1.5618131744907</v>
      </c>
    </row>
    <row r="269">
      <c r="A269" t="inlineStr">
        <is>
          <t>United Arab Emirates</t>
        </is>
      </c>
      <c r="B269" t="inlineStr">
        <is>
          <t>ARE</t>
        </is>
      </c>
      <c r="C269" t="n">
        <v>2010</v>
      </c>
      <c r="D269" t="n">
        <v>0.877983288285867</v>
      </c>
    </row>
    <row r="270">
      <c r="A270" t="inlineStr">
        <is>
          <t>United Arab Emirates</t>
        </is>
      </c>
      <c r="B270" t="inlineStr">
        <is>
          <t>ARE</t>
        </is>
      </c>
      <c r="C270" t="n">
        <v>2011</v>
      </c>
      <c r="D270" t="n">
        <v>0.87734659568512</v>
      </c>
    </row>
    <row r="271">
      <c r="A271" t="inlineStr">
        <is>
          <t>United Arab Emirates</t>
        </is>
      </c>
      <c r="B271" t="inlineStr">
        <is>
          <t>ARE</t>
        </is>
      </c>
      <c r="C271" t="n">
        <v>2012</v>
      </c>
      <c r="D271" t="n">
        <v>0.662268900269009</v>
      </c>
    </row>
    <row r="272">
      <c r="A272" t="inlineStr">
        <is>
          <t>United Arab Emirates</t>
        </is>
      </c>
      <c r="B272" t="inlineStr">
        <is>
          <t>ARE</t>
        </is>
      </c>
      <c r="C272" t="n">
        <v>2013</v>
      </c>
      <c r="D272" t="n">
        <v>1.1011183637571</v>
      </c>
    </row>
    <row r="273">
      <c r="A273" t="inlineStr">
        <is>
          <t>United Arab Emirates</t>
        </is>
      </c>
      <c r="B273" t="inlineStr">
        <is>
          <t>ARE</t>
        </is>
      </c>
      <c r="C273" t="n">
        <v>2014</v>
      </c>
      <c r="D273" t="n">
        <v>2.34626865671643</v>
      </c>
    </row>
    <row r="274">
      <c r="A274" t="inlineStr">
        <is>
          <t>United Arab Emirates</t>
        </is>
      </c>
      <c r="B274" t="inlineStr">
        <is>
          <t>ARE</t>
        </is>
      </c>
      <c r="C274" t="n">
        <v>2015</v>
      </c>
      <c r="D274" t="n">
        <v>4.06996608361593</v>
      </c>
    </row>
    <row r="275">
      <c r="A275" t="inlineStr">
        <is>
          <t>United Arab Emirates</t>
        </is>
      </c>
      <c r="B275" t="inlineStr">
        <is>
          <t>ARE</t>
        </is>
      </c>
      <c r="C275" t="n">
        <v>2016</v>
      </c>
      <c r="D275" t="n">
        <v>1.61748808904198</v>
      </c>
    </row>
    <row r="276">
      <c r="A276" t="inlineStr">
        <is>
          <t>United Arab Emirates</t>
        </is>
      </c>
      <c r="B276" t="inlineStr">
        <is>
          <t>ARE</t>
        </is>
      </c>
      <c r="C276" t="n">
        <v>2017</v>
      </c>
      <c r="D276" t="n">
        <v>1.96682557818842</v>
      </c>
    </row>
    <row r="277">
      <c r="A277" t="inlineStr">
        <is>
          <t>United Arab Emirates</t>
        </is>
      </c>
      <c r="B277" t="inlineStr">
        <is>
          <t>ARE</t>
        </is>
      </c>
      <c r="C277" t="n">
        <v>2018</v>
      </c>
      <c r="D277" t="n">
        <v>3.06863379251997</v>
      </c>
    </row>
    <row r="278">
      <c r="A278" t="inlineStr">
        <is>
          <t>United Arab Emirates</t>
        </is>
      </c>
      <c r="B278" t="inlineStr">
        <is>
          <t>ARE</t>
        </is>
      </c>
      <c r="C278" t="n">
        <v>2019</v>
      </c>
      <c r="D278" t="n">
        <v>-1.93108114782173</v>
      </c>
    </row>
    <row r="279">
      <c r="A279" t="inlineStr">
        <is>
          <t>United Arab Emirates</t>
        </is>
      </c>
      <c r="B279" t="inlineStr">
        <is>
          <t>ARE</t>
        </is>
      </c>
      <c r="C279" t="n">
        <v>2020</v>
      </c>
      <c r="D279" t="n">
        <v>-2.07940317940944</v>
      </c>
    </row>
    <row r="280">
      <c r="A280" t="inlineStr">
        <is>
          <t>United Arab Emirates</t>
        </is>
      </c>
      <c r="B280" t="inlineStr">
        <is>
          <t>ARE</t>
        </is>
      </c>
      <c r="C280" t="n">
        <v>2021</v>
      </c>
      <c r="D280" t="n">
        <v>0.179935336174431</v>
      </c>
    </row>
    <row r="281">
      <c r="A281" t="inlineStr">
        <is>
          <t>United Arab Emirates</t>
        </is>
      </c>
      <c r="B281" t="inlineStr">
        <is>
          <t>ARE</t>
        </is>
      </c>
      <c r="C281" t="n">
        <v>2022</v>
      </c>
      <c r="D281" t="n">
        <v>5.29122604376849</v>
      </c>
    </row>
    <row r="282">
      <c r="A282" t="inlineStr">
        <is>
          <t>United Arab Emirates</t>
        </is>
      </c>
      <c r="B282" t="inlineStr">
        <is>
          <t>ARE</t>
        </is>
      </c>
      <c r="C282" t="n">
        <v>2023</v>
      </c>
      <c r="D282" t="n">
        <v>1.62670837213248</v>
      </c>
    </row>
    <row r="283">
      <c r="A283" t="inlineStr">
        <is>
          <t>Armenia</t>
        </is>
      </c>
      <c r="B283" t="inlineStr">
        <is>
          <t>ARM</t>
        </is>
      </c>
      <c r="C283" t="n">
        <v>1994</v>
      </c>
      <c r="D283" t="n">
        <v>3373.75944336293</v>
      </c>
    </row>
    <row r="284">
      <c r="A284" t="inlineStr">
        <is>
          <t>Armenia</t>
        </is>
      </c>
      <c r="B284" t="inlineStr">
        <is>
          <t>ARM</t>
        </is>
      </c>
      <c r="C284" t="n">
        <v>1995</v>
      </c>
      <c r="D284" t="n">
        <v>175.951325534583</v>
      </c>
    </row>
    <row r="285">
      <c r="A285" t="inlineStr">
        <is>
          <t>Armenia</t>
        </is>
      </c>
      <c r="B285" t="inlineStr">
        <is>
          <t>ARM</t>
        </is>
      </c>
      <c r="C285" t="n">
        <v>1996</v>
      </c>
      <c r="D285" t="n">
        <v>18.681185640036</v>
      </c>
    </row>
    <row r="286">
      <c r="A286" t="inlineStr">
        <is>
          <t>Armenia</t>
        </is>
      </c>
      <c r="B286" t="inlineStr">
        <is>
          <t>ARM</t>
        </is>
      </c>
      <c r="C286" t="n">
        <v>1997</v>
      </c>
      <c r="D286" t="n">
        <v>13.960764121791</v>
      </c>
    </row>
    <row r="287">
      <c r="A287" t="inlineStr">
        <is>
          <t>Armenia</t>
        </is>
      </c>
      <c r="B287" t="inlineStr">
        <is>
          <t>ARM</t>
        </is>
      </c>
      <c r="C287" t="n">
        <v>1998</v>
      </c>
      <c r="D287" t="n">
        <v>8.672486323851579</v>
      </c>
    </row>
    <row r="288">
      <c r="A288" t="inlineStr">
        <is>
          <t>Armenia</t>
        </is>
      </c>
      <c r="B288" t="inlineStr">
        <is>
          <t>ARM</t>
        </is>
      </c>
      <c r="C288" t="n">
        <v>1999</v>
      </c>
      <c r="D288" t="n">
        <v>0.648245760470385</v>
      </c>
    </row>
    <row r="289">
      <c r="A289" t="inlineStr">
        <is>
          <t>Armenia</t>
        </is>
      </c>
      <c r="B289" t="inlineStr">
        <is>
          <t>ARM</t>
        </is>
      </c>
      <c r="C289" t="n">
        <v>2000</v>
      </c>
      <c r="D289" t="n">
        <v>-0.790883768934757</v>
      </c>
    </row>
    <row r="290">
      <c r="A290" t="inlineStr">
        <is>
          <t>Armenia</t>
        </is>
      </c>
      <c r="B290" t="inlineStr">
        <is>
          <t>ARM</t>
        </is>
      </c>
      <c r="C290" t="n">
        <v>2001</v>
      </c>
      <c r="D290" t="n">
        <v>3.1459046468502</v>
      </c>
    </row>
    <row r="291">
      <c r="A291" t="inlineStr">
        <is>
          <t>Armenia</t>
        </is>
      </c>
      <c r="B291" t="inlineStr">
        <is>
          <t>ARM</t>
        </is>
      </c>
      <c r="C291" t="n">
        <v>2002</v>
      </c>
      <c r="D291" t="n">
        <v>1.06004929341667</v>
      </c>
    </row>
    <row r="292">
      <c r="A292" t="inlineStr">
        <is>
          <t>Armenia</t>
        </is>
      </c>
      <c r="B292" t="inlineStr">
        <is>
          <t>ARM</t>
        </is>
      </c>
      <c r="C292" t="n">
        <v>2003</v>
      </c>
      <c r="D292" t="n">
        <v>4.7215533660534</v>
      </c>
    </row>
    <row r="293">
      <c r="A293" t="inlineStr">
        <is>
          <t>Armenia</t>
        </is>
      </c>
      <c r="B293" t="inlineStr">
        <is>
          <t>ARM</t>
        </is>
      </c>
      <c r="C293" t="n">
        <v>2004</v>
      </c>
      <c r="D293" t="n">
        <v>6.96126135875795</v>
      </c>
    </row>
    <row r="294">
      <c r="A294" t="inlineStr">
        <is>
          <t>Armenia</t>
        </is>
      </c>
      <c r="B294" t="inlineStr">
        <is>
          <t>ARM</t>
        </is>
      </c>
      <c r="C294" t="n">
        <v>2005</v>
      </c>
      <c r="D294" t="n">
        <v>0.638928002410097</v>
      </c>
    </row>
    <row r="295">
      <c r="A295" t="inlineStr">
        <is>
          <t>Armenia</t>
        </is>
      </c>
      <c r="B295" t="inlineStr">
        <is>
          <t>ARM</t>
        </is>
      </c>
      <c r="C295" t="n">
        <v>2006</v>
      </c>
      <c r="D295" t="n">
        <v>2.89235662459004</v>
      </c>
    </row>
    <row r="296">
      <c r="A296" t="inlineStr">
        <is>
          <t>Armenia</t>
        </is>
      </c>
      <c r="B296" t="inlineStr">
        <is>
          <t>ARM</t>
        </is>
      </c>
      <c r="C296" t="n">
        <v>2007</v>
      </c>
      <c r="D296" t="n">
        <v>4.40736089644516</v>
      </c>
    </row>
    <row r="297">
      <c r="A297" t="inlineStr">
        <is>
          <t>Armenia</t>
        </is>
      </c>
      <c r="B297" t="inlineStr">
        <is>
          <t>ARM</t>
        </is>
      </c>
      <c r="C297" t="n">
        <v>2008</v>
      </c>
      <c r="D297" t="n">
        <v>8.94995335353387</v>
      </c>
    </row>
    <row r="298">
      <c r="A298" t="inlineStr">
        <is>
          <t>Armenia</t>
        </is>
      </c>
      <c r="B298" t="inlineStr">
        <is>
          <t>ARM</t>
        </is>
      </c>
      <c r="C298" t="n">
        <v>2009</v>
      </c>
      <c r="D298" t="n">
        <v>3.40676682683801</v>
      </c>
    </row>
    <row r="299">
      <c r="A299" t="inlineStr">
        <is>
          <t>Armenia</t>
        </is>
      </c>
      <c r="B299" t="inlineStr">
        <is>
          <t>ARM</t>
        </is>
      </c>
      <c r="C299" t="n">
        <v>2010</v>
      </c>
      <c r="D299" t="n">
        <v>8.17636138473952</v>
      </c>
    </row>
    <row r="300">
      <c r="A300" t="inlineStr">
        <is>
          <t>Armenia</t>
        </is>
      </c>
      <c r="B300" t="inlineStr">
        <is>
          <t>ARM</t>
        </is>
      </c>
      <c r="C300" t="n">
        <v>2011</v>
      </c>
      <c r="D300" t="n">
        <v>7.65000807859294</v>
      </c>
    </row>
    <row r="301">
      <c r="A301" t="inlineStr">
        <is>
          <t>Armenia</t>
        </is>
      </c>
      <c r="B301" t="inlineStr">
        <is>
          <t>ARM</t>
        </is>
      </c>
      <c r="C301" t="n">
        <v>2012</v>
      </c>
      <c r="D301" t="n">
        <v>2.55802007757907</v>
      </c>
    </row>
    <row r="302">
      <c r="A302" t="inlineStr">
        <is>
          <t>Armenia</t>
        </is>
      </c>
      <c r="B302" t="inlineStr">
        <is>
          <t>ARM</t>
        </is>
      </c>
      <c r="C302" t="n">
        <v>2013</v>
      </c>
      <c r="D302" t="n">
        <v>5.78966778544651</v>
      </c>
    </row>
    <row r="303">
      <c r="A303" t="inlineStr">
        <is>
          <t>Armenia</t>
        </is>
      </c>
      <c r="B303" t="inlineStr">
        <is>
          <t>ARM</t>
        </is>
      </c>
      <c r="C303" t="n">
        <v>2014</v>
      </c>
      <c r="D303" t="n">
        <v>2.98130868933672</v>
      </c>
    </row>
    <row r="304">
      <c r="A304" t="inlineStr">
        <is>
          <t>Armenia</t>
        </is>
      </c>
      <c r="B304" t="inlineStr">
        <is>
          <t>ARM</t>
        </is>
      </c>
      <c r="C304" t="n">
        <v>2015</v>
      </c>
      <c r="D304" t="n">
        <v>3.73169119261693</v>
      </c>
    </row>
    <row r="305">
      <c r="A305" t="inlineStr">
        <is>
          <t>Armenia</t>
        </is>
      </c>
      <c r="B305" t="inlineStr">
        <is>
          <t>ARM</t>
        </is>
      </c>
      <c r="C305" t="n">
        <v>2016</v>
      </c>
      <c r="D305" t="n">
        <v>-1.403607559009</v>
      </c>
    </row>
    <row r="306">
      <c r="A306" t="inlineStr">
        <is>
          <t>Armenia</t>
        </is>
      </c>
      <c r="B306" t="inlineStr">
        <is>
          <t>ARM</t>
        </is>
      </c>
      <c r="C306" t="n">
        <v>2017</v>
      </c>
      <c r="D306" t="n">
        <v>0.969553268816138</v>
      </c>
    </row>
    <row r="307">
      <c r="A307" t="inlineStr">
        <is>
          <t>Armenia</t>
        </is>
      </c>
      <c r="B307" t="inlineStr">
        <is>
          <t>ARM</t>
        </is>
      </c>
      <c r="C307" t="n">
        <v>2018</v>
      </c>
      <c r="D307" t="n">
        <v>2.52023382001638</v>
      </c>
    </row>
    <row r="308">
      <c r="A308" t="inlineStr">
        <is>
          <t>Armenia</t>
        </is>
      </c>
      <c r="B308" t="inlineStr">
        <is>
          <t>ARM</t>
        </is>
      </c>
      <c r="C308" t="n">
        <v>2019</v>
      </c>
      <c r="D308" t="n">
        <v>1.44344660770698</v>
      </c>
    </row>
    <row r="309">
      <c r="A309" t="inlineStr">
        <is>
          <t>Armenia</t>
        </is>
      </c>
      <c r="B309" t="inlineStr">
        <is>
          <t>ARM</t>
        </is>
      </c>
      <c r="C309" t="n">
        <v>2020</v>
      </c>
      <c r="D309" t="n">
        <v>1.21143577838465</v>
      </c>
    </row>
    <row r="310">
      <c r="A310" t="inlineStr">
        <is>
          <t>Armenia</t>
        </is>
      </c>
      <c r="B310" t="inlineStr">
        <is>
          <t>ARM</t>
        </is>
      </c>
      <c r="C310" t="n">
        <v>2021</v>
      </c>
      <c r="D310" t="n">
        <v>7.18483629443371</v>
      </c>
    </row>
    <row r="311">
      <c r="A311" t="inlineStr">
        <is>
          <t>Armenia</t>
        </is>
      </c>
      <c r="B311" t="inlineStr">
        <is>
          <t>ARM</t>
        </is>
      </c>
      <c r="C311" t="n">
        <v>2022</v>
      </c>
      <c r="D311" t="n">
        <v>8.64091108973855</v>
      </c>
    </row>
    <row r="312">
      <c r="A312" t="inlineStr">
        <is>
          <t>Armenia</t>
        </is>
      </c>
      <c r="B312" t="inlineStr">
        <is>
          <t>ARM</t>
        </is>
      </c>
      <c r="C312" t="n">
        <v>2023</v>
      </c>
      <c r="D312" t="n">
        <v>1.98041877615554</v>
      </c>
    </row>
    <row r="313">
      <c r="A313" t="inlineStr">
        <is>
          <t>Armenia</t>
        </is>
      </c>
      <c r="B313" t="inlineStr">
        <is>
          <t>ARM</t>
        </is>
      </c>
      <c r="C313" t="n">
        <v>2024</v>
      </c>
      <c r="D313" t="n">
        <v>0.269511978259125</v>
      </c>
    </row>
    <row r="314">
      <c r="A314" t="inlineStr">
        <is>
          <t>Antigua and Barbuda</t>
        </is>
      </c>
      <c r="B314" t="inlineStr">
        <is>
          <t>ATG</t>
        </is>
      </c>
      <c r="C314" t="n">
        <v>1999</v>
      </c>
      <c r="D314" t="n">
        <v>1.12128789571146</v>
      </c>
    </row>
    <row r="315">
      <c r="A315" t="inlineStr">
        <is>
          <t>Antigua and Barbuda</t>
        </is>
      </c>
      <c r="B315" t="inlineStr">
        <is>
          <t>ATG</t>
        </is>
      </c>
      <c r="C315" t="n">
        <v>2000</v>
      </c>
      <c r="D315" t="n">
        <v>0.7717797969001799</v>
      </c>
    </row>
    <row r="316">
      <c r="A316" t="inlineStr">
        <is>
          <t>Antigua and Barbuda</t>
        </is>
      </c>
      <c r="B316" t="inlineStr">
        <is>
          <t>ATG</t>
        </is>
      </c>
      <c r="C316" t="n">
        <v>2001</v>
      </c>
      <c r="D316" t="n">
        <v>1.40279663573988</v>
      </c>
    </row>
    <row r="317">
      <c r="A317" t="inlineStr">
        <is>
          <t>Antigua and Barbuda</t>
        </is>
      </c>
      <c r="B317" t="inlineStr">
        <is>
          <t>ATG</t>
        </is>
      </c>
      <c r="C317" t="n">
        <v>2002</v>
      </c>
      <c r="D317" t="n">
        <v>2.40765801293491</v>
      </c>
    </row>
    <row r="318">
      <c r="A318" t="inlineStr">
        <is>
          <t>Antigua and Barbuda</t>
        </is>
      </c>
      <c r="B318" t="inlineStr">
        <is>
          <t>ATG</t>
        </is>
      </c>
      <c r="C318" t="n">
        <v>2003</v>
      </c>
      <c r="D318" t="n">
        <v>1.99353055152454</v>
      </c>
    </row>
    <row r="319">
      <c r="A319" t="inlineStr">
        <is>
          <t>Antigua and Barbuda</t>
        </is>
      </c>
      <c r="B319" t="inlineStr">
        <is>
          <t>ATG</t>
        </is>
      </c>
      <c r="C319" t="n">
        <v>2004</v>
      </c>
      <c r="D319" t="n">
        <v>2.03007757853236</v>
      </c>
    </row>
    <row r="320">
      <c r="A320" t="inlineStr">
        <is>
          <t>Antigua and Barbuda</t>
        </is>
      </c>
      <c r="B320" t="inlineStr">
        <is>
          <t>ATG</t>
        </is>
      </c>
      <c r="C320" t="n">
        <v>2005</v>
      </c>
      <c r="D320" t="n">
        <v>2.09875196709308</v>
      </c>
    </row>
    <row r="321">
      <c r="A321" t="inlineStr">
        <is>
          <t>Antigua and Barbuda</t>
        </is>
      </c>
      <c r="B321" t="inlineStr">
        <is>
          <t>ATG</t>
        </is>
      </c>
      <c r="C321" t="n">
        <v>2006</v>
      </c>
      <c r="D321" t="n">
        <v>1.78778537419121</v>
      </c>
    </row>
    <row r="322">
      <c r="A322" t="inlineStr">
        <is>
          <t>Antigua and Barbuda</t>
        </is>
      </c>
      <c r="B322" t="inlineStr">
        <is>
          <t>ATG</t>
        </is>
      </c>
      <c r="C322" t="n">
        <v>2007</v>
      </c>
      <c r="D322" t="n">
        <v>1.41605259409741</v>
      </c>
    </row>
    <row r="323">
      <c r="A323" t="inlineStr">
        <is>
          <t>Antigua and Barbuda</t>
        </is>
      </c>
      <c r="B323" t="inlineStr">
        <is>
          <t>ATG</t>
        </is>
      </c>
      <c r="C323" t="n">
        <v>2008</v>
      </c>
      <c r="D323" t="n">
        <v>5.33380639820233</v>
      </c>
    </row>
    <row r="324">
      <c r="A324" t="inlineStr">
        <is>
          <t>Antigua and Barbuda</t>
        </is>
      </c>
      <c r="B324" t="inlineStr">
        <is>
          <t>ATG</t>
        </is>
      </c>
      <c r="C324" t="n">
        <v>2009</v>
      </c>
      <c r="D324" t="n">
        <v>-0.550159995508914</v>
      </c>
    </row>
    <row r="325">
      <c r="A325" t="inlineStr">
        <is>
          <t>Antigua and Barbuda</t>
        </is>
      </c>
      <c r="B325" t="inlineStr">
        <is>
          <t>ATG</t>
        </is>
      </c>
      <c r="C325" t="n">
        <v>2010</v>
      </c>
      <c r="D325" t="n">
        <v>3.37002540220148</v>
      </c>
    </row>
    <row r="326">
      <c r="A326" t="inlineStr">
        <is>
          <t>Antigua and Barbuda</t>
        </is>
      </c>
      <c r="B326" t="inlineStr">
        <is>
          <t>ATG</t>
        </is>
      </c>
      <c r="C326" t="n">
        <v>2011</v>
      </c>
      <c r="D326" t="n">
        <v>3.4567496723461</v>
      </c>
    </row>
    <row r="327">
      <c r="A327" t="inlineStr">
        <is>
          <t>Antigua and Barbuda</t>
        </is>
      </c>
      <c r="B327" t="inlineStr">
        <is>
          <t>ATG</t>
        </is>
      </c>
      <c r="C327" t="n">
        <v>2012</v>
      </c>
      <c r="D327" t="n">
        <v>3.37688044338874</v>
      </c>
    </row>
    <row r="328">
      <c r="A328" t="inlineStr">
        <is>
          <t>Antigua and Barbuda</t>
        </is>
      </c>
      <c r="B328" t="inlineStr">
        <is>
          <t>ATG</t>
        </is>
      </c>
      <c r="C328" t="n">
        <v>2013</v>
      </c>
      <c r="D328" t="n">
        <v>1.05949782356169</v>
      </c>
    </row>
    <row r="329">
      <c r="A329" t="inlineStr">
        <is>
          <t>Antigua and Barbuda</t>
        </is>
      </c>
      <c r="B329" t="inlineStr">
        <is>
          <t>ATG</t>
        </is>
      </c>
      <c r="C329" t="n">
        <v>2014</v>
      </c>
      <c r="D329" t="n">
        <v>1.08944157435355</v>
      </c>
    </row>
    <row r="330">
      <c r="A330" t="inlineStr">
        <is>
          <t>Antigua and Barbuda</t>
        </is>
      </c>
      <c r="B330" t="inlineStr">
        <is>
          <t>ATG</t>
        </is>
      </c>
      <c r="C330" t="n">
        <v>2015</v>
      </c>
      <c r="D330" t="n">
        <v>0.968993458825638</v>
      </c>
    </row>
    <row r="331">
      <c r="A331" t="inlineStr">
        <is>
          <t>Antigua and Barbuda</t>
        </is>
      </c>
      <c r="B331" t="inlineStr">
        <is>
          <t>ATG</t>
        </is>
      </c>
      <c r="C331" t="n">
        <v>2016</v>
      </c>
      <c r="D331" t="n">
        <v>-0.489437796230499</v>
      </c>
    </row>
    <row r="332">
      <c r="A332" t="inlineStr">
        <is>
          <t>Antigua and Barbuda</t>
        </is>
      </c>
      <c r="B332" t="inlineStr">
        <is>
          <t>ATG</t>
        </is>
      </c>
      <c r="C332" t="n">
        <v>2017</v>
      </c>
      <c r="D332" t="n">
        <v>2.43248789041363</v>
      </c>
    </row>
    <row r="333">
      <c r="A333" t="inlineStr">
        <is>
          <t>Antigua and Barbuda</t>
        </is>
      </c>
      <c r="B333" t="inlineStr">
        <is>
          <t>ATG</t>
        </is>
      </c>
      <c r="C333" t="n">
        <v>2018</v>
      </c>
      <c r="D333" t="n">
        <v>1.20715793367008</v>
      </c>
    </row>
    <row r="334">
      <c r="A334" t="inlineStr">
        <is>
          <t>Antigua and Barbuda</t>
        </is>
      </c>
      <c r="B334" t="inlineStr">
        <is>
          <t>ATG</t>
        </is>
      </c>
      <c r="C334" t="n">
        <v>2019</v>
      </c>
      <c r="D334" t="n">
        <v>1.43135598182984</v>
      </c>
    </row>
    <row r="335">
      <c r="A335" t="inlineStr">
        <is>
          <t>Antigua and Barbuda</t>
        </is>
      </c>
      <c r="B335" t="inlineStr">
        <is>
          <t>ATG</t>
        </is>
      </c>
      <c r="C335" t="n">
        <v>2020</v>
      </c>
      <c r="D335" t="n">
        <v>0.625989707046719</v>
      </c>
    </row>
    <row r="336">
      <c r="A336" t="inlineStr">
        <is>
          <t>Antigua and Barbuda</t>
        </is>
      </c>
      <c r="B336" t="inlineStr">
        <is>
          <t>ATG</t>
        </is>
      </c>
      <c r="C336" t="n">
        <v>2021</v>
      </c>
      <c r="D336" t="n">
        <v>2.06299638545334</v>
      </c>
    </row>
    <row r="337">
      <c r="A337" t="inlineStr">
        <is>
          <t>Antigua and Barbuda</t>
        </is>
      </c>
      <c r="B337" t="inlineStr">
        <is>
          <t>ATG</t>
        </is>
      </c>
      <c r="C337" t="n">
        <v>2022</v>
      </c>
      <c r="D337" t="n">
        <v>7.53107834634288</v>
      </c>
    </row>
    <row r="338">
      <c r="A338" t="inlineStr">
        <is>
          <t>Antigua and Barbuda</t>
        </is>
      </c>
      <c r="B338" t="inlineStr">
        <is>
          <t>ATG</t>
        </is>
      </c>
      <c r="C338" t="n">
        <v>2023</v>
      </c>
      <c r="D338" t="n">
        <v>5.06713865364213</v>
      </c>
    </row>
    <row r="339">
      <c r="A339" t="inlineStr">
        <is>
          <t>Australia</t>
        </is>
      </c>
      <c r="B339" t="inlineStr">
        <is>
          <t>AUS</t>
        </is>
      </c>
      <c r="C339" t="n">
        <v>1960</v>
      </c>
      <c r="D339" t="n">
        <v>3.72881355932203</v>
      </c>
    </row>
    <row r="340">
      <c r="A340" t="inlineStr">
        <is>
          <t>Australia</t>
        </is>
      </c>
      <c r="B340" t="inlineStr">
        <is>
          <t>AUS</t>
        </is>
      </c>
      <c r="C340" t="n">
        <v>1961</v>
      </c>
      <c r="D340" t="n">
        <v>2.28758169934641</v>
      </c>
    </row>
    <row r="341">
      <c r="A341" t="inlineStr">
        <is>
          <t>Australia</t>
        </is>
      </c>
      <c r="B341" t="inlineStr">
        <is>
          <t>AUS</t>
        </is>
      </c>
      <c r="C341" t="n">
        <v>1962</v>
      </c>
      <c r="D341" t="n">
        <v>-0.319488817891379</v>
      </c>
    </row>
    <row r="342">
      <c r="A342" t="inlineStr">
        <is>
          <t>Australia</t>
        </is>
      </c>
      <c r="B342" t="inlineStr">
        <is>
          <t>AUS</t>
        </is>
      </c>
      <c r="C342" t="n">
        <v>1963</v>
      </c>
      <c r="D342" t="n">
        <v>0.641025641025652</v>
      </c>
    </row>
    <row r="343">
      <c r="A343" t="inlineStr">
        <is>
          <t>Australia</t>
        </is>
      </c>
      <c r="B343" t="inlineStr">
        <is>
          <t>AUS</t>
        </is>
      </c>
      <c r="C343" t="n">
        <v>1964</v>
      </c>
      <c r="D343" t="n">
        <v>2.86624203821656</v>
      </c>
    </row>
    <row r="344">
      <c r="A344" t="inlineStr">
        <is>
          <t>Australia</t>
        </is>
      </c>
      <c r="B344" t="inlineStr">
        <is>
          <t>AUS</t>
        </is>
      </c>
      <c r="C344" t="n">
        <v>1965</v>
      </c>
      <c r="D344" t="n">
        <v>3.40557275541795</v>
      </c>
    </row>
    <row r="345">
      <c r="A345" t="inlineStr">
        <is>
          <t>Australia</t>
        </is>
      </c>
      <c r="B345" t="inlineStr">
        <is>
          <t>AUS</t>
        </is>
      </c>
      <c r="C345" t="n">
        <v>1966</v>
      </c>
      <c r="D345" t="n">
        <v>3.29341317365269</v>
      </c>
    </row>
    <row r="346">
      <c r="A346" t="inlineStr">
        <is>
          <t>Australia</t>
        </is>
      </c>
      <c r="B346" t="inlineStr">
        <is>
          <t>AUS</t>
        </is>
      </c>
      <c r="C346" t="n">
        <v>1967</v>
      </c>
      <c r="D346" t="n">
        <v>3.47826086956522</v>
      </c>
    </row>
    <row r="347">
      <c r="A347" t="inlineStr">
        <is>
          <t>Australia</t>
        </is>
      </c>
      <c r="B347" t="inlineStr">
        <is>
          <t>AUS</t>
        </is>
      </c>
      <c r="C347" t="n">
        <v>1968</v>
      </c>
      <c r="D347" t="n">
        <v>2.52100840336134</v>
      </c>
    </row>
    <row r="348">
      <c r="A348" t="inlineStr">
        <is>
          <t>Australia</t>
        </is>
      </c>
      <c r="B348" t="inlineStr">
        <is>
          <t>AUS</t>
        </is>
      </c>
      <c r="C348" t="n">
        <v>1969</v>
      </c>
      <c r="D348" t="n">
        <v>3.27868852459016</v>
      </c>
    </row>
    <row r="349">
      <c r="A349" t="inlineStr">
        <is>
          <t>Australia</t>
        </is>
      </c>
      <c r="B349" t="inlineStr">
        <is>
          <t>AUS</t>
        </is>
      </c>
      <c r="C349" t="n">
        <v>1970</v>
      </c>
      <c r="D349" t="n">
        <v>3.43915343915341</v>
      </c>
    </row>
    <row r="350">
      <c r="A350" t="inlineStr">
        <is>
          <t>Australia</t>
        </is>
      </c>
      <c r="B350" t="inlineStr">
        <is>
          <t>AUS</t>
        </is>
      </c>
      <c r="C350" t="n">
        <v>1971</v>
      </c>
      <c r="D350" t="n">
        <v>6.13810741687984</v>
      </c>
    </row>
    <row r="351">
      <c r="A351" t="inlineStr">
        <is>
          <t>Australia</t>
        </is>
      </c>
      <c r="B351" t="inlineStr">
        <is>
          <t>AUS</t>
        </is>
      </c>
      <c r="C351" t="n">
        <v>1972</v>
      </c>
      <c r="D351" t="n">
        <v>6.02409638554213</v>
      </c>
    </row>
    <row r="352">
      <c r="A352" t="inlineStr">
        <is>
          <t>Australia</t>
        </is>
      </c>
      <c r="B352" t="inlineStr">
        <is>
          <t>AUS</t>
        </is>
      </c>
      <c r="C352" t="n">
        <v>1973</v>
      </c>
      <c r="D352" t="n">
        <v>9.09090909090915</v>
      </c>
    </row>
    <row r="353">
      <c r="A353" t="inlineStr">
        <is>
          <t>Australia</t>
        </is>
      </c>
      <c r="B353" t="inlineStr">
        <is>
          <t>AUS</t>
        </is>
      </c>
      <c r="C353" t="n">
        <v>1974</v>
      </c>
      <c r="D353" t="n">
        <v>15.4166666666666</v>
      </c>
    </row>
    <row r="354">
      <c r="A354" t="inlineStr">
        <is>
          <t>Australia</t>
        </is>
      </c>
      <c r="B354" t="inlineStr">
        <is>
          <t>AUS</t>
        </is>
      </c>
      <c r="C354" t="n">
        <v>1975</v>
      </c>
      <c r="D354" t="n">
        <v>15.1624548736462</v>
      </c>
    </row>
    <row r="355">
      <c r="A355" t="inlineStr">
        <is>
          <t>Australia</t>
        </is>
      </c>
      <c r="B355" t="inlineStr">
        <is>
          <t>AUS</t>
        </is>
      </c>
      <c r="C355" t="n">
        <v>1976</v>
      </c>
      <c r="D355" t="n">
        <v>13.3228840125392</v>
      </c>
    </row>
    <row r="356">
      <c r="A356" t="inlineStr">
        <is>
          <t>Australia</t>
        </is>
      </c>
      <c r="B356" t="inlineStr">
        <is>
          <t>AUS</t>
        </is>
      </c>
      <c r="C356" t="n">
        <v>1977</v>
      </c>
      <c r="D356" t="n">
        <v>12.3098201936376</v>
      </c>
    </row>
    <row r="357">
      <c r="A357" t="inlineStr">
        <is>
          <t>Australia</t>
        </is>
      </c>
      <c r="B357" t="inlineStr">
        <is>
          <t>AUS</t>
        </is>
      </c>
      <c r="C357" t="n">
        <v>1978</v>
      </c>
      <c r="D357" t="n">
        <v>8.0049261083744</v>
      </c>
    </row>
    <row r="358">
      <c r="A358" t="inlineStr">
        <is>
          <t>Australia</t>
        </is>
      </c>
      <c r="B358" t="inlineStr">
        <is>
          <t>AUS</t>
        </is>
      </c>
      <c r="C358" t="n">
        <v>1979</v>
      </c>
      <c r="D358" t="n">
        <v>9.122006841505151</v>
      </c>
    </row>
    <row r="359">
      <c r="A359" t="inlineStr">
        <is>
          <t>Australia</t>
        </is>
      </c>
      <c r="B359" t="inlineStr">
        <is>
          <t>AUS</t>
        </is>
      </c>
      <c r="C359" t="n">
        <v>1980</v>
      </c>
      <c r="D359" t="n">
        <v>10.1358411703239</v>
      </c>
    </row>
    <row r="360">
      <c r="A360" t="inlineStr">
        <is>
          <t>Australia</t>
        </is>
      </c>
      <c r="B360" t="inlineStr">
        <is>
          <t>AUS</t>
        </is>
      </c>
      <c r="C360" t="n">
        <v>1981</v>
      </c>
      <c r="D360" t="n">
        <v>9.487666034155611</v>
      </c>
    </row>
    <row r="361">
      <c r="A361" t="inlineStr">
        <is>
          <t>Australia</t>
        </is>
      </c>
      <c r="B361" t="inlineStr">
        <is>
          <t>AUS</t>
        </is>
      </c>
      <c r="C361" t="n">
        <v>1982</v>
      </c>
      <c r="D361" t="n">
        <v>11.3518197573657</v>
      </c>
    </row>
    <row r="362">
      <c r="A362" t="inlineStr">
        <is>
          <t>Australia</t>
        </is>
      </c>
      <c r="B362" t="inlineStr">
        <is>
          <t>AUS</t>
        </is>
      </c>
      <c r="C362" t="n">
        <v>1983</v>
      </c>
      <c r="D362" t="n">
        <v>10.0389105058366</v>
      </c>
    </row>
    <row r="363">
      <c r="A363" t="inlineStr">
        <is>
          <t>Australia</t>
        </is>
      </c>
      <c r="B363" t="inlineStr">
        <is>
          <t>AUS</t>
        </is>
      </c>
      <c r="C363" t="n">
        <v>1984</v>
      </c>
      <c r="D363" t="n">
        <v>3.96039603960396</v>
      </c>
    </row>
    <row r="364">
      <c r="A364" t="inlineStr">
        <is>
          <t>Australia</t>
        </is>
      </c>
      <c r="B364" t="inlineStr">
        <is>
          <t>AUS</t>
        </is>
      </c>
      <c r="C364" t="n">
        <v>1985</v>
      </c>
      <c r="D364" t="n">
        <v>6.734693877551</v>
      </c>
    </row>
    <row r="365">
      <c r="A365" t="inlineStr">
        <is>
          <t>Australia</t>
        </is>
      </c>
      <c r="B365" t="inlineStr">
        <is>
          <t>AUS</t>
        </is>
      </c>
      <c r="C365" t="n">
        <v>1986</v>
      </c>
      <c r="D365" t="n">
        <v>9.05035054174634</v>
      </c>
    </row>
    <row r="366">
      <c r="A366" t="inlineStr">
        <is>
          <t>Australia</t>
        </is>
      </c>
      <c r="B366" t="inlineStr">
        <is>
          <t>AUS</t>
        </is>
      </c>
      <c r="C366" t="n">
        <v>1987</v>
      </c>
      <c r="D366" t="n">
        <v>8.533021624780829</v>
      </c>
    </row>
    <row r="367">
      <c r="A367" t="inlineStr">
        <is>
          <t>Australia</t>
        </is>
      </c>
      <c r="B367" t="inlineStr">
        <is>
          <t>AUS</t>
        </is>
      </c>
      <c r="C367" t="n">
        <v>1988</v>
      </c>
      <c r="D367" t="n">
        <v>7.21593968766828</v>
      </c>
    </row>
    <row r="368">
      <c r="A368" t="inlineStr">
        <is>
          <t>Australia</t>
        </is>
      </c>
      <c r="B368" t="inlineStr">
        <is>
          <t>AUS</t>
        </is>
      </c>
      <c r="C368" t="n">
        <v>1989</v>
      </c>
      <c r="D368" t="n">
        <v>7.53390256152688</v>
      </c>
    </row>
    <row r="369">
      <c r="A369" t="inlineStr">
        <is>
          <t>Australia</t>
        </is>
      </c>
      <c r="B369" t="inlineStr">
        <is>
          <t>AUS</t>
        </is>
      </c>
      <c r="C369" t="n">
        <v>1990</v>
      </c>
      <c r="D369" t="n">
        <v>7.33302195235872</v>
      </c>
    </row>
    <row r="370">
      <c r="A370" t="inlineStr">
        <is>
          <t>Australia</t>
        </is>
      </c>
      <c r="B370" t="inlineStr">
        <is>
          <t>AUS</t>
        </is>
      </c>
      <c r="C370" t="n">
        <v>1991</v>
      </c>
      <c r="D370" t="n">
        <v>3.17667536988685</v>
      </c>
    </row>
    <row r="371">
      <c r="A371" t="inlineStr">
        <is>
          <t>Australia</t>
        </is>
      </c>
      <c r="B371" t="inlineStr">
        <is>
          <t>AUS</t>
        </is>
      </c>
      <c r="C371" t="n">
        <v>1992</v>
      </c>
      <c r="D371" t="n">
        <v>1.01223112610714</v>
      </c>
    </row>
    <row r="372">
      <c r="A372" t="inlineStr">
        <is>
          <t>Australia</t>
        </is>
      </c>
      <c r="B372" t="inlineStr">
        <is>
          <t>AUS</t>
        </is>
      </c>
      <c r="C372" t="n">
        <v>1993</v>
      </c>
      <c r="D372" t="n">
        <v>1.75365344467641</v>
      </c>
    </row>
    <row r="373">
      <c r="A373" t="inlineStr">
        <is>
          <t>Australia</t>
        </is>
      </c>
      <c r="B373" t="inlineStr">
        <is>
          <t>AUS</t>
        </is>
      </c>
      <c r="C373" t="n">
        <v>1994</v>
      </c>
      <c r="D373" t="n">
        <v>1.96963479688141</v>
      </c>
    </row>
    <row r="374">
      <c r="A374" t="inlineStr">
        <is>
          <t>Australia</t>
        </is>
      </c>
      <c r="B374" t="inlineStr">
        <is>
          <t>AUS</t>
        </is>
      </c>
      <c r="C374" t="n">
        <v>1995</v>
      </c>
      <c r="D374" t="n">
        <v>4.62776659959759</v>
      </c>
    </row>
    <row r="375">
      <c r="A375" t="inlineStr">
        <is>
          <t>Australia</t>
        </is>
      </c>
      <c r="B375" t="inlineStr">
        <is>
          <t>AUS</t>
        </is>
      </c>
      <c r="C375" t="n">
        <v>1996</v>
      </c>
      <c r="D375" t="n">
        <v>2.61538461538461</v>
      </c>
    </row>
    <row r="376">
      <c r="A376" t="inlineStr">
        <is>
          <t>Australia</t>
        </is>
      </c>
      <c r="B376" t="inlineStr">
        <is>
          <t>AUS</t>
        </is>
      </c>
      <c r="C376" t="n">
        <v>1997</v>
      </c>
      <c r="D376" t="n">
        <v>0.224887556221887</v>
      </c>
    </row>
    <row r="377">
      <c r="A377" t="inlineStr">
        <is>
          <t>Australia</t>
        </is>
      </c>
      <c r="B377" t="inlineStr">
        <is>
          <t>AUS</t>
        </is>
      </c>
      <c r="C377" t="n">
        <v>1998</v>
      </c>
      <c r="D377" t="n">
        <v>0.860134629768142</v>
      </c>
    </row>
    <row r="378">
      <c r="A378" t="inlineStr">
        <is>
          <t>Australia</t>
        </is>
      </c>
      <c r="B378" t="inlineStr">
        <is>
          <t>AUS</t>
        </is>
      </c>
      <c r="C378" t="n">
        <v>1999</v>
      </c>
      <c r="D378" t="n">
        <v>1.48312940304041</v>
      </c>
    </row>
    <row r="379">
      <c r="A379" t="inlineStr">
        <is>
          <t>Australia</t>
        </is>
      </c>
      <c r="B379" t="inlineStr">
        <is>
          <t>AUS</t>
        </is>
      </c>
      <c r="C379" t="n">
        <v>2000</v>
      </c>
      <c r="D379" t="n">
        <v>4.45743514797224</v>
      </c>
    </row>
    <row r="380">
      <c r="A380" t="inlineStr">
        <is>
          <t>Australia</t>
        </is>
      </c>
      <c r="B380" t="inlineStr">
        <is>
          <t>AUS</t>
        </is>
      </c>
      <c r="C380" t="n">
        <v>2001</v>
      </c>
      <c r="D380" t="n">
        <v>4.40713536201469</v>
      </c>
    </row>
    <row r="381">
      <c r="A381" t="inlineStr">
        <is>
          <t>Australia</t>
        </is>
      </c>
      <c r="B381" t="inlineStr">
        <is>
          <t>AUS</t>
        </is>
      </c>
      <c r="C381" t="n">
        <v>2002</v>
      </c>
      <c r="D381" t="n">
        <v>2.98157453936348</v>
      </c>
    </row>
    <row r="382">
      <c r="A382" t="inlineStr">
        <is>
          <t>Australia</t>
        </is>
      </c>
      <c r="B382" t="inlineStr">
        <is>
          <t>AUS</t>
        </is>
      </c>
      <c r="C382" t="n">
        <v>2003</v>
      </c>
      <c r="D382" t="n">
        <v>2.73259596616786</v>
      </c>
    </row>
    <row r="383">
      <c r="A383" t="inlineStr">
        <is>
          <t>Australia</t>
        </is>
      </c>
      <c r="B383" t="inlineStr">
        <is>
          <t>AUS</t>
        </is>
      </c>
      <c r="C383" t="n">
        <v>2004</v>
      </c>
      <c r="D383" t="n">
        <v>2.34325522482583</v>
      </c>
    </row>
    <row r="384">
      <c r="A384" t="inlineStr">
        <is>
          <t>Australia</t>
        </is>
      </c>
      <c r="B384" t="inlineStr">
        <is>
          <t>AUS</t>
        </is>
      </c>
      <c r="C384" t="n">
        <v>2005</v>
      </c>
      <c r="D384" t="n">
        <v>2.69183168316832</v>
      </c>
    </row>
    <row r="385">
      <c r="A385" t="inlineStr">
        <is>
          <t>Australia</t>
        </is>
      </c>
      <c r="B385" t="inlineStr">
        <is>
          <t>AUS</t>
        </is>
      </c>
      <c r="C385" t="n">
        <v>2006</v>
      </c>
      <c r="D385" t="n">
        <v>3.55528773727026</v>
      </c>
    </row>
    <row r="386">
      <c r="A386" t="inlineStr">
        <is>
          <t>Australia</t>
        </is>
      </c>
      <c r="B386" t="inlineStr">
        <is>
          <t>AUS</t>
        </is>
      </c>
      <c r="C386" t="n">
        <v>2007</v>
      </c>
      <c r="D386" t="n">
        <v>2.32761128891476</v>
      </c>
    </row>
    <row r="387">
      <c r="A387" t="inlineStr">
        <is>
          <t>Australia</t>
        </is>
      </c>
      <c r="B387" t="inlineStr">
        <is>
          <t>AUS</t>
        </is>
      </c>
      <c r="C387" t="n">
        <v>2008</v>
      </c>
      <c r="D387" t="n">
        <v>4.35029854990048</v>
      </c>
    </row>
    <row r="388">
      <c r="A388" t="inlineStr">
        <is>
          <t>Australia</t>
        </is>
      </c>
      <c r="B388" t="inlineStr">
        <is>
          <t>AUS</t>
        </is>
      </c>
      <c r="C388" t="n">
        <v>2009</v>
      </c>
      <c r="D388" t="n">
        <v>1.77111716621254</v>
      </c>
    </row>
    <row r="389">
      <c r="A389" t="inlineStr">
        <is>
          <t>Australia</t>
        </is>
      </c>
      <c r="B389" t="inlineStr">
        <is>
          <t>AUS</t>
        </is>
      </c>
      <c r="C389" t="n">
        <v>2010</v>
      </c>
      <c r="D389" t="n">
        <v>2.91834002677376</v>
      </c>
    </row>
    <row r="390">
      <c r="A390" t="inlineStr">
        <is>
          <t>Australia</t>
        </is>
      </c>
      <c r="B390" t="inlineStr">
        <is>
          <t>AUS</t>
        </is>
      </c>
      <c r="C390" t="n">
        <v>2011</v>
      </c>
      <c r="D390" t="n">
        <v>3.3038501560874</v>
      </c>
    </row>
    <row r="391">
      <c r="A391" t="inlineStr">
        <is>
          <t>Australia</t>
        </is>
      </c>
      <c r="B391" t="inlineStr">
        <is>
          <t>AUS</t>
        </is>
      </c>
      <c r="C391" t="n">
        <v>2012</v>
      </c>
      <c r="D391" t="n">
        <v>1.76278015613196</v>
      </c>
    </row>
    <row r="392">
      <c r="A392" t="inlineStr">
        <is>
          <t>Australia</t>
        </is>
      </c>
      <c r="B392" t="inlineStr">
        <is>
          <t>AUS</t>
        </is>
      </c>
      <c r="C392" t="n">
        <v>2013</v>
      </c>
      <c r="D392" t="n">
        <v>2.4498886414254</v>
      </c>
    </row>
    <row r="393">
      <c r="A393" t="inlineStr">
        <is>
          <t>Australia</t>
        </is>
      </c>
      <c r="B393" t="inlineStr">
        <is>
          <t>AUS</t>
        </is>
      </c>
      <c r="C393" t="n">
        <v>2014</v>
      </c>
      <c r="D393" t="n">
        <v>2.48792270531404</v>
      </c>
    </row>
    <row r="394">
      <c r="A394" t="inlineStr">
        <is>
          <t>Australia</t>
        </is>
      </c>
      <c r="B394" t="inlineStr">
        <is>
          <t>AUS</t>
        </is>
      </c>
      <c r="C394" t="n">
        <v>2015</v>
      </c>
      <c r="D394" t="n">
        <v>1.50836672165921</v>
      </c>
    </row>
    <row r="395">
      <c r="A395" t="inlineStr">
        <is>
          <t>Australia</t>
        </is>
      </c>
      <c r="B395" t="inlineStr">
        <is>
          <t>AUS</t>
        </is>
      </c>
      <c r="C395" t="n">
        <v>2016</v>
      </c>
      <c r="D395" t="n">
        <v>1.27699094497324</v>
      </c>
    </row>
    <row r="396">
      <c r="A396" t="inlineStr">
        <is>
          <t>Australia</t>
        </is>
      </c>
      <c r="B396" t="inlineStr">
        <is>
          <t>AUS</t>
        </is>
      </c>
      <c r="C396" t="n">
        <v>2017</v>
      </c>
      <c r="D396" t="n">
        <v>1.94864740944527</v>
      </c>
    </row>
    <row r="397">
      <c r="A397" t="inlineStr">
        <is>
          <t>Australia</t>
        </is>
      </c>
      <c r="B397" t="inlineStr">
        <is>
          <t>AUS</t>
        </is>
      </c>
      <c r="C397" t="n">
        <v>2018</v>
      </c>
      <c r="D397" t="n">
        <v>1.91140094445691</v>
      </c>
    </row>
    <row r="398">
      <c r="A398" t="inlineStr">
        <is>
          <t>Australia</t>
        </is>
      </c>
      <c r="B398" t="inlineStr">
        <is>
          <t>AUS</t>
        </is>
      </c>
      <c r="C398" t="n">
        <v>2019</v>
      </c>
      <c r="D398" t="n">
        <v>1.61076787290379</v>
      </c>
    </row>
    <row r="399">
      <c r="A399" t="inlineStr">
        <is>
          <t>Australia</t>
        </is>
      </c>
      <c r="B399" t="inlineStr">
        <is>
          <t>AUS</t>
        </is>
      </c>
      <c r="C399" t="n">
        <v>2020</v>
      </c>
      <c r="D399" t="n">
        <v>0.846905537459305</v>
      </c>
    </row>
    <row r="400">
      <c r="A400" t="inlineStr">
        <is>
          <t>Australia</t>
        </is>
      </c>
      <c r="B400" t="inlineStr">
        <is>
          <t>AUS</t>
        </is>
      </c>
      <c r="C400" t="n">
        <v>2021</v>
      </c>
      <c r="D400" t="n">
        <v>2.86391042204994</v>
      </c>
    </row>
    <row r="401">
      <c r="A401" t="inlineStr">
        <is>
          <t>Australia</t>
        </is>
      </c>
      <c r="B401" t="inlineStr">
        <is>
          <t>AUS</t>
        </is>
      </c>
      <c r="C401" t="n">
        <v>2022</v>
      </c>
      <c r="D401" t="n">
        <v>6.59409671341846</v>
      </c>
    </row>
    <row r="402">
      <c r="A402" t="inlineStr">
        <is>
          <t>Australia</t>
        </is>
      </c>
      <c r="B402" t="inlineStr">
        <is>
          <t>AUS</t>
        </is>
      </c>
      <c r="C402" t="n">
        <v>2023</v>
      </c>
      <c r="D402" t="n">
        <v>5.5970149253731</v>
      </c>
    </row>
    <row r="403">
      <c r="A403" t="inlineStr">
        <is>
          <t>Australia</t>
        </is>
      </c>
      <c r="B403" t="inlineStr">
        <is>
          <t>AUS</t>
        </is>
      </c>
      <c r="C403" t="n">
        <v>2024</v>
      </c>
      <c r="D403" t="n">
        <v>3.1616142830575</v>
      </c>
    </row>
    <row r="404">
      <c r="A404" t="inlineStr">
        <is>
          <t>Austria</t>
        </is>
      </c>
      <c r="B404" t="inlineStr">
        <is>
          <t>AUT</t>
        </is>
      </c>
      <c r="C404" t="n">
        <v>1960</v>
      </c>
      <c r="D404" t="n">
        <v>1.94574935198645</v>
      </c>
    </row>
    <row r="405">
      <c r="A405" t="inlineStr">
        <is>
          <t>Austria</t>
        </is>
      </c>
      <c r="B405" t="inlineStr">
        <is>
          <t>AUT</t>
        </is>
      </c>
      <c r="C405" t="n">
        <v>1961</v>
      </c>
      <c r="D405" t="n">
        <v>3.54223986727557</v>
      </c>
    </row>
    <row r="406">
      <c r="A406" t="inlineStr">
        <is>
          <t>Austria</t>
        </is>
      </c>
      <c r="B406" t="inlineStr">
        <is>
          <t>AUT</t>
        </is>
      </c>
      <c r="C406" t="n">
        <v>1962</v>
      </c>
      <c r="D406" t="n">
        <v>4.38179863851178</v>
      </c>
    </row>
    <row r="407">
      <c r="A407" t="inlineStr">
        <is>
          <t>Austria</t>
        </is>
      </c>
      <c r="B407" t="inlineStr">
        <is>
          <t>AUT</t>
        </is>
      </c>
      <c r="C407" t="n">
        <v>1963</v>
      </c>
      <c r="D407" t="n">
        <v>2.70876699499833</v>
      </c>
    </row>
    <row r="408">
      <c r="A408" t="inlineStr">
        <is>
          <t>Austria</t>
        </is>
      </c>
      <c r="B408" t="inlineStr">
        <is>
          <t>AUT</t>
        </is>
      </c>
      <c r="C408" t="n">
        <v>1964</v>
      </c>
      <c r="D408" t="n">
        <v>3.86856354936629</v>
      </c>
    </row>
    <row r="409">
      <c r="A409" t="inlineStr">
        <is>
          <t>Austria</t>
        </is>
      </c>
      <c r="B409" t="inlineStr">
        <is>
          <t>AUT</t>
        </is>
      </c>
      <c r="C409" t="n">
        <v>1965</v>
      </c>
      <c r="D409" t="n">
        <v>4.93091637676269</v>
      </c>
    </row>
    <row r="410">
      <c r="A410" t="inlineStr">
        <is>
          <t>Austria</t>
        </is>
      </c>
      <c r="B410" t="inlineStr">
        <is>
          <t>AUT</t>
        </is>
      </c>
      <c r="C410" t="n">
        <v>1966</v>
      </c>
      <c r="D410" t="n">
        <v>2.05482059257987</v>
      </c>
    </row>
    <row r="411">
      <c r="A411" t="inlineStr">
        <is>
          <t>Austria</t>
        </is>
      </c>
      <c r="B411" t="inlineStr">
        <is>
          <t>AUT</t>
        </is>
      </c>
      <c r="C411" t="n">
        <v>1967</v>
      </c>
      <c r="D411" t="n">
        <v>3.97467292898832</v>
      </c>
    </row>
    <row r="412">
      <c r="A412" t="inlineStr">
        <is>
          <t>Austria</t>
        </is>
      </c>
      <c r="B412" t="inlineStr">
        <is>
          <t>AUT</t>
        </is>
      </c>
      <c r="C412" t="n">
        <v>1968</v>
      </c>
      <c r="D412" t="n">
        <v>2.76486447339768</v>
      </c>
    </row>
    <row r="413">
      <c r="A413" t="inlineStr">
        <is>
          <t>Austria</t>
        </is>
      </c>
      <c r="B413" t="inlineStr">
        <is>
          <t>AUT</t>
        </is>
      </c>
      <c r="C413" t="n">
        <v>1969</v>
      </c>
      <c r="D413" t="n">
        <v>3.08040419539532</v>
      </c>
    </row>
    <row r="414">
      <c r="A414" t="inlineStr">
        <is>
          <t>Austria</t>
        </is>
      </c>
      <c r="B414" t="inlineStr">
        <is>
          <t>AUT</t>
        </is>
      </c>
      <c r="C414" t="n">
        <v>1970</v>
      </c>
      <c r="D414" t="n">
        <v>4.37282441582139</v>
      </c>
    </row>
    <row r="415">
      <c r="A415" t="inlineStr">
        <is>
          <t>Austria</t>
        </is>
      </c>
      <c r="B415" t="inlineStr">
        <is>
          <t>AUT</t>
        </is>
      </c>
      <c r="C415" t="n">
        <v>1971</v>
      </c>
      <c r="D415" t="n">
        <v>4.70425813828696</v>
      </c>
    </row>
    <row r="416">
      <c r="A416" t="inlineStr">
        <is>
          <t>Austria</t>
        </is>
      </c>
      <c r="B416" t="inlineStr">
        <is>
          <t>AUT</t>
        </is>
      </c>
      <c r="C416" t="n">
        <v>1972</v>
      </c>
      <c r="D416" t="n">
        <v>6.35514612686787</v>
      </c>
    </row>
    <row r="417">
      <c r="A417" t="inlineStr">
        <is>
          <t>Austria</t>
        </is>
      </c>
      <c r="B417" t="inlineStr">
        <is>
          <t>AUT</t>
        </is>
      </c>
      <c r="C417" t="n">
        <v>1973</v>
      </c>
      <c r="D417" t="n">
        <v>7.53107803827116</v>
      </c>
    </row>
    <row r="418">
      <c r="A418" t="inlineStr">
        <is>
          <t>Austria</t>
        </is>
      </c>
      <c r="B418" t="inlineStr">
        <is>
          <t>AUT</t>
        </is>
      </c>
      <c r="C418" t="n">
        <v>1974</v>
      </c>
      <c r="D418" t="n">
        <v>9.52178819742238</v>
      </c>
    </row>
    <row r="419">
      <c r="A419" t="inlineStr">
        <is>
          <t>Austria</t>
        </is>
      </c>
      <c r="B419" t="inlineStr">
        <is>
          <t>AUT</t>
        </is>
      </c>
      <c r="C419" t="n">
        <v>1975</v>
      </c>
      <c r="D419" t="n">
        <v>8.445258639179739</v>
      </c>
    </row>
    <row r="420">
      <c r="A420" t="inlineStr">
        <is>
          <t>Austria</t>
        </is>
      </c>
      <c r="B420" t="inlineStr">
        <is>
          <t>AUT</t>
        </is>
      </c>
      <c r="C420" t="n">
        <v>1976</v>
      </c>
      <c r="D420" t="n">
        <v>7.31868545106923</v>
      </c>
    </row>
    <row r="421">
      <c r="A421" t="inlineStr">
        <is>
          <t>Austria</t>
        </is>
      </c>
      <c r="B421" t="inlineStr">
        <is>
          <t>AUT</t>
        </is>
      </c>
      <c r="C421" t="n">
        <v>1977</v>
      </c>
      <c r="D421" t="n">
        <v>5.49461568127666</v>
      </c>
    </row>
    <row r="422">
      <c r="A422" t="inlineStr">
        <is>
          <t>Austria</t>
        </is>
      </c>
      <c r="B422" t="inlineStr">
        <is>
          <t>AUT</t>
        </is>
      </c>
      <c r="C422" t="n">
        <v>1978</v>
      </c>
      <c r="D422" t="n">
        <v>3.57431857551221</v>
      </c>
    </row>
    <row r="423">
      <c r="A423" t="inlineStr">
        <is>
          <t>Austria</t>
        </is>
      </c>
      <c r="B423" t="inlineStr">
        <is>
          <t>AUT</t>
        </is>
      </c>
      <c r="C423" t="n">
        <v>1979</v>
      </c>
      <c r="D423" t="n">
        <v>3.7074009635341</v>
      </c>
    </row>
    <row r="424">
      <c r="A424" t="inlineStr">
        <is>
          <t>Austria</t>
        </is>
      </c>
      <c r="B424" t="inlineStr">
        <is>
          <t>AUT</t>
        </is>
      </c>
      <c r="C424" t="n">
        <v>1980</v>
      </c>
      <c r="D424" t="n">
        <v>6.32832536226101</v>
      </c>
    </row>
    <row r="425">
      <c r="A425" t="inlineStr">
        <is>
          <t>Austria</t>
        </is>
      </c>
      <c r="B425" t="inlineStr">
        <is>
          <t>AUT</t>
        </is>
      </c>
      <c r="C425" t="n">
        <v>1981</v>
      </c>
      <c r="D425" t="n">
        <v>6.80304177599257</v>
      </c>
    </row>
    <row r="426">
      <c r="A426" t="inlineStr">
        <is>
          <t>Austria</t>
        </is>
      </c>
      <c r="B426" t="inlineStr">
        <is>
          <t>AUT</t>
        </is>
      </c>
      <c r="C426" t="n">
        <v>1982</v>
      </c>
      <c r="D426" t="n">
        <v>5.43603082512847</v>
      </c>
    </row>
    <row r="427">
      <c r="A427" t="inlineStr">
        <is>
          <t>Austria</t>
        </is>
      </c>
      <c r="B427" t="inlineStr">
        <is>
          <t>AUT</t>
        </is>
      </c>
      <c r="C427" t="n">
        <v>1983</v>
      </c>
      <c r="D427" t="n">
        <v>3.33916453409534</v>
      </c>
    </row>
    <row r="428">
      <c r="A428" t="inlineStr">
        <is>
          <t>Austria</t>
        </is>
      </c>
      <c r="B428" t="inlineStr">
        <is>
          <t>AUT</t>
        </is>
      </c>
      <c r="C428" t="n">
        <v>1984</v>
      </c>
      <c r="D428" t="n">
        <v>5.66318573909351</v>
      </c>
    </row>
    <row r="429">
      <c r="A429" t="inlineStr">
        <is>
          <t>Austria</t>
        </is>
      </c>
      <c r="B429" t="inlineStr">
        <is>
          <t>AUT</t>
        </is>
      </c>
      <c r="C429" t="n">
        <v>1985</v>
      </c>
      <c r="D429" t="n">
        <v>3.18951681805193</v>
      </c>
    </row>
    <row r="430">
      <c r="A430" t="inlineStr">
        <is>
          <t>Austria</t>
        </is>
      </c>
      <c r="B430" t="inlineStr">
        <is>
          <t>AUT</t>
        </is>
      </c>
      <c r="C430" t="n">
        <v>1986</v>
      </c>
      <c r="D430" t="n">
        <v>1.70544456731973</v>
      </c>
    </row>
    <row r="431">
      <c r="A431" t="inlineStr">
        <is>
          <t>Austria</t>
        </is>
      </c>
      <c r="B431" t="inlineStr">
        <is>
          <t>AUT</t>
        </is>
      </c>
      <c r="C431" t="n">
        <v>1987</v>
      </c>
      <c r="D431" t="n">
        <v>1.4019527178397</v>
      </c>
    </row>
    <row r="432">
      <c r="A432" t="inlineStr">
        <is>
          <t>Austria</t>
        </is>
      </c>
      <c r="B432" t="inlineStr">
        <is>
          <t>AUT</t>
        </is>
      </c>
      <c r="C432" t="n">
        <v>1988</v>
      </c>
      <c r="D432" t="n">
        <v>1.91571684671258</v>
      </c>
    </row>
    <row r="433">
      <c r="A433" t="inlineStr">
        <is>
          <t>Austria</t>
        </is>
      </c>
      <c r="B433" t="inlineStr">
        <is>
          <t>AUT</t>
        </is>
      </c>
      <c r="C433" t="n">
        <v>1989</v>
      </c>
      <c r="D433" t="n">
        <v>2.56834829029372</v>
      </c>
    </row>
    <row r="434">
      <c r="A434" t="inlineStr">
        <is>
          <t>Austria</t>
        </is>
      </c>
      <c r="B434" t="inlineStr">
        <is>
          <t>AUT</t>
        </is>
      </c>
      <c r="C434" t="n">
        <v>1990</v>
      </c>
      <c r="D434" t="n">
        <v>3.26187231878578</v>
      </c>
    </row>
    <row r="435">
      <c r="A435" t="inlineStr">
        <is>
          <t>Austria</t>
        </is>
      </c>
      <c r="B435" t="inlineStr">
        <is>
          <t>AUT</t>
        </is>
      </c>
      <c r="C435" t="n">
        <v>1991</v>
      </c>
      <c r="D435" t="n">
        <v>3.33742703474788</v>
      </c>
    </row>
    <row r="436">
      <c r="A436" t="inlineStr">
        <is>
          <t>Austria</t>
        </is>
      </c>
      <c r="B436" t="inlineStr">
        <is>
          <t>AUT</t>
        </is>
      </c>
      <c r="C436" t="n">
        <v>1992</v>
      </c>
      <c r="D436" t="n">
        <v>4.02084780038557</v>
      </c>
    </row>
    <row r="437">
      <c r="A437" t="inlineStr">
        <is>
          <t>Austria</t>
        </is>
      </c>
      <c r="B437" t="inlineStr">
        <is>
          <t>AUT</t>
        </is>
      </c>
      <c r="C437" t="n">
        <v>1993</v>
      </c>
      <c r="D437" t="n">
        <v>3.63178524943176</v>
      </c>
    </row>
    <row r="438">
      <c r="A438" t="inlineStr">
        <is>
          <t>Austria</t>
        </is>
      </c>
      <c r="B438" t="inlineStr">
        <is>
          <t>AUT</t>
        </is>
      </c>
      <c r="C438" t="n">
        <v>1994</v>
      </c>
      <c r="D438" t="n">
        <v>2.95340936761079</v>
      </c>
    </row>
    <row r="439">
      <c r="A439" t="inlineStr">
        <is>
          <t>Austria</t>
        </is>
      </c>
      <c r="B439" t="inlineStr">
        <is>
          <t>AUT</t>
        </is>
      </c>
      <c r="C439" t="n">
        <v>1995</v>
      </c>
      <c r="D439" t="n">
        <v>2.24336631500905</v>
      </c>
    </row>
    <row r="440">
      <c r="A440" t="inlineStr">
        <is>
          <t>Austria</t>
        </is>
      </c>
      <c r="B440" t="inlineStr">
        <is>
          <t>AUT</t>
        </is>
      </c>
      <c r="C440" t="n">
        <v>1996</v>
      </c>
      <c r="D440" t="n">
        <v>1.86097115760433</v>
      </c>
    </row>
    <row r="441">
      <c r="A441" t="inlineStr">
        <is>
          <t>Austria</t>
        </is>
      </c>
      <c r="B441" t="inlineStr">
        <is>
          <t>AUT</t>
        </is>
      </c>
      <c r="C441" t="n">
        <v>1997</v>
      </c>
      <c r="D441" t="n">
        <v>1.30597857227693</v>
      </c>
    </row>
    <row r="442">
      <c r="A442" t="inlineStr">
        <is>
          <t>Austria</t>
        </is>
      </c>
      <c r="B442" t="inlineStr">
        <is>
          <t>AUT</t>
        </is>
      </c>
      <c r="C442" t="n">
        <v>1998</v>
      </c>
      <c r="D442" t="n">
        <v>0.922467196680799</v>
      </c>
    </row>
    <row r="443">
      <c r="A443" t="inlineStr">
        <is>
          <t>Austria</t>
        </is>
      </c>
      <c r="B443" t="inlineStr">
        <is>
          <t>AUT</t>
        </is>
      </c>
      <c r="C443" t="n">
        <v>1999</v>
      </c>
      <c r="D443" t="n">
        <v>0.568993765885568</v>
      </c>
    </row>
    <row r="444">
      <c r="A444" t="inlineStr">
        <is>
          <t>Austria</t>
        </is>
      </c>
      <c r="B444" t="inlineStr">
        <is>
          <t>AUT</t>
        </is>
      </c>
      <c r="C444" t="n">
        <v>2000</v>
      </c>
      <c r="D444" t="n">
        <v>2.34486285357282</v>
      </c>
    </row>
    <row r="445">
      <c r="A445" t="inlineStr">
        <is>
          <t>Austria</t>
        </is>
      </c>
      <c r="B445" t="inlineStr">
        <is>
          <t>AUT</t>
        </is>
      </c>
      <c r="C445" t="n">
        <v>2001</v>
      </c>
      <c r="D445" t="n">
        <v>2.65000077279528</v>
      </c>
    </row>
    <row r="446">
      <c r="A446" t="inlineStr">
        <is>
          <t>Austria</t>
        </is>
      </c>
      <c r="B446" t="inlineStr">
        <is>
          <t>AUT</t>
        </is>
      </c>
      <c r="C446" t="n">
        <v>2002</v>
      </c>
      <c r="D446" t="n">
        <v>1.81035787764127</v>
      </c>
    </row>
    <row r="447">
      <c r="A447" t="inlineStr">
        <is>
          <t>Austria</t>
        </is>
      </c>
      <c r="B447" t="inlineStr">
        <is>
          <t>AUT</t>
        </is>
      </c>
      <c r="C447" t="n">
        <v>2003</v>
      </c>
      <c r="D447" t="n">
        <v>1.35555370896452</v>
      </c>
    </row>
    <row r="448">
      <c r="A448" t="inlineStr">
        <is>
          <t>Austria</t>
        </is>
      </c>
      <c r="B448" t="inlineStr">
        <is>
          <t>AUT</t>
        </is>
      </c>
      <c r="C448" t="n">
        <v>2004</v>
      </c>
      <c r="D448" t="n">
        <v>2.06120618032862</v>
      </c>
    </row>
    <row r="449">
      <c r="A449" t="inlineStr">
        <is>
          <t>Austria</t>
        </is>
      </c>
      <c r="B449" t="inlineStr">
        <is>
          <t>AUT</t>
        </is>
      </c>
      <c r="C449" t="n">
        <v>2005</v>
      </c>
      <c r="D449" t="n">
        <v>2.29913785639285</v>
      </c>
    </row>
    <row r="450">
      <c r="A450" t="inlineStr">
        <is>
          <t>Austria</t>
        </is>
      </c>
      <c r="B450" t="inlineStr">
        <is>
          <t>AUT</t>
        </is>
      </c>
      <c r="C450" t="n">
        <v>2006</v>
      </c>
      <c r="D450" t="n">
        <v>1.4415485111902</v>
      </c>
    </row>
    <row r="451">
      <c r="A451" t="inlineStr">
        <is>
          <t>Austria</t>
        </is>
      </c>
      <c r="B451" t="inlineStr">
        <is>
          <t>AUT</t>
        </is>
      </c>
      <c r="C451" t="n">
        <v>2007</v>
      </c>
      <c r="D451" t="n">
        <v>2.16855528800749</v>
      </c>
    </row>
    <row r="452">
      <c r="A452" t="inlineStr">
        <is>
          <t>Austria</t>
        </is>
      </c>
      <c r="B452" t="inlineStr">
        <is>
          <t>AUT</t>
        </is>
      </c>
      <c r="C452" t="n">
        <v>2008</v>
      </c>
      <c r="D452" t="n">
        <v>3.21595033239886</v>
      </c>
    </row>
    <row r="453">
      <c r="A453" t="inlineStr">
        <is>
          <t>Austria</t>
        </is>
      </c>
      <c r="B453" t="inlineStr">
        <is>
          <t>AUT</t>
        </is>
      </c>
      <c r="C453" t="n">
        <v>2009</v>
      </c>
      <c r="D453" t="n">
        <v>0.506308827696515</v>
      </c>
    </row>
    <row r="454">
      <c r="A454" t="inlineStr">
        <is>
          <t>Austria</t>
        </is>
      </c>
      <c r="B454" t="inlineStr">
        <is>
          <t>AUT</t>
        </is>
      </c>
      <c r="C454" t="n">
        <v>2010</v>
      </c>
      <c r="D454" t="n">
        <v>1.81353438995062</v>
      </c>
    </row>
    <row r="455">
      <c r="A455" t="inlineStr">
        <is>
          <t>Austria</t>
        </is>
      </c>
      <c r="B455" t="inlineStr">
        <is>
          <t>AUT</t>
        </is>
      </c>
      <c r="C455" t="n">
        <v>2011</v>
      </c>
      <c r="D455" t="n">
        <v>3.2865791487538</v>
      </c>
    </row>
    <row r="456">
      <c r="A456" t="inlineStr">
        <is>
          <t>Austria</t>
        </is>
      </c>
      <c r="B456" t="inlineStr">
        <is>
          <t>AUT</t>
        </is>
      </c>
      <c r="C456" t="n">
        <v>2012</v>
      </c>
      <c r="D456" t="n">
        <v>2.48567562177015</v>
      </c>
    </row>
    <row r="457">
      <c r="A457" t="inlineStr">
        <is>
          <t>Austria</t>
        </is>
      </c>
      <c r="B457" t="inlineStr">
        <is>
          <t>AUT</t>
        </is>
      </c>
      <c r="C457" t="n">
        <v>2013</v>
      </c>
      <c r="D457" t="n">
        <v>2.00015616900597</v>
      </c>
    </row>
    <row r="458">
      <c r="A458" t="inlineStr">
        <is>
          <t>Austria</t>
        </is>
      </c>
      <c r="B458" t="inlineStr">
        <is>
          <t>AUT</t>
        </is>
      </c>
      <c r="C458" t="n">
        <v>2014</v>
      </c>
      <c r="D458" t="n">
        <v>1.60581182954474</v>
      </c>
    </row>
    <row r="459">
      <c r="A459" t="inlineStr">
        <is>
          <t>Austria</t>
        </is>
      </c>
      <c r="B459" t="inlineStr">
        <is>
          <t>AUT</t>
        </is>
      </c>
      <c r="C459" t="n">
        <v>2015</v>
      </c>
      <c r="D459" t="n">
        <v>0.8965633352603199</v>
      </c>
    </row>
    <row r="460">
      <c r="A460" t="inlineStr">
        <is>
          <t>Austria</t>
        </is>
      </c>
      <c r="B460" t="inlineStr">
        <is>
          <t>AUT</t>
        </is>
      </c>
      <c r="C460" t="n">
        <v>2016</v>
      </c>
      <c r="D460" t="n">
        <v>0.8915917526553619</v>
      </c>
    </row>
    <row r="461">
      <c r="A461" t="inlineStr">
        <is>
          <t>Austria</t>
        </is>
      </c>
      <c r="B461" t="inlineStr">
        <is>
          <t>AUT</t>
        </is>
      </c>
      <c r="C461" t="n">
        <v>2017</v>
      </c>
      <c r="D461" t="n">
        <v>2.08126911385587</v>
      </c>
    </row>
    <row r="462">
      <c r="A462" t="inlineStr">
        <is>
          <t>Austria</t>
        </is>
      </c>
      <c r="B462" t="inlineStr">
        <is>
          <t>AUT</t>
        </is>
      </c>
      <c r="C462" t="n">
        <v>2018</v>
      </c>
      <c r="D462" t="n">
        <v>1.9983798142954</v>
      </c>
    </row>
    <row r="463">
      <c r="A463" t="inlineStr">
        <is>
          <t>Austria</t>
        </is>
      </c>
      <c r="B463" t="inlineStr">
        <is>
          <t>AUT</t>
        </is>
      </c>
      <c r="C463" t="n">
        <v>2019</v>
      </c>
      <c r="D463" t="n">
        <v>1.53089564152644</v>
      </c>
    </row>
    <row r="464">
      <c r="A464" t="inlineStr">
        <is>
          <t>Austria</t>
        </is>
      </c>
      <c r="B464" t="inlineStr">
        <is>
          <t>AUT</t>
        </is>
      </c>
      <c r="C464" t="n">
        <v>2020</v>
      </c>
      <c r="D464" t="n">
        <v>1.38191063351862</v>
      </c>
    </row>
    <row r="465">
      <c r="A465" t="inlineStr">
        <is>
          <t>Austria</t>
        </is>
      </c>
      <c r="B465" t="inlineStr">
        <is>
          <t>AUT</t>
        </is>
      </c>
      <c r="C465" t="n">
        <v>2021</v>
      </c>
      <c r="D465" t="n">
        <v>2.7666666666667</v>
      </c>
    </row>
    <row r="466">
      <c r="A466" t="inlineStr">
        <is>
          <t>Austria</t>
        </is>
      </c>
      <c r="B466" t="inlineStr">
        <is>
          <t>AUT</t>
        </is>
      </c>
      <c r="C466" t="n">
        <v>2022</v>
      </c>
      <c r="D466" t="n">
        <v>8.546869931884499</v>
      </c>
    </row>
    <row r="467">
      <c r="A467" t="inlineStr">
        <is>
          <t>Austria</t>
        </is>
      </c>
      <c r="B467" t="inlineStr">
        <is>
          <t>AUT</t>
        </is>
      </c>
      <c r="C467" t="n">
        <v>2023</v>
      </c>
      <c r="D467" t="n">
        <v>7.81413417002832</v>
      </c>
    </row>
    <row r="468">
      <c r="A468" t="inlineStr">
        <is>
          <t>Austria</t>
        </is>
      </c>
      <c r="B468" t="inlineStr">
        <is>
          <t>AUT</t>
        </is>
      </c>
      <c r="C468" t="n">
        <v>2024</v>
      </c>
      <c r="D468" t="n">
        <v>2.93791574279383</v>
      </c>
    </row>
    <row r="469">
      <c r="A469" t="inlineStr">
        <is>
          <t>Azerbaijan</t>
        </is>
      </c>
      <c r="B469" t="inlineStr">
        <is>
          <t>AZE</t>
        </is>
      </c>
      <c r="C469" t="n">
        <v>1992</v>
      </c>
      <c r="D469" t="n">
        <v>-10.6300971576201</v>
      </c>
    </row>
    <row r="470">
      <c r="A470" t="inlineStr">
        <is>
          <t>Azerbaijan</t>
        </is>
      </c>
      <c r="B470" t="inlineStr">
        <is>
          <t>AZE</t>
        </is>
      </c>
      <c r="C470" t="n">
        <v>1993</v>
      </c>
      <c r="D470" t="n">
        <v>1128.00002429404</v>
      </c>
    </row>
    <row r="471">
      <c r="A471" t="inlineStr">
        <is>
          <t>Azerbaijan</t>
        </is>
      </c>
      <c r="B471" t="inlineStr">
        <is>
          <t>AZE</t>
        </is>
      </c>
      <c r="C471" t="n">
        <v>1994</v>
      </c>
      <c r="D471" t="n">
        <v>1662.21594875899</v>
      </c>
    </row>
    <row r="472">
      <c r="A472" t="inlineStr">
        <is>
          <t>Azerbaijan</t>
        </is>
      </c>
      <c r="B472" t="inlineStr">
        <is>
          <t>AZE</t>
        </is>
      </c>
      <c r="C472" t="n">
        <v>1995</v>
      </c>
      <c r="D472" t="n">
        <v>411.759641777268</v>
      </c>
    </row>
    <row r="473">
      <c r="A473" t="inlineStr">
        <is>
          <t>Azerbaijan</t>
        </is>
      </c>
      <c r="B473" t="inlineStr">
        <is>
          <t>AZE</t>
        </is>
      </c>
      <c r="C473" t="n">
        <v>1996</v>
      </c>
      <c r="D473" t="n">
        <v>19.7948028061898</v>
      </c>
    </row>
    <row r="474">
      <c r="A474" t="inlineStr">
        <is>
          <t>Azerbaijan</t>
        </is>
      </c>
      <c r="B474" t="inlineStr">
        <is>
          <t>AZE</t>
        </is>
      </c>
      <c r="C474" t="n">
        <v>1997</v>
      </c>
      <c r="D474" t="n">
        <v>3.6743480968473</v>
      </c>
    </row>
    <row r="475">
      <c r="A475" t="inlineStr">
        <is>
          <t>Azerbaijan</t>
        </is>
      </c>
      <c r="B475" t="inlineStr">
        <is>
          <t>AZE</t>
        </is>
      </c>
      <c r="C475" t="n">
        <v>1998</v>
      </c>
      <c r="D475" t="n">
        <v>-0.772697886033167</v>
      </c>
    </row>
    <row r="476">
      <c r="A476" t="inlineStr">
        <is>
          <t>Azerbaijan</t>
        </is>
      </c>
      <c r="B476" t="inlineStr">
        <is>
          <t>AZE</t>
        </is>
      </c>
      <c r="C476" t="n">
        <v>1999</v>
      </c>
      <c r="D476" t="n">
        <v>-8.525170005360639</v>
      </c>
    </row>
    <row r="477">
      <c r="A477" t="inlineStr">
        <is>
          <t>Azerbaijan</t>
        </is>
      </c>
      <c r="B477" t="inlineStr">
        <is>
          <t>AZE</t>
        </is>
      </c>
      <c r="C477" t="n">
        <v>2000</v>
      </c>
      <c r="D477" t="n">
        <v>1.80500303704356</v>
      </c>
    </row>
    <row r="478">
      <c r="A478" t="inlineStr">
        <is>
          <t>Azerbaijan</t>
        </is>
      </c>
      <c r="B478" t="inlineStr">
        <is>
          <t>AZE</t>
        </is>
      </c>
      <c r="C478" t="n">
        <v>2001</v>
      </c>
      <c r="D478" t="n">
        <v>1.5471959015228</v>
      </c>
    </row>
    <row r="479">
      <c r="A479" t="inlineStr">
        <is>
          <t>Azerbaijan</t>
        </is>
      </c>
      <c r="B479" t="inlineStr">
        <is>
          <t>AZE</t>
        </is>
      </c>
      <c r="C479" t="n">
        <v>2002</v>
      </c>
      <c r="D479" t="n">
        <v>2.7711647199827</v>
      </c>
    </row>
    <row r="480">
      <c r="A480" t="inlineStr">
        <is>
          <t>Azerbaijan</t>
        </is>
      </c>
      <c r="B480" t="inlineStr">
        <is>
          <t>AZE</t>
        </is>
      </c>
      <c r="C480" t="n">
        <v>2003</v>
      </c>
      <c r="D480" t="n">
        <v>2.2338649296705</v>
      </c>
    </row>
    <row r="481">
      <c r="A481" t="inlineStr">
        <is>
          <t>Azerbaijan</t>
        </is>
      </c>
      <c r="B481" t="inlineStr">
        <is>
          <t>AZE</t>
        </is>
      </c>
      <c r="C481" t="n">
        <v>2004</v>
      </c>
      <c r="D481" t="n">
        <v>6.70893042797784</v>
      </c>
    </row>
    <row r="482">
      <c r="A482" t="inlineStr">
        <is>
          <t>Azerbaijan</t>
        </is>
      </c>
      <c r="B482" t="inlineStr">
        <is>
          <t>AZE</t>
        </is>
      </c>
      <c r="C482" t="n">
        <v>2005</v>
      </c>
      <c r="D482" t="n">
        <v>9.67950731917057</v>
      </c>
    </row>
    <row r="483">
      <c r="A483" t="inlineStr">
        <is>
          <t>Azerbaijan</t>
        </is>
      </c>
      <c r="B483" t="inlineStr">
        <is>
          <t>AZE</t>
        </is>
      </c>
      <c r="C483" t="n">
        <v>2006</v>
      </c>
      <c r="D483" t="n">
        <v>8.3289248286321</v>
      </c>
    </row>
    <row r="484">
      <c r="A484" t="inlineStr">
        <is>
          <t>Azerbaijan</t>
        </is>
      </c>
      <c r="B484" t="inlineStr">
        <is>
          <t>AZE</t>
        </is>
      </c>
      <c r="C484" t="n">
        <v>2007</v>
      </c>
      <c r="D484" t="n">
        <v>16.6997549618244</v>
      </c>
    </row>
    <row r="485">
      <c r="A485" t="inlineStr">
        <is>
          <t>Azerbaijan</t>
        </is>
      </c>
      <c r="B485" t="inlineStr">
        <is>
          <t>AZE</t>
        </is>
      </c>
      <c r="C485" t="n">
        <v>2008</v>
      </c>
      <c r="D485" t="n">
        <v>20.8490871772712</v>
      </c>
    </row>
    <row r="486">
      <c r="A486" t="inlineStr">
        <is>
          <t>Azerbaijan</t>
        </is>
      </c>
      <c r="B486" t="inlineStr">
        <is>
          <t>AZE</t>
        </is>
      </c>
      <c r="C486" t="n">
        <v>2009</v>
      </c>
      <c r="D486" t="n">
        <v>1.45704835970321</v>
      </c>
    </row>
    <row r="487">
      <c r="A487" t="inlineStr">
        <is>
          <t>Azerbaijan</t>
        </is>
      </c>
      <c r="B487" t="inlineStr">
        <is>
          <t>AZE</t>
        </is>
      </c>
      <c r="C487" t="n">
        <v>2010</v>
      </c>
      <c r="D487" t="n">
        <v>5.72687224669605</v>
      </c>
    </row>
    <row r="488">
      <c r="A488" t="inlineStr">
        <is>
          <t>Azerbaijan</t>
        </is>
      </c>
      <c r="B488" t="inlineStr">
        <is>
          <t>AZE</t>
        </is>
      </c>
      <c r="C488" t="n">
        <v>2011</v>
      </c>
      <c r="D488" t="n">
        <v>7.8583333333334</v>
      </c>
    </row>
    <row r="489">
      <c r="A489" t="inlineStr">
        <is>
          <t>Azerbaijan</t>
        </is>
      </c>
      <c r="B489" t="inlineStr">
        <is>
          <t>AZE</t>
        </is>
      </c>
      <c r="C489" t="n">
        <v>2012</v>
      </c>
      <c r="D489" t="n">
        <v>1.06621339720303</v>
      </c>
    </row>
    <row r="490">
      <c r="A490" t="inlineStr">
        <is>
          <t>Azerbaijan</t>
        </is>
      </c>
      <c r="B490" t="inlineStr">
        <is>
          <t>AZE</t>
        </is>
      </c>
      <c r="C490" t="n">
        <v>2013</v>
      </c>
      <c r="D490" t="n">
        <v>2.41571745279419</v>
      </c>
    </row>
    <row r="491">
      <c r="A491" t="inlineStr">
        <is>
          <t>Azerbaijan</t>
        </is>
      </c>
      <c r="B491" t="inlineStr">
        <is>
          <t>AZE</t>
        </is>
      </c>
      <c r="C491" t="n">
        <v>2014</v>
      </c>
      <c r="D491" t="n">
        <v>1.37344181533176</v>
      </c>
    </row>
    <row r="492">
      <c r="A492" t="inlineStr">
        <is>
          <t>Azerbaijan</t>
        </is>
      </c>
      <c r="B492" t="inlineStr">
        <is>
          <t>AZE</t>
        </is>
      </c>
      <c r="C492" t="n">
        <v>2015</v>
      </c>
      <c r="D492" t="n">
        <v>4.02768573742726</v>
      </c>
    </row>
    <row r="493">
      <c r="A493" t="inlineStr">
        <is>
          <t>Azerbaijan</t>
        </is>
      </c>
      <c r="B493" t="inlineStr">
        <is>
          <t>AZE</t>
        </is>
      </c>
      <c r="C493" t="n">
        <v>2016</v>
      </c>
      <c r="D493" t="n">
        <v>12.4433748584372</v>
      </c>
    </row>
    <row r="494">
      <c r="A494" t="inlineStr">
        <is>
          <t>Azerbaijan</t>
        </is>
      </c>
      <c r="B494" t="inlineStr">
        <is>
          <t>AZE</t>
        </is>
      </c>
      <c r="C494" t="n">
        <v>2017</v>
      </c>
      <c r="D494" t="n">
        <v>12.9359184187335</v>
      </c>
    </row>
    <row r="495">
      <c r="A495" t="inlineStr">
        <is>
          <t>Azerbaijan</t>
        </is>
      </c>
      <c r="B495" t="inlineStr">
        <is>
          <t>AZE</t>
        </is>
      </c>
      <c r="C495" t="n">
        <v>2018</v>
      </c>
      <c r="D495" t="n">
        <v>2.26854690373999</v>
      </c>
    </row>
    <row r="496">
      <c r="A496" t="inlineStr">
        <is>
          <t>Azerbaijan</t>
        </is>
      </c>
      <c r="B496" t="inlineStr">
        <is>
          <t>AZE</t>
        </is>
      </c>
      <c r="C496" t="n">
        <v>2019</v>
      </c>
      <c r="D496" t="n">
        <v>2.61057182799215</v>
      </c>
    </row>
    <row r="497">
      <c r="A497" t="inlineStr">
        <is>
          <t>Azerbaijan</t>
        </is>
      </c>
      <c r="B497" t="inlineStr">
        <is>
          <t>AZE</t>
        </is>
      </c>
      <c r="C497" t="n">
        <v>2020</v>
      </c>
      <c r="D497" t="n">
        <v>2.75980947008127</v>
      </c>
    </row>
    <row r="498">
      <c r="A498" t="inlineStr">
        <is>
          <t>Azerbaijan</t>
        </is>
      </c>
      <c r="B498" t="inlineStr">
        <is>
          <t>AZE</t>
        </is>
      </c>
      <c r="C498" t="n">
        <v>2021</v>
      </c>
      <c r="D498" t="n">
        <v>6.65029912708779</v>
      </c>
    </row>
    <row r="499">
      <c r="A499" t="inlineStr">
        <is>
          <t>Azerbaijan</t>
        </is>
      </c>
      <c r="B499" t="inlineStr">
        <is>
          <t>AZE</t>
        </is>
      </c>
      <c r="C499" t="n">
        <v>2022</v>
      </c>
      <c r="D499" t="n">
        <v>13.8522590144267</v>
      </c>
    </row>
    <row r="500">
      <c r="A500" t="inlineStr">
        <is>
          <t>Azerbaijan</t>
        </is>
      </c>
      <c r="B500" t="inlineStr">
        <is>
          <t>AZE</t>
        </is>
      </c>
      <c r="C500" t="n">
        <v>2023</v>
      </c>
      <c r="D500" t="n">
        <v>8.785430498490809</v>
      </c>
    </row>
    <row r="501">
      <c r="A501" t="inlineStr">
        <is>
          <t>Azerbaijan</t>
        </is>
      </c>
      <c r="B501" t="inlineStr">
        <is>
          <t>AZE</t>
        </is>
      </c>
      <c r="C501" t="n">
        <v>2024</v>
      </c>
      <c r="D501" t="n">
        <v>2.21217188919901</v>
      </c>
    </row>
    <row r="502">
      <c r="A502" t="inlineStr">
        <is>
          <t>Burundi</t>
        </is>
      </c>
      <c r="B502" t="inlineStr">
        <is>
          <t>BDI</t>
        </is>
      </c>
      <c r="C502" t="n">
        <v>1966</v>
      </c>
      <c r="D502" t="n">
        <v>4.43686006769088</v>
      </c>
    </row>
    <row r="503">
      <c r="A503" t="inlineStr">
        <is>
          <t>Burundi</t>
        </is>
      </c>
      <c r="B503" t="inlineStr">
        <is>
          <t>BDI</t>
        </is>
      </c>
      <c r="C503" t="n">
        <v>1967</v>
      </c>
      <c r="D503" t="n">
        <v>-1.08932461874253</v>
      </c>
    </row>
    <row r="504">
      <c r="A504" t="inlineStr">
        <is>
          <t>Burundi</t>
        </is>
      </c>
      <c r="B504" t="inlineStr">
        <is>
          <t>BDI</t>
        </is>
      </c>
      <c r="C504" t="n">
        <v>1968</v>
      </c>
      <c r="D504" t="n">
        <v>6.05726872222518</v>
      </c>
    </row>
    <row r="505">
      <c r="A505" t="inlineStr">
        <is>
          <t>Burundi</t>
        </is>
      </c>
      <c r="B505" t="inlineStr">
        <is>
          <t>BDI</t>
        </is>
      </c>
      <c r="C505" t="n">
        <v>1969</v>
      </c>
      <c r="D505" t="n">
        <v>4.02388369733122</v>
      </c>
    </row>
    <row r="506">
      <c r="A506" t="inlineStr">
        <is>
          <t>Burundi</t>
        </is>
      </c>
      <c r="B506" t="inlineStr">
        <is>
          <t>BDI</t>
        </is>
      </c>
      <c r="C506" t="n">
        <v>1970</v>
      </c>
      <c r="D506" t="n">
        <v>-0.199650611430225</v>
      </c>
    </row>
    <row r="507">
      <c r="A507" t="inlineStr">
        <is>
          <t>Burundi</t>
        </is>
      </c>
      <c r="B507" t="inlineStr">
        <is>
          <t>BDI</t>
        </is>
      </c>
      <c r="C507" t="n">
        <v>1971</v>
      </c>
      <c r="D507" t="n">
        <v>3.85096274044454</v>
      </c>
    </row>
    <row r="508">
      <c r="A508" t="inlineStr">
        <is>
          <t>Burundi</t>
        </is>
      </c>
      <c r="B508" t="inlineStr">
        <is>
          <t>BDI</t>
        </is>
      </c>
      <c r="C508" t="n">
        <v>1972</v>
      </c>
      <c r="D508" t="n">
        <v>3.82855766917334</v>
      </c>
    </row>
    <row r="509">
      <c r="A509" t="inlineStr">
        <is>
          <t>Burundi</t>
        </is>
      </c>
      <c r="B509" t="inlineStr">
        <is>
          <t>BDI</t>
        </is>
      </c>
      <c r="C509" t="n">
        <v>1973</v>
      </c>
      <c r="D509" t="n">
        <v>6.00649350675306</v>
      </c>
    </row>
    <row r="510">
      <c r="A510" t="inlineStr">
        <is>
          <t>Burundi</t>
        </is>
      </c>
      <c r="B510" t="inlineStr">
        <is>
          <t>BDI</t>
        </is>
      </c>
      <c r="C510" t="n">
        <v>1974</v>
      </c>
      <c r="D510" t="n">
        <v>15.7223072990938</v>
      </c>
    </row>
    <row r="511">
      <c r="A511" t="inlineStr">
        <is>
          <t>Burundi</t>
        </is>
      </c>
      <c r="B511" t="inlineStr">
        <is>
          <t>BDI</t>
        </is>
      </c>
      <c r="C511" t="n">
        <v>1975</v>
      </c>
      <c r="D511" t="n">
        <v>15.7098745988233</v>
      </c>
    </row>
    <row r="512">
      <c r="A512" t="inlineStr">
        <is>
          <t>Burundi</t>
        </is>
      </c>
      <c r="B512" t="inlineStr">
        <is>
          <t>BDI</t>
        </is>
      </c>
      <c r="C512" t="n">
        <v>1976</v>
      </c>
      <c r="D512" t="n">
        <v>6.85655157364539</v>
      </c>
    </row>
    <row r="513">
      <c r="A513" t="inlineStr">
        <is>
          <t>Burundi</t>
        </is>
      </c>
      <c r="B513" t="inlineStr">
        <is>
          <t>BDI</t>
        </is>
      </c>
      <c r="C513" t="n">
        <v>1977</v>
      </c>
      <c r="D513" t="n">
        <v>6.83451404136489</v>
      </c>
    </row>
    <row r="514">
      <c r="A514" t="inlineStr">
        <is>
          <t>Burundi</t>
        </is>
      </c>
      <c r="B514" t="inlineStr">
        <is>
          <t>BDI</t>
        </is>
      </c>
      <c r="C514" t="n">
        <v>1978</v>
      </c>
      <c r="D514" t="n">
        <v>23.8956206469303</v>
      </c>
    </row>
    <row r="515">
      <c r="A515" t="inlineStr">
        <is>
          <t>Burundi</t>
        </is>
      </c>
      <c r="B515" t="inlineStr">
        <is>
          <t>BDI</t>
        </is>
      </c>
      <c r="C515" t="n">
        <v>1979</v>
      </c>
      <c r="D515" t="n">
        <v>36.5407569980925</v>
      </c>
    </row>
    <row r="516">
      <c r="A516" t="inlineStr">
        <is>
          <t>Burundi</t>
        </is>
      </c>
      <c r="B516" t="inlineStr">
        <is>
          <t>BDI</t>
        </is>
      </c>
      <c r="C516" t="n">
        <v>1980</v>
      </c>
      <c r="D516" t="n">
        <v>2.49851950030166</v>
      </c>
    </row>
    <row r="517">
      <c r="A517" t="inlineStr">
        <is>
          <t>Burundi</t>
        </is>
      </c>
      <c r="B517" t="inlineStr">
        <is>
          <t>BDI</t>
        </is>
      </c>
      <c r="C517" t="n">
        <v>1981</v>
      </c>
      <c r="D517" t="n">
        <v>12.1673943487938</v>
      </c>
    </row>
    <row r="518">
      <c r="A518" t="inlineStr">
        <is>
          <t>Burundi</t>
        </is>
      </c>
      <c r="B518" t="inlineStr">
        <is>
          <t>BDI</t>
        </is>
      </c>
      <c r="C518" t="n">
        <v>1982</v>
      </c>
      <c r="D518" t="n">
        <v>5.86809635722661</v>
      </c>
    </row>
    <row r="519">
      <c r="A519" t="inlineStr">
        <is>
          <t>Burundi</t>
        </is>
      </c>
      <c r="B519" t="inlineStr">
        <is>
          <t>BDI</t>
        </is>
      </c>
      <c r="C519" t="n">
        <v>1983</v>
      </c>
      <c r="D519" t="n">
        <v>8.15123135622631</v>
      </c>
    </row>
    <row r="520">
      <c r="A520" t="inlineStr">
        <is>
          <t>Burundi</t>
        </is>
      </c>
      <c r="B520" t="inlineStr">
        <is>
          <t>BDI</t>
        </is>
      </c>
      <c r="C520" t="n">
        <v>1984</v>
      </c>
      <c r="D520" t="n">
        <v>14.3168697883258</v>
      </c>
    </row>
    <row r="521">
      <c r="A521" t="inlineStr">
        <is>
          <t>Burundi</t>
        </is>
      </c>
      <c r="B521" t="inlineStr">
        <is>
          <t>BDI</t>
        </is>
      </c>
      <c r="C521" t="n">
        <v>1985</v>
      </c>
      <c r="D521" t="n">
        <v>3.80428683649425</v>
      </c>
    </row>
    <row r="522">
      <c r="A522" t="inlineStr">
        <is>
          <t>Burundi</t>
        </is>
      </c>
      <c r="B522" t="inlineStr">
        <is>
          <t>BDI</t>
        </is>
      </c>
      <c r="C522" t="n">
        <v>1986</v>
      </c>
      <c r="D522" t="n">
        <v>1.67567567567547</v>
      </c>
    </row>
    <row r="523">
      <c r="A523" t="inlineStr">
        <is>
          <t>Burundi</t>
        </is>
      </c>
      <c r="B523" t="inlineStr">
        <is>
          <t>BDI</t>
        </is>
      </c>
      <c r="C523" t="n">
        <v>1987</v>
      </c>
      <c r="D523" t="n">
        <v>7.11323763955337</v>
      </c>
    </row>
    <row r="524">
      <c r="A524" t="inlineStr">
        <is>
          <t>Burundi</t>
        </is>
      </c>
      <c r="B524" t="inlineStr">
        <is>
          <t>BDI</t>
        </is>
      </c>
      <c r="C524" t="n">
        <v>1988</v>
      </c>
      <c r="D524" t="n">
        <v>4.48679769704177</v>
      </c>
    </row>
    <row r="525">
      <c r="A525" t="inlineStr">
        <is>
          <t>Burundi</t>
        </is>
      </c>
      <c r="B525" t="inlineStr">
        <is>
          <t>BDI</t>
        </is>
      </c>
      <c r="C525" t="n">
        <v>1989</v>
      </c>
      <c r="D525" t="n">
        <v>11.6615998479958</v>
      </c>
    </row>
    <row r="526">
      <c r="A526" t="inlineStr">
        <is>
          <t>Burundi</t>
        </is>
      </c>
      <c r="B526" t="inlineStr">
        <is>
          <t>BDI</t>
        </is>
      </c>
      <c r="C526" t="n">
        <v>1990</v>
      </c>
      <c r="D526" t="n">
        <v>7.00216956651122</v>
      </c>
    </row>
    <row r="527">
      <c r="A527" t="inlineStr">
        <is>
          <t>Burundi</t>
        </is>
      </c>
      <c r="B527" t="inlineStr">
        <is>
          <t>BDI</t>
        </is>
      </c>
      <c r="C527" t="n">
        <v>1991</v>
      </c>
      <c r="D527" t="n">
        <v>8.99693873494331</v>
      </c>
    </row>
    <row r="528">
      <c r="A528" t="inlineStr">
        <is>
          <t>Burundi</t>
        </is>
      </c>
      <c r="B528" t="inlineStr">
        <is>
          <t>BDI</t>
        </is>
      </c>
      <c r="C528" t="n">
        <v>1992</v>
      </c>
      <c r="D528" t="n">
        <v>1.82333333333308</v>
      </c>
    </row>
    <row r="529">
      <c r="A529" t="inlineStr">
        <is>
          <t>Burundi</t>
        </is>
      </c>
      <c r="B529" t="inlineStr">
        <is>
          <t>BDI</t>
        </is>
      </c>
      <c r="C529" t="n">
        <v>1993</v>
      </c>
      <c r="D529" t="n">
        <v>9.67934658067928</v>
      </c>
    </row>
    <row r="530">
      <c r="A530" t="inlineStr">
        <is>
          <t>Burundi</t>
        </is>
      </c>
      <c r="B530" t="inlineStr">
        <is>
          <t>BDI</t>
        </is>
      </c>
      <c r="C530" t="n">
        <v>1994</v>
      </c>
      <c r="D530" t="n">
        <v>14.8528149833969</v>
      </c>
    </row>
    <row r="531">
      <c r="A531" t="inlineStr">
        <is>
          <t>Burundi</t>
        </is>
      </c>
      <c r="B531" t="inlineStr">
        <is>
          <t>BDI</t>
        </is>
      </c>
      <c r="C531" t="n">
        <v>1995</v>
      </c>
      <c r="D531" t="n">
        <v>19.2632536382538</v>
      </c>
    </row>
    <row r="532">
      <c r="A532" t="inlineStr">
        <is>
          <t>Burundi</t>
        </is>
      </c>
      <c r="B532" t="inlineStr">
        <is>
          <t>BDI</t>
        </is>
      </c>
      <c r="C532" t="n">
        <v>1996</v>
      </c>
      <c r="D532" t="n">
        <v>26.4367816091951</v>
      </c>
    </row>
    <row r="533">
      <c r="A533" t="inlineStr">
        <is>
          <t>Burundi</t>
        </is>
      </c>
      <c r="B533" t="inlineStr">
        <is>
          <t>BDI</t>
        </is>
      </c>
      <c r="C533" t="n">
        <v>1997</v>
      </c>
      <c r="D533" t="n">
        <v>31.1115898319695</v>
      </c>
    </row>
    <row r="534">
      <c r="A534" t="inlineStr">
        <is>
          <t>Burundi</t>
        </is>
      </c>
      <c r="B534" t="inlineStr">
        <is>
          <t>BDI</t>
        </is>
      </c>
      <c r="C534" t="n">
        <v>1998</v>
      </c>
      <c r="D534" t="n">
        <v>12.5004107653378</v>
      </c>
    </row>
    <row r="535">
      <c r="A535" t="inlineStr">
        <is>
          <t>Burundi</t>
        </is>
      </c>
      <c r="B535" t="inlineStr">
        <is>
          <t>BDI</t>
        </is>
      </c>
      <c r="C535" t="n">
        <v>1999</v>
      </c>
      <c r="D535" t="n">
        <v>3.38542427340455</v>
      </c>
    </row>
    <row r="536">
      <c r="A536" t="inlineStr">
        <is>
          <t>Burundi</t>
        </is>
      </c>
      <c r="B536" t="inlineStr">
        <is>
          <t>BDI</t>
        </is>
      </c>
      <c r="C536" t="n">
        <v>2000</v>
      </c>
      <c r="D536" t="n">
        <v>24.4320242102151</v>
      </c>
    </row>
    <row r="537">
      <c r="A537" t="inlineStr">
        <is>
          <t>Burundi</t>
        </is>
      </c>
      <c r="B537" t="inlineStr">
        <is>
          <t>BDI</t>
        </is>
      </c>
      <c r="C537" t="n">
        <v>2001</v>
      </c>
      <c r="D537" t="n">
        <v>9.29618771341889</v>
      </c>
    </row>
    <row r="538">
      <c r="A538" t="inlineStr">
        <is>
          <t>Burundi</t>
        </is>
      </c>
      <c r="B538" t="inlineStr">
        <is>
          <t>BDI</t>
        </is>
      </c>
      <c r="C538" t="n">
        <v>2002</v>
      </c>
      <c r="D538" t="n">
        <v>-1.3656800532806</v>
      </c>
    </row>
    <row r="539">
      <c r="A539" t="inlineStr">
        <is>
          <t>Burundi</t>
        </is>
      </c>
      <c r="B539" t="inlineStr">
        <is>
          <t>BDI</t>
        </is>
      </c>
      <c r="C539" t="n">
        <v>2003</v>
      </c>
      <c r="D539" t="n">
        <v>10.6474645658306</v>
      </c>
    </row>
    <row r="540">
      <c r="A540" t="inlineStr">
        <is>
          <t>Burundi</t>
        </is>
      </c>
      <c r="B540" t="inlineStr">
        <is>
          <t>BDI</t>
        </is>
      </c>
      <c r="C540" t="n">
        <v>2004</v>
      </c>
      <c r="D540" t="n">
        <v>8.176429374820531</v>
      </c>
    </row>
    <row r="541">
      <c r="A541" t="inlineStr">
        <is>
          <t>Burundi</t>
        </is>
      </c>
      <c r="B541" t="inlineStr">
        <is>
          <t>BDI</t>
        </is>
      </c>
      <c r="C541" t="n">
        <v>2005</v>
      </c>
      <c r="D541" t="n">
        <v>13.2520699188224</v>
      </c>
    </row>
    <row r="542">
      <c r="A542" t="inlineStr">
        <is>
          <t>Burundi</t>
        </is>
      </c>
      <c r="B542" t="inlineStr">
        <is>
          <t>BDI</t>
        </is>
      </c>
      <c r="C542" t="n">
        <v>2006</v>
      </c>
      <c r="D542" t="n">
        <v>2.74542000214241</v>
      </c>
    </row>
    <row r="543">
      <c r="A543" t="inlineStr">
        <is>
          <t>Burundi</t>
        </is>
      </c>
      <c r="B543" t="inlineStr">
        <is>
          <t>BDI</t>
        </is>
      </c>
      <c r="C543" t="n">
        <v>2007</v>
      </c>
      <c r="D543" t="n">
        <v>8.41206285772544</v>
      </c>
    </row>
    <row r="544">
      <c r="A544" t="inlineStr">
        <is>
          <t>Burundi</t>
        </is>
      </c>
      <c r="B544" t="inlineStr">
        <is>
          <t>BDI</t>
        </is>
      </c>
      <c r="C544" t="n">
        <v>2008</v>
      </c>
      <c r="D544" t="n">
        <v>24.4069510353914</v>
      </c>
    </row>
    <row r="545">
      <c r="A545" t="inlineStr">
        <is>
          <t>Burundi</t>
        </is>
      </c>
      <c r="B545" t="inlineStr">
        <is>
          <t>BDI</t>
        </is>
      </c>
      <c r="C545" t="n">
        <v>2009</v>
      </c>
      <c r="D545" t="n">
        <v>10.5554355299529</v>
      </c>
    </row>
    <row r="546">
      <c r="A546" t="inlineStr">
        <is>
          <t>Burundi</t>
        </is>
      </c>
      <c r="B546" t="inlineStr">
        <is>
          <t>BDI</t>
        </is>
      </c>
      <c r="C546" t="n">
        <v>2010</v>
      </c>
      <c r="D546" t="n">
        <v>6.49326591473993</v>
      </c>
    </row>
    <row r="547">
      <c r="A547" t="inlineStr">
        <is>
          <t>Burundi</t>
        </is>
      </c>
      <c r="B547" t="inlineStr">
        <is>
          <t>BDI</t>
        </is>
      </c>
      <c r="C547" t="n">
        <v>2011</v>
      </c>
      <c r="D547" t="n">
        <v>9.5921660597967</v>
      </c>
    </row>
    <row r="548">
      <c r="A548" t="inlineStr">
        <is>
          <t>Burundi</t>
        </is>
      </c>
      <c r="B548" t="inlineStr">
        <is>
          <t>BDI</t>
        </is>
      </c>
      <c r="C548" t="n">
        <v>2012</v>
      </c>
      <c r="D548" t="n">
        <v>18.1610453065451</v>
      </c>
    </row>
    <row r="549">
      <c r="A549" t="inlineStr">
        <is>
          <t>Burundi</t>
        </is>
      </c>
      <c r="B549" t="inlineStr">
        <is>
          <t>BDI</t>
        </is>
      </c>
      <c r="C549" t="n">
        <v>2013</v>
      </c>
      <c r="D549" t="n">
        <v>7.93795807492418</v>
      </c>
    </row>
    <row r="550">
      <c r="A550" t="inlineStr">
        <is>
          <t>Burundi</t>
        </is>
      </c>
      <c r="B550" t="inlineStr">
        <is>
          <t>BDI</t>
        </is>
      </c>
      <c r="C550" t="n">
        <v>2014</v>
      </c>
      <c r="D550" t="n">
        <v>4.40535234185293</v>
      </c>
    </row>
    <row r="551">
      <c r="A551" t="inlineStr">
        <is>
          <t>Burundi</t>
        </is>
      </c>
      <c r="B551" t="inlineStr">
        <is>
          <t>BDI</t>
        </is>
      </c>
      <c r="C551" t="n">
        <v>2015</v>
      </c>
      <c r="D551" t="n">
        <v>5.54468891259779</v>
      </c>
    </row>
    <row r="552">
      <c r="A552" t="inlineStr">
        <is>
          <t>Burundi</t>
        </is>
      </c>
      <c r="B552" t="inlineStr">
        <is>
          <t>BDI</t>
        </is>
      </c>
      <c r="C552" t="n">
        <v>2016</v>
      </c>
      <c r="D552" t="n">
        <v>5.55768961400965</v>
      </c>
    </row>
    <row r="553">
      <c r="A553" t="inlineStr">
        <is>
          <t>Burundi</t>
        </is>
      </c>
      <c r="B553" t="inlineStr">
        <is>
          <t>BDI</t>
        </is>
      </c>
      <c r="C553" t="n">
        <v>2017</v>
      </c>
      <c r="D553" t="n">
        <v>16.0525353030392</v>
      </c>
    </row>
    <row r="554">
      <c r="A554" t="inlineStr">
        <is>
          <t>Burundi</t>
        </is>
      </c>
      <c r="B554" t="inlineStr">
        <is>
          <t>BDI</t>
        </is>
      </c>
      <c r="C554" t="n">
        <v>2018</v>
      </c>
      <c r="D554" t="n">
        <v>-2.81469807668465</v>
      </c>
    </row>
    <row r="555">
      <c r="A555" t="inlineStr">
        <is>
          <t>Burundi</t>
        </is>
      </c>
      <c r="B555" t="inlineStr">
        <is>
          <t>BDI</t>
        </is>
      </c>
      <c r="C555" t="n">
        <v>2019</v>
      </c>
      <c r="D555" t="n">
        <v>-0.686772170797359</v>
      </c>
    </row>
    <row r="556">
      <c r="A556" t="inlineStr">
        <is>
          <t>Burundi</t>
        </is>
      </c>
      <c r="B556" t="inlineStr">
        <is>
          <t>BDI</t>
        </is>
      </c>
      <c r="C556" t="n">
        <v>2020</v>
      </c>
      <c r="D556" t="n">
        <v>7.32110643415521</v>
      </c>
    </row>
    <row r="557">
      <c r="A557" t="inlineStr">
        <is>
          <t>Burundi</t>
        </is>
      </c>
      <c r="B557" t="inlineStr">
        <is>
          <t>BDI</t>
        </is>
      </c>
      <c r="C557" t="n">
        <v>2021</v>
      </c>
      <c r="D557" t="n">
        <v>8.404538450763409</v>
      </c>
    </row>
    <row r="558">
      <c r="A558" t="inlineStr">
        <is>
          <t>Burundi</t>
        </is>
      </c>
      <c r="B558" t="inlineStr">
        <is>
          <t>BDI</t>
        </is>
      </c>
      <c r="C558" t="n">
        <v>2022</v>
      </c>
      <c r="D558" t="n">
        <v>18.8008786664945</v>
      </c>
    </row>
    <row r="559">
      <c r="A559" t="inlineStr">
        <is>
          <t>Burundi</t>
        </is>
      </c>
      <c r="B559" t="inlineStr">
        <is>
          <t>BDI</t>
        </is>
      </c>
      <c r="C559" t="n">
        <v>2023</v>
      </c>
      <c r="D559" t="n">
        <v>26.9414835762453</v>
      </c>
    </row>
    <row r="560">
      <c r="A560" t="inlineStr">
        <is>
          <t>Burundi</t>
        </is>
      </c>
      <c r="B560" t="inlineStr">
        <is>
          <t>BDI</t>
        </is>
      </c>
      <c r="C560" t="n">
        <v>2024</v>
      </c>
      <c r="D560" t="n">
        <v>20.2124925027847</v>
      </c>
    </row>
    <row r="561">
      <c r="A561" t="inlineStr">
        <is>
          <t>Belgium</t>
        </is>
      </c>
      <c r="B561" t="inlineStr">
        <is>
          <t>BEL</t>
        </is>
      </c>
      <c r="C561" t="n">
        <v>1960</v>
      </c>
      <c r="D561" t="n">
        <v>0.299467254769695</v>
      </c>
    </row>
    <row r="562">
      <c r="A562" t="inlineStr">
        <is>
          <t>Belgium</t>
        </is>
      </c>
      <c r="B562" t="inlineStr">
        <is>
          <t>BEL</t>
        </is>
      </c>
      <c r="C562" t="n">
        <v>1961</v>
      </c>
      <c r="D562" t="n">
        <v>0.9926762607673389</v>
      </c>
    </row>
    <row r="563">
      <c r="A563" t="inlineStr">
        <is>
          <t>Belgium</t>
        </is>
      </c>
      <c r="B563" t="inlineStr">
        <is>
          <t>BEL</t>
        </is>
      </c>
      <c r="C563" t="n">
        <v>1962</v>
      </c>
      <c r="D563" t="n">
        <v>1.40460703543514</v>
      </c>
    </row>
    <row r="564">
      <c r="A564" t="inlineStr">
        <is>
          <t>Belgium</t>
        </is>
      </c>
      <c r="B564" t="inlineStr">
        <is>
          <t>BEL</t>
        </is>
      </c>
      <c r="C564" t="n">
        <v>1963</v>
      </c>
      <c r="D564" t="n">
        <v>2.14800341332202</v>
      </c>
    </row>
    <row r="565">
      <c r="A565" t="inlineStr">
        <is>
          <t>Belgium</t>
        </is>
      </c>
      <c r="B565" t="inlineStr">
        <is>
          <t>BEL</t>
        </is>
      </c>
      <c r="C565" t="n">
        <v>1964</v>
      </c>
      <c r="D565" t="n">
        <v>4.1687605856437</v>
      </c>
    </row>
    <row r="566">
      <c r="A566" t="inlineStr">
        <is>
          <t>Belgium</t>
        </is>
      </c>
      <c r="B566" t="inlineStr">
        <is>
          <t>BEL</t>
        </is>
      </c>
      <c r="C566" t="n">
        <v>1965</v>
      </c>
      <c r="D566" t="n">
        <v>4.06520137474643</v>
      </c>
    </row>
    <row r="567">
      <c r="A567" t="inlineStr">
        <is>
          <t>Belgium</t>
        </is>
      </c>
      <c r="B567" t="inlineStr">
        <is>
          <t>BEL</t>
        </is>
      </c>
      <c r="C567" t="n">
        <v>1966</v>
      </c>
      <c r="D567" t="n">
        <v>4.17434761852995</v>
      </c>
    </row>
    <row r="568">
      <c r="A568" t="inlineStr">
        <is>
          <t>Belgium</t>
        </is>
      </c>
      <c r="B568" t="inlineStr">
        <is>
          <t>BEL</t>
        </is>
      </c>
      <c r="C568" t="n">
        <v>1967</v>
      </c>
      <c r="D568" t="n">
        <v>2.73030268590907</v>
      </c>
    </row>
    <row r="569">
      <c r="A569" t="inlineStr">
        <is>
          <t>Belgium</t>
        </is>
      </c>
      <c r="B569" t="inlineStr">
        <is>
          <t>BEL</t>
        </is>
      </c>
      <c r="C569" t="n">
        <v>1968</v>
      </c>
      <c r="D569" t="n">
        <v>2.70144982931349</v>
      </c>
    </row>
    <row r="570">
      <c r="A570" t="inlineStr">
        <is>
          <t>Belgium</t>
        </is>
      </c>
      <c r="B570" t="inlineStr">
        <is>
          <t>BEL</t>
        </is>
      </c>
      <c r="C570" t="n">
        <v>1969</v>
      </c>
      <c r="D570" t="n">
        <v>3.75399229053284</v>
      </c>
    </row>
    <row r="571">
      <c r="A571" t="inlineStr">
        <is>
          <t>Belgium</t>
        </is>
      </c>
      <c r="B571" t="inlineStr">
        <is>
          <t>BEL</t>
        </is>
      </c>
      <c r="C571" t="n">
        <v>1970</v>
      </c>
      <c r="D571" t="n">
        <v>3.9084723847191</v>
      </c>
    </row>
    <row r="572">
      <c r="A572" t="inlineStr">
        <is>
          <t>Belgium</t>
        </is>
      </c>
      <c r="B572" t="inlineStr">
        <is>
          <t>BEL</t>
        </is>
      </c>
      <c r="C572" t="n">
        <v>1971</v>
      </c>
      <c r="D572" t="n">
        <v>4.34362854612092</v>
      </c>
    </row>
    <row r="573">
      <c r="A573" t="inlineStr">
        <is>
          <t>Belgium</t>
        </is>
      </c>
      <c r="B573" t="inlineStr">
        <is>
          <t>BEL</t>
        </is>
      </c>
      <c r="C573" t="n">
        <v>1972</v>
      </c>
      <c r="D573" t="n">
        <v>5.44843128438085</v>
      </c>
    </row>
    <row r="574">
      <c r="A574" t="inlineStr">
        <is>
          <t>Belgium</t>
        </is>
      </c>
      <c r="B574" t="inlineStr">
        <is>
          <t>BEL</t>
        </is>
      </c>
      <c r="C574" t="n">
        <v>1973</v>
      </c>
      <c r="D574" t="n">
        <v>6.95528008719914</v>
      </c>
    </row>
    <row r="575">
      <c r="A575" t="inlineStr">
        <is>
          <t>Belgium</t>
        </is>
      </c>
      <c r="B575" t="inlineStr">
        <is>
          <t>BEL</t>
        </is>
      </c>
      <c r="C575" t="n">
        <v>1974</v>
      </c>
      <c r="D575" t="n">
        <v>12.6778877513452</v>
      </c>
    </row>
    <row r="576">
      <c r="A576" t="inlineStr">
        <is>
          <t>Belgium</t>
        </is>
      </c>
      <c r="B576" t="inlineStr">
        <is>
          <t>BEL</t>
        </is>
      </c>
      <c r="C576" t="n">
        <v>1975</v>
      </c>
      <c r="D576" t="n">
        <v>12.7681985920515</v>
      </c>
    </row>
    <row r="577">
      <c r="A577" t="inlineStr">
        <is>
          <t>Belgium</t>
        </is>
      </c>
      <c r="B577" t="inlineStr">
        <is>
          <t>BEL</t>
        </is>
      </c>
      <c r="C577" t="n">
        <v>1976</v>
      </c>
      <c r="D577" t="n">
        <v>9.068609810549679</v>
      </c>
    </row>
    <row r="578">
      <c r="A578" t="inlineStr">
        <is>
          <t>Belgium</t>
        </is>
      </c>
      <c r="B578" t="inlineStr">
        <is>
          <t>BEL</t>
        </is>
      </c>
      <c r="C578" t="n">
        <v>1977</v>
      </c>
      <c r="D578" t="n">
        <v>7.09600059132598</v>
      </c>
    </row>
    <row r="579">
      <c r="A579" t="inlineStr">
        <is>
          <t>Belgium</t>
        </is>
      </c>
      <c r="B579" t="inlineStr">
        <is>
          <t>BEL</t>
        </is>
      </c>
      <c r="C579" t="n">
        <v>1978</v>
      </c>
      <c r="D579" t="n">
        <v>4.47059331592944</v>
      </c>
    </row>
    <row r="580">
      <c r="A580" t="inlineStr">
        <is>
          <t>Belgium</t>
        </is>
      </c>
      <c r="B580" t="inlineStr">
        <is>
          <t>BEL</t>
        </is>
      </c>
      <c r="C580" t="n">
        <v>1979</v>
      </c>
      <c r="D580" t="n">
        <v>4.46908394900479</v>
      </c>
    </row>
    <row r="581">
      <c r="A581" t="inlineStr">
        <is>
          <t>Belgium</t>
        </is>
      </c>
      <c r="B581" t="inlineStr">
        <is>
          <t>BEL</t>
        </is>
      </c>
      <c r="C581" t="n">
        <v>1980</v>
      </c>
      <c r="D581" t="n">
        <v>6.64868829655356</v>
      </c>
    </row>
    <row r="582">
      <c r="A582" t="inlineStr">
        <is>
          <t>Belgium</t>
        </is>
      </c>
      <c r="B582" t="inlineStr">
        <is>
          <t>BEL</t>
        </is>
      </c>
      <c r="C582" t="n">
        <v>1981</v>
      </c>
      <c r="D582" t="n">
        <v>7.62748656814276</v>
      </c>
    </row>
    <row r="583">
      <c r="A583" t="inlineStr">
        <is>
          <t>Belgium</t>
        </is>
      </c>
      <c r="B583" t="inlineStr">
        <is>
          <t>BEL</t>
        </is>
      </c>
      <c r="C583" t="n">
        <v>1982</v>
      </c>
      <c r="D583" t="n">
        <v>8.726549065554689</v>
      </c>
    </row>
    <row r="584">
      <c r="A584" t="inlineStr">
        <is>
          <t>Belgium</t>
        </is>
      </c>
      <c r="B584" t="inlineStr">
        <is>
          <t>BEL</t>
        </is>
      </c>
      <c r="C584" t="n">
        <v>1983</v>
      </c>
      <c r="D584" t="n">
        <v>7.66160983743883</v>
      </c>
    </row>
    <row r="585">
      <c r="A585" t="inlineStr">
        <is>
          <t>Belgium</t>
        </is>
      </c>
      <c r="B585" t="inlineStr">
        <is>
          <t>BEL</t>
        </is>
      </c>
      <c r="C585" t="n">
        <v>1984</v>
      </c>
      <c r="D585" t="n">
        <v>6.34177491009126</v>
      </c>
    </row>
    <row r="586">
      <c r="A586" t="inlineStr">
        <is>
          <t>Belgium</t>
        </is>
      </c>
      <c r="B586" t="inlineStr">
        <is>
          <t>BEL</t>
        </is>
      </c>
      <c r="C586" t="n">
        <v>1985</v>
      </c>
      <c r="D586" t="n">
        <v>4.86873399496944</v>
      </c>
    </row>
    <row r="587">
      <c r="A587" t="inlineStr">
        <is>
          <t>Belgium</t>
        </is>
      </c>
      <c r="B587" t="inlineStr">
        <is>
          <t>BEL</t>
        </is>
      </c>
      <c r="C587" t="n">
        <v>1986</v>
      </c>
      <c r="D587" t="n">
        <v>1.2943681910248</v>
      </c>
    </row>
    <row r="588">
      <c r="A588" t="inlineStr">
        <is>
          <t>Belgium</t>
        </is>
      </c>
      <c r="B588" t="inlineStr">
        <is>
          <t>BEL</t>
        </is>
      </c>
      <c r="C588" t="n">
        <v>1987</v>
      </c>
      <c r="D588" t="n">
        <v>1.55338261314948</v>
      </c>
    </row>
    <row r="589">
      <c r="A589" t="inlineStr">
        <is>
          <t>Belgium</t>
        </is>
      </c>
      <c r="B589" t="inlineStr">
        <is>
          <t>BEL</t>
        </is>
      </c>
      <c r="C589" t="n">
        <v>1988</v>
      </c>
      <c r="D589" t="n">
        <v>1.16093493415325</v>
      </c>
    </row>
    <row r="590">
      <c r="A590" t="inlineStr">
        <is>
          <t>Belgium</t>
        </is>
      </c>
      <c r="B590" t="inlineStr">
        <is>
          <t>BEL</t>
        </is>
      </c>
      <c r="C590" t="n">
        <v>1989</v>
      </c>
      <c r="D590" t="n">
        <v>3.10705065111094</v>
      </c>
    </row>
    <row r="591">
      <c r="A591" t="inlineStr">
        <is>
          <t>Belgium</t>
        </is>
      </c>
      <c r="B591" t="inlineStr">
        <is>
          <t>BEL</t>
        </is>
      </c>
      <c r="C591" t="n">
        <v>1990</v>
      </c>
      <c r="D591" t="n">
        <v>3.44831217961808</v>
      </c>
    </row>
    <row r="592">
      <c r="A592" t="inlineStr">
        <is>
          <t>Belgium</t>
        </is>
      </c>
      <c r="B592" t="inlineStr">
        <is>
          <t>BEL</t>
        </is>
      </c>
      <c r="C592" t="n">
        <v>1991</v>
      </c>
      <c r="D592" t="n">
        <v>3.2153106926081</v>
      </c>
    </row>
    <row r="593">
      <c r="A593" t="inlineStr">
        <is>
          <t>Belgium</t>
        </is>
      </c>
      <c r="B593" t="inlineStr">
        <is>
          <t>BEL</t>
        </is>
      </c>
      <c r="C593" t="n">
        <v>1992</v>
      </c>
      <c r="D593" t="n">
        <v>2.42795567164615</v>
      </c>
    </row>
    <row r="594">
      <c r="A594" t="inlineStr">
        <is>
          <t>Belgium</t>
        </is>
      </c>
      <c r="B594" t="inlineStr">
        <is>
          <t>BEL</t>
        </is>
      </c>
      <c r="C594" t="n">
        <v>1993</v>
      </c>
      <c r="D594" t="n">
        <v>2.75442643473461</v>
      </c>
    </row>
    <row r="595">
      <c r="A595" t="inlineStr">
        <is>
          <t>Belgium</t>
        </is>
      </c>
      <c r="B595" t="inlineStr">
        <is>
          <t>BEL</t>
        </is>
      </c>
      <c r="C595" t="n">
        <v>1994</v>
      </c>
      <c r="D595" t="n">
        <v>2.37754084476398</v>
      </c>
    </row>
    <row r="596">
      <c r="A596" t="inlineStr">
        <is>
          <t>Belgium</t>
        </is>
      </c>
      <c r="B596" t="inlineStr">
        <is>
          <t>BEL</t>
        </is>
      </c>
      <c r="C596" t="n">
        <v>1995</v>
      </c>
      <c r="D596" t="n">
        <v>1.46796699090272</v>
      </c>
    </row>
    <row r="597">
      <c r="A597" t="inlineStr">
        <is>
          <t>Belgium</t>
        </is>
      </c>
      <c r="B597" t="inlineStr">
        <is>
          <t>BEL</t>
        </is>
      </c>
      <c r="C597" t="n">
        <v>1996</v>
      </c>
      <c r="D597" t="n">
        <v>2.07702107350674</v>
      </c>
    </row>
    <row r="598">
      <c r="A598" t="inlineStr">
        <is>
          <t>Belgium</t>
        </is>
      </c>
      <c r="B598" t="inlineStr">
        <is>
          <t>BEL</t>
        </is>
      </c>
      <c r="C598" t="n">
        <v>1997</v>
      </c>
      <c r="D598" t="n">
        <v>1.62816049512958</v>
      </c>
    </row>
    <row r="599">
      <c r="A599" t="inlineStr">
        <is>
          <t>Belgium</t>
        </is>
      </c>
      <c r="B599" t="inlineStr">
        <is>
          <t>BEL</t>
        </is>
      </c>
      <c r="C599" t="n">
        <v>1998</v>
      </c>
      <c r="D599" t="n">
        <v>0.94925028835061</v>
      </c>
    </row>
    <row r="600">
      <c r="A600" t="inlineStr">
        <is>
          <t>Belgium</t>
        </is>
      </c>
      <c r="B600" t="inlineStr">
        <is>
          <t>BEL</t>
        </is>
      </c>
      <c r="C600" t="n">
        <v>1999</v>
      </c>
      <c r="D600" t="n">
        <v>1.12084823417845</v>
      </c>
    </row>
    <row r="601">
      <c r="A601" t="inlineStr">
        <is>
          <t>Belgium</t>
        </is>
      </c>
      <c r="B601" t="inlineStr">
        <is>
          <t>BEL</t>
        </is>
      </c>
      <c r="C601" t="n">
        <v>2000</v>
      </c>
      <c r="D601" t="n">
        <v>2.54451776190908</v>
      </c>
    </row>
    <row r="602">
      <c r="A602" t="inlineStr">
        <is>
          <t>Belgium</t>
        </is>
      </c>
      <c r="B602" t="inlineStr">
        <is>
          <t>BEL</t>
        </is>
      </c>
      <c r="C602" t="n">
        <v>2001</v>
      </c>
      <c r="D602" t="n">
        <v>2.46925823086078</v>
      </c>
    </row>
    <row r="603">
      <c r="A603" t="inlineStr">
        <is>
          <t>Belgium</t>
        </is>
      </c>
      <c r="B603" t="inlineStr">
        <is>
          <t>BEL</t>
        </is>
      </c>
      <c r="C603" t="n">
        <v>2002</v>
      </c>
      <c r="D603" t="n">
        <v>1.64521436175357</v>
      </c>
    </row>
    <row r="604">
      <c r="A604" t="inlineStr">
        <is>
          <t>Belgium</t>
        </is>
      </c>
      <c r="B604" t="inlineStr">
        <is>
          <t>BEL</t>
        </is>
      </c>
      <c r="C604" t="n">
        <v>2003</v>
      </c>
      <c r="D604" t="n">
        <v>1.5889639997038</v>
      </c>
    </row>
    <row r="605">
      <c r="A605" t="inlineStr">
        <is>
          <t>Belgium</t>
        </is>
      </c>
      <c r="B605" t="inlineStr">
        <is>
          <t>BEL</t>
        </is>
      </c>
      <c r="C605" t="n">
        <v>2004</v>
      </c>
      <c r="D605" t="n">
        <v>2.09728311239314</v>
      </c>
    </row>
    <row r="606">
      <c r="A606" t="inlineStr">
        <is>
          <t>Belgium</t>
        </is>
      </c>
      <c r="B606" t="inlineStr">
        <is>
          <t>BEL</t>
        </is>
      </c>
      <c r="C606" t="n">
        <v>2005</v>
      </c>
      <c r="D606" t="n">
        <v>2.78143263670022</v>
      </c>
    </row>
    <row r="607">
      <c r="A607" t="inlineStr">
        <is>
          <t>Belgium</t>
        </is>
      </c>
      <c r="B607" t="inlineStr">
        <is>
          <t>BEL</t>
        </is>
      </c>
      <c r="C607" t="n">
        <v>2006</v>
      </c>
      <c r="D607" t="n">
        <v>1.7912077007046</v>
      </c>
    </row>
    <row r="608">
      <c r="A608" t="inlineStr">
        <is>
          <t>Belgium</t>
        </is>
      </c>
      <c r="B608" t="inlineStr">
        <is>
          <t>BEL</t>
        </is>
      </c>
      <c r="C608" t="n">
        <v>2007</v>
      </c>
      <c r="D608" t="n">
        <v>1.82305630026808</v>
      </c>
    </row>
    <row r="609">
      <c r="A609" t="inlineStr">
        <is>
          <t>Belgium</t>
        </is>
      </c>
      <c r="B609" t="inlineStr">
        <is>
          <t>BEL</t>
        </is>
      </c>
      <c r="C609" t="n">
        <v>2008</v>
      </c>
      <c r="D609" t="n">
        <v>4.48944420508401</v>
      </c>
    </row>
    <row r="610">
      <c r="A610" t="inlineStr">
        <is>
          <t>Belgium</t>
        </is>
      </c>
      <c r="B610" t="inlineStr">
        <is>
          <t>BEL</t>
        </is>
      </c>
      <c r="C610" t="n">
        <v>2009</v>
      </c>
      <c r="D610" t="n">
        <v>-0.0531456741253769</v>
      </c>
    </row>
    <row r="611">
      <c r="A611" t="inlineStr">
        <is>
          <t>Belgium</t>
        </is>
      </c>
      <c r="B611" t="inlineStr">
        <is>
          <t>BEL</t>
        </is>
      </c>
      <c r="C611" t="n">
        <v>2010</v>
      </c>
      <c r="D611" t="n">
        <v>2.18929920422457</v>
      </c>
    </row>
    <row r="612">
      <c r="A612" t="inlineStr">
        <is>
          <t>Belgium</t>
        </is>
      </c>
      <c r="B612" t="inlineStr">
        <is>
          <t>BEL</t>
        </is>
      </c>
      <c r="C612" t="n">
        <v>2011</v>
      </c>
      <c r="D612" t="n">
        <v>3.53208210722742</v>
      </c>
    </row>
    <row r="613">
      <c r="A613" t="inlineStr">
        <is>
          <t>Belgium</t>
        </is>
      </c>
      <c r="B613" t="inlineStr">
        <is>
          <t>BEL</t>
        </is>
      </c>
      <c r="C613" t="n">
        <v>2012</v>
      </c>
      <c r="D613" t="n">
        <v>2.83966343445899</v>
      </c>
    </row>
    <row r="614">
      <c r="A614" t="inlineStr">
        <is>
          <t>Belgium</t>
        </is>
      </c>
      <c r="B614" t="inlineStr">
        <is>
          <t>BEL</t>
        </is>
      </c>
      <c r="C614" t="n">
        <v>2013</v>
      </c>
      <c r="D614" t="n">
        <v>1.1130959402754</v>
      </c>
    </row>
    <row r="615">
      <c r="A615" t="inlineStr">
        <is>
          <t>Belgium</t>
        </is>
      </c>
      <c r="B615" t="inlineStr">
        <is>
          <t>BEL</t>
        </is>
      </c>
      <c r="C615" t="n">
        <v>2014</v>
      </c>
      <c r="D615" t="n">
        <v>0.340002833356922</v>
      </c>
    </row>
    <row r="616">
      <c r="A616" t="inlineStr">
        <is>
          <t>Belgium</t>
        </is>
      </c>
      <c r="B616" t="inlineStr">
        <is>
          <t>BEL</t>
        </is>
      </c>
      <c r="C616" t="n">
        <v>2015</v>
      </c>
      <c r="D616" t="n">
        <v>0.561429152790065</v>
      </c>
    </row>
    <row r="617">
      <c r="A617" t="inlineStr">
        <is>
          <t>Belgium</t>
        </is>
      </c>
      <c r="B617" t="inlineStr">
        <is>
          <t>BEL</t>
        </is>
      </c>
      <c r="C617" t="n">
        <v>2016</v>
      </c>
      <c r="D617" t="n">
        <v>1.97385264653181</v>
      </c>
    </row>
    <row r="618">
      <c r="A618" t="inlineStr">
        <is>
          <t>Belgium</t>
        </is>
      </c>
      <c r="B618" t="inlineStr">
        <is>
          <t>BEL</t>
        </is>
      </c>
      <c r="C618" t="n">
        <v>2017</v>
      </c>
      <c r="D618" t="n">
        <v>2.12597086002607</v>
      </c>
    </row>
    <row r="619">
      <c r="A619" t="inlineStr">
        <is>
          <t>Belgium</t>
        </is>
      </c>
      <c r="B619" t="inlineStr">
        <is>
          <t>BEL</t>
        </is>
      </c>
      <c r="C619" t="n">
        <v>2018</v>
      </c>
      <c r="D619" t="n">
        <v>2.05316499865186</v>
      </c>
    </row>
    <row r="620">
      <c r="A620" t="inlineStr">
        <is>
          <t>Belgium</t>
        </is>
      </c>
      <c r="B620" t="inlineStr">
        <is>
          <t>BEL</t>
        </is>
      </c>
      <c r="C620" t="n">
        <v>2019</v>
      </c>
      <c r="D620" t="n">
        <v>1.43681956996429</v>
      </c>
    </row>
    <row r="621">
      <c r="A621" t="inlineStr">
        <is>
          <t>Belgium</t>
        </is>
      </c>
      <c r="B621" t="inlineStr">
        <is>
          <t>BEL</t>
        </is>
      </c>
      <c r="C621" t="n">
        <v>2020</v>
      </c>
      <c r="D621" t="n">
        <v>0.740791812220344</v>
      </c>
    </row>
    <row r="622">
      <c r="A622" t="inlineStr">
        <is>
          <t>Belgium</t>
        </is>
      </c>
      <c r="B622" t="inlineStr">
        <is>
          <t>BEL</t>
        </is>
      </c>
      <c r="C622" t="n">
        <v>2021</v>
      </c>
      <c r="D622" t="n">
        <v>2.44024851144084</v>
      </c>
    </row>
    <row r="623">
      <c r="A623" t="inlineStr">
        <is>
          <t>Belgium</t>
        </is>
      </c>
      <c r="B623" t="inlineStr">
        <is>
          <t>BEL</t>
        </is>
      </c>
      <c r="C623" t="n">
        <v>2022</v>
      </c>
      <c r="D623" t="n">
        <v>9.597511728724999</v>
      </c>
    </row>
    <row r="624">
      <c r="A624" t="inlineStr">
        <is>
          <t>Belgium</t>
        </is>
      </c>
      <c r="B624" t="inlineStr">
        <is>
          <t>BEL</t>
        </is>
      </c>
      <c r="C624" t="n">
        <v>2023</v>
      </c>
      <c r="D624" t="n">
        <v>4.04901077613941</v>
      </c>
    </row>
    <row r="625">
      <c r="A625" t="inlineStr">
        <is>
          <t>Belgium</t>
        </is>
      </c>
      <c r="B625" t="inlineStr">
        <is>
          <t>BEL</t>
        </is>
      </c>
      <c r="C625" t="n">
        <v>2024</v>
      </c>
      <c r="D625" t="n">
        <v>3.14349136500041</v>
      </c>
    </row>
    <row r="626">
      <c r="A626" t="inlineStr">
        <is>
          <t>Benin</t>
        </is>
      </c>
      <c r="B626" t="inlineStr">
        <is>
          <t>BEN</t>
        </is>
      </c>
      <c r="C626" t="n">
        <v>1993</v>
      </c>
      <c r="D626" t="n">
        <v>0.440599214931768</v>
      </c>
    </row>
    <row r="627">
      <c r="A627" t="inlineStr">
        <is>
          <t>Benin</t>
        </is>
      </c>
      <c r="B627" t="inlineStr">
        <is>
          <t>BEN</t>
        </is>
      </c>
      <c r="C627" t="n">
        <v>1994</v>
      </c>
      <c r="D627" t="n">
        <v>38.5308661668538</v>
      </c>
    </row>
    <row r="628">
      <c r="A628" t="inlineStr">
        <is>
          <t>Benin</t>
        </is>
      </c>
      <c r="B628" t="inlineStr">
        <is>
          <t>BEN</t>
        </is>
      </c>
      <c r="C628" t="n">
        <v>1995</v>
      </c>
      <c r="D628" t="n">
        <v>14.4625482180894</v>
      </c>
    </row>
    <row r="629">
      <c r="A629" t="inlineStr">
        <is>
          <t>Benin</t>
        </is>
      </c>
      <c r="B629" t="inlineStr">
        <is>
          <t>BEN</t>
        </is>
      </c>
      <c r="C629" t="n">
        <v>1996</v>
      </c>
      <c r="D629" t="n">
        <v>4.914239726372</v>
      </c>
    </row>
    <row r="630">
      <c r="A630" t="inlineStr">
        <is>
          <t>Benin</t>
        </is>
      </c>
      <c r="B630" t="inlineStr">
        <is>
          <t>BEN</t>
        </is>
      </c>
      <c r="C630" t="n">
        <v>1997</v>
      </c>
      <c r="D630" t="n">
        <v>3.46629590564778</v>
      </c>
    </row>
    <row r="631">
      <c r="A631" t="inlineStr">
        <is>
          <t>Benin</t>
        </is>
      </c>
      <c r="B631" t="inlineStr">
        <is>
          <t>BEN</t>
        </is>
      </c>
      <c r="C631" t="n">
        <v>1998</v>
      </c>
      <c r="D631" t="n">
        <v>5.75331458417063</v>
      </c>
    </row>
    <row r="632">
      <c r="A632" t="inlineStr">
        <is>
          <t>Benin</t>
        </is>
      </c>
      <c r="B632" t="inlineStr">
        <is>
          <t>BEN</t>
        </is>
      </c>
      <c r="C632" t="n">
        <v>1999</v>
      </c>
      <c r="D632" t="n">
        <v>0.326722893396852</v>
      </c>
    </row>
    <row r="633">
      <c r="A633" t="inlineStr">
        <is>
          <t>Benin</t>
        </is>
      </c>
      <c r="B633" t="inlineStr">
        <is>
          <t>BEN</t>
        </is>
      </c>
      <c r="C633" t="n">
        <v>2000</v>
      </c>
      <c r="D633" t="n">
        <v>4.16540442290284</v>
      </c>
    </row>
    <row r="634">
      <c r="A634" t="inlineStr">
        <is>
          <t>Benin</t>
        </is>
      </c>
      <c r="B634" t="inlineStr">
        <is>
          <t>BEN</t>
        </is>
      </c>
      <c r="C634" t="n">
        <v>2001</v>
      </c>
      <c r="D634" t="n">
        <v>3.98429547767891</v>
      </c>
    </row>
    <row r="635">
      <c r="A635" t="inlineStr">
        <is>
          <t>Benin</t>
        </is>
      </c>
      <c r="B635" t="inlineStr">
        <is>
          <t>BEN</t>
        </is>
      </c>
      <c r="C635" t="n">
        <v>2002</v>
      </c>
      <c r="D635" t="n">
        <v>2.48916235491542</v>
      </c>
    </row>
    <row r="636">
      <c r="A636" t="inlineStr">
        <is>
          <t>Benin</t>
        </is>
      </c>
      <c r="B636" t="inlineStr">
        <is>
          <t>BEN</t>
        </is>
      </c>
      <c r="C636" t="n">
        <v>2003</v>
      </c>
      <c r="D636" t="n">
        <v>1.48724246145442</v>
      </c>
    </row>
    <row r="637">
      <c r="A637" t="inlineStr">
        <is>
          <t>Benin</t>
        </is>
      </c>
      <c r="B637" t="inlineStr">
        <is>
          <t>BEN</t>
        </is>
      </c>
      <c r="C637" t="n">
        <v>2004</v>
      </c>
      <c r="D637" t="n">
        <v>0.873890830868488</v>
      </c>
    </row>
    <row r="638">
      <c r="A638" t="inlineStr">
        <is>
          <t>Benin</t>
        </is>
      </c>
      <c r="B638" t="inlineStr">
        <is>
          <t>BEN</t>
        </is>
      </c>
      <c r="C638" t="n">
        <v>2005</v>
      </c>
      <c r="D638" t="n">
        <v>5.36452085832343</v>
      </c>
    </row>
    <row r="639">
      <c r="A639" t="inlineStr">
        <is>
          <t>Benin</t>
        </is>
      </c>
      <c r="B639" t="inlineStr">
        <is>
          <t>BEN</t>
        </is>
      </c>
      <c r="C639" t="n">
        <v>2006</v>
      </c>
      <c r="D639" t="n">
        <v>3.78217696540376</v>
      </c>
    </row>
    <row r="640">
      <c r="A640" t="inlineStr">
        <is>
          <t>Benin</t>
        </is>
      </c>
      <c r="B640" t="inlineStr">
        <is>
          <t>BEN</t>
        </is>
      </c>
      <c r="C640" t="n">
        <v>2007</v>
      </c>
      <c r="D640" t="n">
        <v>1.2980681333415</v>
      </c>
    </row>
    <row r="641">
      <c r="A641" t="inlineStr">
        <is>
          <t>Benin</t>
        </is>
      </c>
      <c r="B641" t="inlineStr">
        <is>
          <t>BEN</t>
        </is>
      </c>
      <c r="C641" t="n">
        <v>2008</v>
      </c>
      <c r="D641" t="n">
        <v>7.94729876067862</v>
      </c>
    </row>
    <row r="642">
      <c r="A642" t="inlineStr">
        <is>
          <t>Benin</t>
        </is>
      </c>
      <c r="B642" t="inlineStr">
        <is>
          <t>BEN</t>
        </is>
      </c>
      <c r="C642" t="n">
        <v>2009</v>
      </c>
      <c r="D642" t="n">
        <v>0.896072355749111</v>
      </c>
    </row>
    <row r="643">
      <c r="A643" t="inlineStr">
        <is>
          <t>Benin</t>
        </is>
      </c>
      <c r="B643" t="inlineStr">
        <is>
          <t>BEN</t>
        </is>
      </c>
      <c r="C643" t="n">
        <v>2010</v>
      </c>
      <c r="D643" t="n">
        <v>2.20783532536523</v>
      </c>
    </row>
    <row r="644">
      <c r="A644" t="inlineStr">
        <is>
          <t>Benin</t>
        </is>
      </c>
      <c r="B644" t="inlineStr">
        <is>
          <t>BEN</t>
        </is>
      </c>
      <c r="C644" t="n">
        <v>2011</v>
      </c>
      <c r="D644" t="n">
        <v>2.7042390774728</v>
      </c>
    </row>
    <row r="645">
      <c r="A645" t="inlineStr">
        <is>
          <t>Benin</t>
        </is>
      </c>
      <c r="B645" t="inlineStr">
        <is>
          <t>BEN</t>
        </is>
      </c>
      <c r="C645" t="n">
        <v>2012</v>
      </c>
      <c r="D645" t="n">
        <v>6.74468253340712</v>
      </c>
    </row>
    <row r="646">
      <c r="A646" t="inlineStr">
        <is>
          <t>Benin</t>
        </is>
      </c>
      <c r="B646" t="inlineStr">
        <is>
          <t>BEN</t>
        </is>
      </c>
      <c r="C646" t="n">
        <v>2013</v>
      </c>
      <c r="D646" t="n">
        <v>0.428888888888792</v>
      </c>
    </row>
    <row r="647">
      <c r="A647" t="inlineStr">
        <is>
          <t>Benin</t>
        </is>
      </c>
      <c r="B647" t="inlineStr">
        <is>
          <t>BEN</t>
        </is>
      </c>
      <c r="C647" t="n">
        <v>2014</v>
      </c>
      <c r="D647" t="n">
        <v>-0.548757550948091</v>
      </c>
    </row>
    <row r="648">
      <c r="A648" t="inlineStr">
        <is>
          <t>Benin</t>
        </is>
      </c>
      <c r="B648" t="inlineStr">
        <is>
          <t>BEN</t>
        </is>
      </c>
      <c r="C648" t="n">
        <v>2015</v>
      </c>
      <c r="D648" t="n">
        <v>0.218785923536154</v>
      </c>
    </row>
    <row r="649">
      <c r="A649" t="inlineStr">
        <is>
          <t>Benin</t>
        </is>
      </c>
      <c r="B649" t="inlineStr">
        <is>
          <t>BEN</t>
        </is>
      </c>
      <c r="C649" t="n">
        <v>2016</v>
      </c>
      <c r="D649" t="n">
        <v>-0.793310145785534</v>
      </c>
    </row>
    <row r="650">
      <c r="A650" t="inlineStr">
        <is>
          <t>Benin</t>
        </is>
      </c>
      <c r="B650" t="inlineStr">
        <is>
          <t>BEN</t>
        </is>
      </c>
      <c r="C650" t="n">
        <v>2017</v>
      </c>
      <c r="D650" t="n">
        <v>0.0432648555103608</v>
      </c>
    </row>
    <row r="651">
      <c r="A651" t="inlineStr">
        <is>
          <t>Benin</t>
        </is>
      </c>
      <c r="B651" t="inlineStr">
        <is>
          <t>BEN</t>
        </is>
      </c>
      <c r="C651" t="n">
        <v>2018</v>
      </c>
      <c r="D651" t="n">
        <v>0.919170717886054</v>
      </c>
    </row>
    <row r="652">
      <c r="A652" t="inlineStr">
        <is>
          <t>Benin</t>
        </is>
      </c>
      <c r="B652" t="inlineStr">
        <is>
          <t>BEN</t>
        </is>
      </c>
      <c r="C652" t="n">
        <v>2019</v>
      </c>
      <c r="D652" t="n">
        <v>0.732849371240975</v>
      </c>
    </row>
    <row r="653">
      <c r="A653" t="inlineStr">
        <is>
          <t>Benin</t>
        </is>
      </c>
      <c r="B653" t="inlineStr">
        <is>
          <t>BEN</t>
        </is>
      </c>
      <c r="C653" t="n">
        <v>2020</v>
      </c>
      <c r="D653" t="n">
        <v>3.02272119663769</v>
      </c>
    </row>
    <row r="654">
      <c r="A654" t="inlineStr">
        <is>
          <t>Benin</t>
        </is>
      </c>
      <c r="B654" t="inlineStr">
        <is>
          <t>BEN</t>
        </is>
      </c>
      <c r="C654" t="n">
        <v>2021</v>
      </c>
      <c r="D654" t="n">
        <v>1.73353962694036</v>
      </c>
    </row>
    <row r="655">
      <c r="A655" t="inlineStr">
        <is>
          <t>Benin</t>
        </is>
      </c>
      <c r="B655" t="inlineStr">
        <is>
          <t>BEN</t>
        </is>
      </c>
      <c r="C655" t="n">
        <v>2022</v>
      </c>
      <c r="D655" t="n">
        <v>1.35077863583527</v>
      </c>
    </row>
    <row r="656">
      <c r="A656" t="inlineStr">
        <is>
          <t>Benin</t>
        </is>
      </c>
      <c r="B656" t="inlineStr">
        <is>
          <t>BEN</t>
        </is>
      </c>
      <c r="C656" t="n">
        <v>2023</v>
      </c>
      <c r="D656" t="n">
        <v>2.73102465280233</v>
      </c>
    </row>
    <row r="657">
      <c r="A657" t="inlineStr">
        <is>
          <t>Burkina Faso</t>
        </is>
      </c>
      <c r="B657" t="inlineStr">
        <is>
          <t>BFA</t>
        </is>
      </c>
      <c r="C657" t="n">
        <v>1960</v>
      </c>
      <c r="D657" t="n">
        <v>7.78816199376884</v>
      </c>
    </row>
    <row r="658">
      <c r="A658" t="inlineStr">
        <is>
          <t>Burkina Faso</t>
        </is>
      </c>
      <c r="B658" t="inlineStr">
        <is>
          <t>BFA</t>
        </is>
      </c>
      <c r="C658" t="n">
        <v>1961</v>
      </c>
      <c r="D658" t="n">
        <v>18.5621387281079</v>
      </c>
    </row>
    <row r="659">
      <c r="A659" t="inlineStr">
        <is>
          <t>Burkina Faso</t>
        </is>
      </c>
      <c r="B659" t="inlineStr">
        <is>
          <t>BFA</t>
        </is>
      </c>
      <c r="C659" t="n">
        <v>1962</v>
      </c>
      <c r="D659" t="n">
        <v>1.67590956140175</v>
      </c>
    </row>
    <row r="660">
      <c r="A660" t="inlineStr">
        <is>
          <t>Burkina Faso</t>
        </is>
      </c>
      <c r="B660" t="inlineStr">
        <is>
          <t>BFA</t>
        </is>
      </c>
      <c r="C660" t="n">
        <v>1963</v>
      </c>
      <c r="D660" t="n">
        <v>5.57420282915096</v>
      </c>
    </row>
    <row r="661">
      <c r="A661" t="inlineStr">
        <is>
          <t>Burkina Faso</t>
        </is>
      </c>
      <c r="B661" t="inlineStr">
        <is>
          <t>BFA</t>
        </is>
      </c>
      <c r="C661" t="n">
        <v>1964</v>
      </c>
      <c r="D661" t="n">
        <v>1.84512319774997</v>
      </c>
    </row>
    <row r="662">
      <c r="A662" t="inlineStr">
        <is>
          <t>Burkina Faso</t>
        </is>
      </c>
      <c r="B662" t="inlineStr">
        <is>
          <t>BFA</t>
        </is>
      </c>
      <c r="C662" t="n">
        <v>1965</v>
      </c>
      <c r="D662" t="n">
        <v>-0.7302525226614039</v>
      </c>
    </row>
    <row r="663">
      <c r="A663" t="inlineStr">
        <is>
          <t>Burkina Faso</t>
        </is>
      </c>
      <c r="B663" t="inlineStr">
        <is>
          <t>BFA</t>
        </is>
      </c>
      <c r="C663" t="n">
        <v>1966</v>
      </c>
      <c r="D663" t="n">
        <v>2.36410601983339</v>
      </c>
    </row>
    <row r="664">
      <c r="A664" t="inlineStr">
        <is>
          <t>Burkina Faso</t>
        </is>
      </c>
      <c r="B664" t="inlineStr">
        <is>
          <t>BFA</t>
        </is>
      </c>
      <c r="C664" t="n">
        <v>1967</v>
      </c>
      <c r="D664" t="n">
        <v>-4.33375390856906</v>
      </c>
    </row>
    <row r="665">
      <c r="A665" t="inlineStr">
        <is>
          <t>Burkina Faso</t>
        </is>
      </c>
      <c r="B665" t="inlineStr">
        <is>
          <t>BFA</t>
        </is>
      </c>
      <c r="C665" t="n">
        <v>1968</v>
      </c>
      <c r="D665" t="n">
        <v>-0.28671368777001</v>
      </c>
    </row>
    <row r="666">
      <c r="A666" t="inlineStr">
        <is>
          <t>Burkina Faso</t>
        </is>
      </c>
      <c r="B666" t="inlineStr">
        <is>
          <t>BFA</t>
        </is>
      </c>
      <c r="C666" t="n">
        <v>1969</v>
      </c>
      <c r="D666" t="n">
        <v>9.65552935762118</v>
      </c>
    </row>
    <row r="667">
      <c r="A667" t="inlineStr">
        <is>
          <t>Burkina Faso</t>
        </is>
      </c>
      <c r="B667" t="inlineStr">
        <is>
          <t>BFA</t>
        </is>
      </c>
      <c r="C667" t="n">
        <v>1970</v>
      </c>
      <c r="D667" t="n">
        <v>1.77260331451337</v>
      </c>
    </row>
    <row r="668">
      <c r="A668" t="inlineStr">
        <is>
          <t>Burkina Faso</t>
        </is>
      </c>
      <c r="B668" t="inlineStr">
        <is>
          <t>BFA</t>
        </is>
      </c>
      <c r="C668" t="n">
        <v>1971</v>
      </c>
      <c r="D668" t="n">
        <v>2.06121817995229</v>
      </c>
    </row>
    <row r="669">
      <c r="A669" t="inlineStr">
        <is>
          <t>Burkina Faso</t>
        </is>
      </c>
      <c r="B669" t="inlineStr">
        <is>
          <t>BFA</t>
        </is>
      </c>
      <c r="C669" t="n">
        <v>1972</v>
      </c>
      <c r="D669" t="n">
        <v>-2.92335655867958</v>
      </c>
    </row>
    <row r="670">
      <c r="A670" t="inlineStr">
        <is>
          <t>Burkina Faso</t>
        </is>
      </c>
      <c r="B670" t="inlineStr">
        <is>
          <t>BFA</t>
        </is>
      </c>
      <c r="C670" t="n">
        <v>1973</v>
      </c>
      <c r="D670" t="n">
        <v>7.60389036254305</v>
      </c>
    </row>
    <row r="671">
      <c r="A671" t="inlineStr">
        <is>
          <t>Burkina Faso</t>
        </is>
      </c>
      <c r="B671" t="inlineStr">
        <is>
          <t>BFA</t>
        </is>
      </c>
      <c r="C671" t="n">
        <v>1974</v>
      </c>
      <c r="D671" t="n">
        <v>8.719609454284219</v>
      </c>
    </row>
    <row r="672">
      <c r="A672" t="inlineStr">
        <is>
          <t>Burkina Faso</t>
        </is>
      </c>
      <c r="B672" t="inlineStr">
        <is>
          <t>BFA</t>
        </is>
      </c>
      <c r="C672" t="n">
        <v>1975</v>
      </c>
      <c r="D672" t="n">
        <v>18.7569466058634</v>
      </c>
    </row>
    <row r="673">
      <c r="A673" t="inlineStr">
        <is>
          <t>Burkina Faso</t>
        </is>
      </c>
      <c r="B673" t="inlineStr">
        <is>
          <t>BFA</t>
        </is>
      </c>
      <c r="C673" t="n">
        <v>1976</v>
      </c>
      <c r="D673" t="n">
        <v>-8.40071877820545</v>
      </c>
    </row>
    <row r="674">
      <c r="A674" t="inlineStr">
        <is>
          <t>Burkina Faso</t>
        </is>
      </c>
      <c r="B674" t="inlineStr">
        <is>
          <t>BFA</t>
        </is>
      </c>
      <c r="C674" t="n">
        <v>1977</v>
      </c>
      <c r="D674" t="n">
        <v>29.9861042997141</v>
      </c>
    </row>
    <row r="675">
      <c r="A675" t="inlineStr">
        <is>
          <t>Burkina Faso</t>
        </is>
      </c>
      <c r="B675" t="inlineStr">
        <is>
          <t>BFA</t>
        </is>
      </c>
      <c r="C675" t="n">
        <v>1978</v>
      </c>
      <c r="D675" t="n">
        <v>8.26914007214047</v>
      </c>
    </row>
    <row r="676">
      <c r="A676" t="inlineStr">
        <is>
          <t>Burkina Faso</t>
        </is>
      </c>
      <c r="B676" t="inlineStr">
        <is>
          <t>BFA</t>
        </is>
      </c>
      <c r="C676" t="n">
        <v>1979</v>
      </c>
      <c r="D676" t="n">
        <v>14.9934659503595</v>
      </c>
    </row>
    <row r="677">
      <c r="A677" t="inlineStr">
        <is>
          <t>Burkina Faso</t>
        </is>
      </c>
      <c r="B677" t="inlineStr">
        <is>
          <t>BFA</t>
        </is>
      </c>
      <c r="C677" t="n">
        <v>1980</v>
      </c>
      <c r="D677" t="n">
        <v>12.2026364968298</v>
      </c>
    </row>
    <row r="678">
      <c r="A678" t="inlineStr">
        <is>
          <t>Burkina Faso</t>
        </is>
      </c>
      <c r="B678" t="inlineStr">
        <is>
          <t>BFA</t>
        </is>
      </c>
      <c r="C678" t="n">
        <v>1981</v>
      </c>
      <c r="D678" t="n">
        <v>7.55570560440939</v>
      </c>
    </row>
    <row r="679">
      <c r="A679" t="inlineStr">
        <is>
          <t>Burkina Faso</t>
        </is>
      </c>
      <c r="B679" t="inlineStr">
        <is>
          <t>BFA</t>
        </is>
      </c>
      <c r="C679" t="n">
        <v>1982</v>
      </c>
      <c r="D679" t="n">
        <v>12.0597652081337</v>
      </c>
    </row>
    <row r="680">
      <c r="A680" t="inlineStr">
        <is>
          <t>Burkina Faso</t>
        </is>
      </c>
      <c r="B680" t="inlineStr">
        <is>
          <t>BFA</t>
        </is>
      </c>
      <c r="C680" t="n">
        <v>1983</v>
      </c>
      <c r="D680" t="n">
        <v>8.15376277420429</v>
      </c>
    </row>
    <row r="681">
      <c r="A681" t="inlineStr">
        <is>
          <t>Burkina Faso</t>
        </is>
      </c>
      <c r="B681" t="inlineStr">
        <is>
          <t>BFA</t>
        </is>
      </c>
      <c r="C681" t="n">
        <v>1984</v>
      </c>
      <c r="D681" t="n">
        <v>4.84695768186083</v>
      </c>
    </row>
    <row r="682">
      <c r="A682" t="inlineStr">
        <is>
          <t>Burkina Faso</t>
        </is>
      </c>
      <c r="B682" t="inlineStr">
        <is>
          <t>BFA</t>
        </is>
      </c>
      <c r="C682" t="n">
        <v>1985</v>
      </c>
      <c r="D682" t="n">
        <v>6.90605782140467</v>
      </c>
    </row>
    <row r="683">
      <c r="A683" t="inlineStr">
        <is>
          <t>Burkina Faso</t>
        </is>
      </c>
      <c r="B683" t="inlineStr">
        <is>
          <t>BFA</t>
        </is>
      </c>
      <c r="C683" t="n">
        <v>1986</v>
      </c>
      <c r="D683" t="n">
        <v>-2.61174292476783</v>
      </c>
    </row>
    <row r="684">
      <c r="A684" t="inlineStr">
        <is>
          <t>Burkina Faso</t>
        </is>
      </c>
      <c r="B684" t="inlineStr">
        <is>
          <t>BFA</t>
        </is>
      </c>
      <c r="C684" t="n">
        <v>1987</v>
      </c>
      <c r="D684" t="n">
        <v>-2.68178423511596</v>
      </c>
    </row>
    <row r="685">
      <c r="A685" t="inlineStr">
        <is>
          <t>Burkina Faso</t>
        </is>
      </c>
      <c r="B685" t="inlineStr">
        <is>
          <t>BFA</t>
        </is>
      </c>
      <c r="C685" t="n">
        <v>1988</v>
      </c>
      <c r="D685" t="n">
        <v>4.25561601785942</v>
      </c>
    </row>
    <row r="686">
      <c r="A686" t="inlineStr">
        <is>
          <t>Burkina Faso</t>
        </is>
      </c>
      <c r="B686" t="inlineStr">
        <is>
          <t>BFA</t>
        </is>
      </c>
      <c r="C686" t="n">
        <v>1989</v>
      </c>
      <c r="D686" t="n">
        <v>-0.481798715203334</v>
      </c>
    </row>
    <row r="687">
      <c r="A687" t="inlineStr">
        <is>
          <t>Burkina Faso</t>
        </is>
      </c>
      <c r="B687" t="inlineStr">
        <is>
          <t>BFA</t>
        </is>
      </c>
      <c r="C687" t="n">
        <v>1990</v>
      </c>
      <c r="D687" t="n">
        <v>-0.504303388918912</v>
      </c>
    </row>
    <row r="688">
      <c r="A688" t="inlineStr">
        <is>
          <t>Burkina Faso</t>
        </is>
      </c>
      <c r="B688" t="inlineStr">
        <is>
          <t>BFA</t>
        </is>
      </c>
      <c r="C688" t="n">
        <v>1991</v>
      </c>
      <c r="D688" t="n">
        <v>2.16260052713421</v>
      </c>
    </row>
    <row r="689">
      <c r="A689" t="inlineStr">
        <is>
          <t>Burkina Faso</t>
        </is>
      </c>
      <c r="B689" t="inlineStr">
        <is>
          <t>BFA</t>
        </is>
      </c>
      <c r="C689" t="n">
        <v>1992</v>
      </c>
      <c r="D689" t="n">
        <v>-1.99113580736892</v>
      </c>
    </row>
    <row r="690">
      <c r="A690" t="inlineStr">
        <is>
          <t>Burkina Faso</t>
        </is>
      </c>
      <c r="B690" t="inlineStr">
        <is>
          <t>BFA</t>
        </is>
      </c>
      <c r="C690" t="n">
        <v>1993</v>
      </c>
      <c r="D690" t="n">
        <v>0.553455723541917</v>
      </c>
    </row>
    <row r="691">
      <c r="A691" t="inlineStr">
        <is>
          <t>Burkina Faso</t>
        </is>
      </c>
      <c r="B691" t="inlineStr">
        <is>
          <t>BFA</t>
        </is>
      </c>
      <c r="C691" t="n">
        <v>1994</v>
      </c>
      <c r="D691" t="n">
        <v>25.1778762249963</v>
      </c>
    </row>
    <row r="692">
      <c r="A692" t="inlineStr">
        <is>
          <t>Burkina Faso</t>
        </is>
      </c>
      <c r="B692" t="inlineStr">
        <is>
          <t>BFA</t>
        </is>
      </c>
      <c r="C692" t="n">
        <v>1995</v>
      </c>
      <c r="D692" t="n">
        <v>7.45884497828324</v>
      </c>
    </row>
    <row r="693">
      <c r="A693" t="inlineStr">
        <is>
          <t>Burkina Faso</t>
        </is>
      </c>
      <c r="B693" t="inlineStr">
        <is>
          <t>BFA</t>
        </is>
      </c>
      <c r="C693" t="n">
        <v>1996</v>
      </c>
      <c r="D693" t="n">
        <v>6.09780439121741</v>
      </c>
    </row>
    <row r="694">
      <c r="A694" t="inlineStr">
        <is>
          <t>Burkina Faso</t>
        </is>
      </c>
      <c r="B694" t="inlineStr">
        <is>
          <t>BFA</t>
        </is>
      </c>
      <c r="C694" t="n">
        <v>1997</v>
      </c>
      <c r="D694" t="n">
        <v>2.31869062176685</v>
      </c>
    </row>
    <row r="695">
      <c r="A695" t="inlineStr">
        <is>
          <t>Burkina Faso</t>
        </is>
      </c>
      <c r="B695" t="inlineStr">
        <is>
          <t>BFA</t>
        </is>
      </c>
      <c r="C695" t="n">
        <v>1998</v>
      </c>
      <c r="D695" t="n">
        <v>5.08433344145323</v>
      </c>
    </row>
    <row r="696">
      <c r="A696" t="inlineStr">
        <is>
          <t>Burkina Faso</t>
        </is>
      </c>
      <c r="B696" t="inlineStr">
        <is>
          <t>BFA</t>
        </is>
      </c>
      <c r="C696" t="n">
        <v>1999</v>
      </c>
      <c r="D696" t="n">
        <v>-1.07261362759534</v>
      </c>
    </row>
    <row r="697">
      <c r="A697" t="inlineStr">
        <is>
          <t>Burkina Faso</t>
        </is>
      </c>
      <c r="B697" t="inlineStr">
        <is>
          <t>BFA</t>
        </is>
      </c>
      <c r="C697" t="n">
        <v>2000</v>
      </c>
      <c r="D697" t="n">
        <v>-0.304212168486803</v>
      </c>
    </row>
    <row r="698">
      <c r="A698" t="inlineStr">
        <is>
          <t>Burkina Faso</t>
        </is>
      </c>
      <c r="B698" t="inlineStr">
        <is>
          <t>BFA</t>
        </is>
      </c>
      <c r="C698" t="n">
        <v>2001</v>
      </c>
      <c r="D698" t="n">
        <v>5.00743290822373</v>
      </c>
    </row>
    <row r="699">
      <c r="A699" t="inlineStr">
        <is>
          <t>Burkina Faso</t>
        </is>
      </c>
      <c r="B699" t="inlineStr">
        <is>
          <t>BFA</t>
        </is>
      </c>
      <c r="C699" t="n">
        <v>2002</v>
      </c>
      <c r="D699" t="n">
        <v>2.17569480664608</v>
      </c>
    </row>
    <row r="700">
      <c r="A700" t="inlineStr">
        <is>
          <t>Burkina Faso</t>
        </is>
      </c>
      <c r="B700" t="inlineStr">
        <is>
          <t>BFA</t>
        </is>
      </c>
      <c r="C700" t="n">
        <v>2003</v>
      </c>
      <c r="D700" t="n">
        <v>2.03456574053815</v>
      </c>
    </row>
    <row r="701">
      <c r="A701" t="inlineStr">
        <is>
          <t>Burkina Faso</t>
        </is>
      </c>
      <c r="B701" t="inlineStr">
        <is>
          <t>BFA</t>
        </is>
      </c>
      <c r="C701" t="n">
        <v>2004</v>
      </c>
      <c r="D701" t="n">
        <v>-0.400228702115452</v>
      </c>
    </row>
    <row r="702">
      <c r="A702" t="inlineStr">
        <is>
          <t>Burkina Faso</t>
        </is>
      </c>
      <c r="B702" t="inlineStr">
        <is>
          <t>BFA</t>
        </is>
      </c>
      <c r="C702" t="n">
        <v>2005</v>
      </c>
      <c r="D702" t="n">
        <v>6.41504018369684</v>
      </c>
    </row>
    <row r="703">
      <c r="A703" t="inlineStr">
        <is>
          <t>Burkina Faso</t>
        </is>
      </c>
      <c r="B703" t="inlineStr">
        <is>
          <t>BFA</t>
        </is>
      </c>
      <c r="C703" t="n">
        <v>2006</v>
      </c>
      <c r="D703" t="n">
        <v>2.3331085637222</v>
      </c>
    </row>
    <row r="704">
      <c r="A704" t="inlineStr">
        <is>
          <t>Burkina Faso</t>
        </is>
      </c>
      <c r="B704" t="inlineStr">
        <is>
          <t>BFA</t>
        </is>
      </c>
      <c r="C704" t="n">
        <v>2007</v>
      </c>
      <c r="D704" t="n">
        <v>-0.230627306273038</v>
      </c>
    </row>
    <row r="705">
      <c r="A705" t="inlineStr">
        <is>
          <t>Burkina Faso</t>
        </is>
      </c>
      <c r="B705" t="inlineStr">
        <is>
          <t>BFA</t>
        </is>
      </c>
      <c r="C705" t="n">
        <v>2008</v>
      </c>
      <c r="D705" t="n">
        <v>10.6597978997424</v>
      </c>
    </row>
    <row r="706">
      <c r="A706" t="inlineStr">
        <is>
          <t>Burkina Faso</t>
        </is>
      </c>
      <c r="B706" t="inlineStr">
        <is>
          <t>BFA</t>
        </is>
      </c>
      <c r="C706" t="n">
        <v>2009</v>
      </c>
      <c r="D706" t="n">
        <v>2.60817666368315</v>
      </c>
    </row>
    <row r="707">
      <c r="A707" t="inlineStr">
        <is>
          <t>Burkina Faso</t>
        </is>
      </c>
      <c r="B707" t="inlineStr">
        <is>
          <t>BFA</t>
        </is>
      </c>
      <c r="C707" t="n">
        <v>2010</v>
      </c>
      <c r="D707" t="n">
        <v>-0.764230734676758</v>
      </c>
    </row>
    <row r="708">
      <c r="A708" t="inlineStr">
        <is>
          <t>Burkina Faso</t>
        </is>
      </c>
      <c r="B708" t="inlineStr">
        <is>
          <t>BFA</t>
        </is>
      </c>
      <c r="C708" t="n">
        <v>2011</v>
      </c>
      <c r="D708" t="n">
        <v>2.75976724854523</v>
      </c>
    </row>
    <row r="709">
      <c r="A709" t="inlineStr">
        <is>
          <t>Burkina Faso</t>
        </is>
      </c>
      <c r="B709" t="inlineStr">
        <is>
          <t>BFA</t>
        </is>
      </c>
      <c r="C709" t="n">
        <v>2012</v>
      </c>
      <c r="D709" t="n">
        <v>3.818152402524</v>
      </c>
    </row>
    <row r="710">
      <c r="A710" t="inlineStr">
        <is>
          <t>Burkina Faso</t>
        </is>
      </c>
      <c r="B710" t="inlineStr">
        <is>
          <t>BFA</t>
        </is>
      </c>
      <c r="C710" t="n">
        <v>2013</v>
      </c>
      <c r="D710" t="n">
        <v>0.5337385070905361</v>
      </c>
    </row>
    <row r="711">
      <c r="A711" t="inlineStr">
        <is>
          <t>Burkina Faso</t>
        </is>
      </c>
      <c r="B711" t="inlineStr">
        <is>
          <t>BFA</t>
        </is>
      </c>
      <c r="C711" t="n">
        <v>2014</v>
      </c>
      <c r="D711" t="n">
        <v>-0.258089517535384</v>
      </c>
    </row>
    <row r="712">
      <c r="A712" t="inlineStr">
        <is>
          <t>Burkina Faso</t>
        </is>
      </c>
      <c r="B712" t="inlineStr">
        <is>
          <t>BFA</t>
        </is>
      </c>
      <c r="C712" t="n">
        <v>2015</v>
      </c>
      <c r="D712" t="n">
        <v>0.724838981070517</v>
      </c>
    </row>
    <row r="713">
      <c r="A713" t="inlineStr">
        <is>
          <t>Burkina Faso</t>
        </is>
      </c>
      <c r="B713" t="inlineStr">
        <is>
          <t>BFA</t>
        </is>
      </c>
      <c r="C713" t="n">
        <v>2016</v>
      </c>
      <c r="D713" t="n">
        <v>0.441041448058902</v>
      </c>
    </row>
    <row r="714">
      <c r="A714" t="inlineStr">
        <is>
          <t>Burkina Faso</t>
        </is>
      </c>
      <c r="B714" t="inlineStr">
        <is>
          <t>BFA</t>
        </is>
      </c>
      <c r="C714" t="n">
        <v>2017</v>
      </c>
      <c r="D714" t="n">
        <v>1.48299897161325</v>
      </c>
    </row>
    <row r="715">
      <c r="A715" t="inlineStr">
        <is>
          <t>Burkina Faso</t>
        </is>
      </c>
      <c r="B715" t="inlineStr">
        <is>
          <t>BFA</t>
        </is>
      </c>
      <c r="C715" t="n">
        <v>2018</v>
      </c>
      <c r="D715" t="n">
        <v>1.95594302672523</v>
      </c>
    </row>
    <row r="716">
      <c r="A716" t="inlineStr">
        <is>
          <t>Burkina Faso</t>
        </is>
      </c>
      <c r="B716" t="inlineStr">
        <is>
          <t>BFA</t>
        </is>
      </c>
      <c r="C716" t="n">
        <v>2019</v>
      </c>
      <c r="D716" t="n">
        <v>-3.2333893398333</v>
      </c>
    </row>
    <row r="717">
      <c r="A717" t="inlineStr">
        <is>
          <t>Burkina Faso</t>
        </is>
      </c>
      <c r="B717" t="inlineStr">
        <is>
          <t>BFA</t>
        </is>
      </c>
      <c r="C717" t="n">
        <v>2020</v>
      </c>
      <c r="D717" t="n">
        <v>1.88443993781991</v>
      </c>
    </row>
    <row r="718">
      <c r="A718" t="inlineStr">
        <is>
          <t>Burkina Faso</t>
        </is>
      </c>
      <c r="B718" t="inlineStr">
        <is>
          <t>BFA</t>
        </is>
      </c>
      <c r="C718" t="n">
        <v>2021</v>
      </c>
      <c r="D718" t="n">
        <v>3.65353287214209</v>
      </c>
    </row>
    <row r="719">
      <c r="A719" t="inlineStr">
        <is>
          <t>Burkina Faso</t>
        </is>
      </c>
      <c r="B719" t="inlineStr">
        <is>
          <t>BFA</t>
        </is>
      </c>
      <c r="C719" t="n">
        <v>2022</v>
      </c>
      <c r="D719" t="n">
        <v>14.2902354303358</v>
      </c>
    </row>
    <row r="720">
      <c r="A720" t="inlineStr">
        <is>
          <t>Burkina Faso</t>
        </is>
      </c>
      <c r="B720" t="inlineStr">
        <is>
          <t>BFA</t>
        </is>
      </c>
      <c r="C720" t="n">
        <v>2023</v>
      </c>
      <c r="D720" t="n">
        <v>0.742910428668841</v>
      </c>
    </row>
    <row r="721">
      <c r="A721" t="inlineStr">
        <is>
          <t>Burkina Faso</t>
        </is>
      </c>
      <c r="B721" t="inlineStr">
        <is>
          <t>BFA</t>
        </is>
      </c>
      <c r="C721" t="n">
        <v>2024</v>
      </c>
      <c r="D721" t="n">
        <v>4.19113446375394</v>
      </c>
    </row>
    <row r="722">
      <c r="A722" t="inlineStr">
        <is>
          <t>Bangladesh</t>
        </is>
      </c>
      <c r="B722" t="inlineStr">
        <is>
          <t>BGD</t>
        </is>
      </c>
      <c r="C722" t="n">
        <v>1987</v>
      </c>
      <c r="D722" t="n">
        <v>9.87469609126633</v>
      </c>
    </row>
    <row r="723">
      <c r="A723" t="inlineStr">
        <is>
          <t>Bangladesh</t>
        </is>
      </c>
      <c r="B723" t="inlineStr">
        <is>
          <t>BGD</t>
        </is>
      </c>
      <c r="C723" t="n">
        <v>1988</v>
      </c>
      <c r="D723" t="n">
        <v>7.41276595744666</v>
      </c>
    </row>
    <row r="724">
      <c r="A724" t="inlineStr">
        <is>
          <t>Bangladesh</t>
        </is>
      </c>
      <c r="B724" t="inlineStr">
        <is>
          <t>BGD</t>
        </is>
      </c>
      <c r="C724" t="n">
        <v>1989</v>
      </c>
      <c r="D724" t="n">
        <v>6.04547975596244</v>
      </c>
    </row>
    <row r="725">
      <c r="A725" t="inlineStr">
        <is>
          <t>Bangladesh</t>
        </is>
      </c>
      <c r="B725" t="inlineStr">
        <is>
          <t>BGD</t>
        </is>
      </c>
      <c r="C725" t="n">
        <v>1990</v>
      </c>
      <c r="D725" t="n">
        <v>6.12671846981458</v>
      </c>
    </row>
    <row r="726">
      <c r="A726" t="inlineStr">
        <is>
          <t>Bangladesh</t>
        </is>
      </c>
      <c r="B726" t="inlineStr">
        <is>
          <t>BGD</t>
        </is>
      </c>
      <c r="C726" t="n">
        <v>1991</v>
      </c>
      <c r="D726" t="n">
        <v>6.35736412278234</v>
      </c>
    </row>
    <row r="727">
      <c r="A727" t="inlineStr">
        <is>
          <t>Bangladesh</t>
        </is>
      </c>
      <c r="B727" t="inlineStr">
        <is>
          <t>BGD</t>
        </is>
      </c>
      <c r="C727" t="n">
        <v>1992</v>
      </c>
      <c r="D727" t="n">
        <v>3.63407691798491</v>
      </c>
    </row>
    <row r="728">
      <c r="A728" t="inlineStr">
        <is>
          <t>Bangladesh</t>
        </is>
      </c>
      <c r="B728" t="inlineStr">
        <is>
          <t>BGD</t>
        </is>
      </c>
      <c r="C728" t="n">
        <v>1993</v>
      </c>
      <c r="D728" t="n">
        <v>3.01481859989799</v>
      </c>
    </row>
    <row r="729">
      <c r="A729" t="inlineStr">
        <is>
          <t>Bangladesh</t>
        </is>
      </c>
      <c r="B729" t="inlineStr">
        <is>
          <t>BGD</t>
        </is>
      </c>
      <c r="C729" t="n">
        <v>1994</v>
      </c>
      <c r="D729" t="n">
        <v>5.31374007936498</v>
      </c>
    </row>
    <row r="730">
      <c r="A730" t="inlineStr">
        <is>
          <t>Bangladesh</t>
        </is>
      </c>
      <c r="B730" t="inlineStr">
        <is>
          <t>BGD</t>
        </is>
      </c>
      <c r="C730" t="n">
        <v>1995</v>
      </c>
      <c r="D730" t="n">
        <v>10.2978117947206</v>
      </c>
    </row>
    <row r="731">
      <c r="A731" t="inlineStr">
        <is>
          <t>Bangladesh</t>
        </is>
      </c>
      <c r="B731" t="inlineStr">
        <is>
          <t>BGD</t>
        </is>
      </c>
      <c r="C731" t="n">
        <v>1996</v>
      </c>
      <c r="D731" t="n">
        <v>2.37712902953223</v>
      </c>
    </row>
    <row r="732">
      <c r="A732" t="inlineStr">
        <is>
          <t>Bangladesh</t>
        </is>
      </c>
      <c r="B732" t="inlineStr">
        <is>
          <t>BGD</t>
        </is>
      </c>
      <c r="C732" t="n">
        <v>1997</v>
      </c>
      <c r="D732" t="n">
        <v>5.30560105668802</v>
      </c>
    </row>
    <row r="733">
      <c r="A733" t="inlineStr">
        <is>
          <t>Bangladesh</t>
        </is>
      </c>
      <c r="B733" t="inlineStr">
        <is>
          <t>BGD</t>
        </is>
      </c>
      <c r="C733" t="n">
        <v>1998</v>
      </c>
      <c r="D733" t="n">
        <v>8.40223795613228</v>
      </c>
    </row>
    <row r="734">
      <c r="A734" t="inlineStr">
        <is>
          <t>Bangladesh</t>
        </is>
      </c>
      <c r="B734" t="inlineStr">
        <is>
          <t>BGD</t>
        </is>
      </c>
      <c r="C734" t="n">
        <v>1999</v>
      </c>
      <c r="D734" t="n">
        <v>6.10669589841958</v>
      </c>
    </row>
    <row r="735">
      <c r="A735" t="inlineStr">
        <is>
          <t>Bangladesh</t>
        </is>
      </c>
      <c r="B735" t="inlineStr">
        <is>
          <t>BGD</t>
        </is>
      </c>
      <c r="C735" t="n">
        <v>2000</v>
      </c>
      <c r="D735" t="n">
        <v>2.20825620937535</v>
      </c>
    </row>
    <row r="736">
      <c r="A736" t="inlineStr">
        <is>
          <t>Bangladesh</t>
        </is>
      </c>
      <c r="B736" t="inlineStr">
        <is>
          <t>BGD</t>
        </is>
      </c>
      <c r="C736" t="n">
        <v>2001</v>
      </c>
      <c r="D736" t="n">
        <v>2.0071737421384</v>
      </c>
    </row>
    <row r="737">
      <c r="A737" t="inlineStr">
        <is>
          <t>Bangladesh</t>
        </is>
      </c>
      <c r="B737" t="inlineStr">
        <is>
          <t>BGD</t>
        </is>
      </c>
      <c r="C737" t="n">
        <v>2002</v>
      </c>
      <c r="D737" t="n">
        <v>3.33256493271913</v>
      </c>
    </row>
    <row r="738">
      <c r="A738" t="inlineStr">
        <is>
          <t>Bangladesh</t>
        </is>
      </c>
      <c r="B738" t="inlineStr">
        <is>
          <t>BGD</t>
        </is>
      </c>
      <c r="C738" t="n">
        <v>2003</v>
      </c>
      <c r="D738" t="n">
        <v>5.66870773441476</v>
      </c>
    </row>
    <row r="739">
      <c r="A739" t="inlineStr">
        <is>
          <t>Bangladesh</t>
        </is>
      </c>
      <c r="B739" t="inlineStr">
        <is>
          <t>BGD</t>
        </is>
      </c>
      <c r="C739" t="n">
        <v>2004</v>
      </c>
      <c r="D739" t="n">
        <v>7.5875363850469</v>
      </c>
    </row>
    <row r="740">
      <c r="A740" t="inlineStr">
        <is>
          <t>Bangladesh</t>
        </is>
      </c>
      <c r="B740" t="inlineStr">
        <is>
          <t>BGD</t>
        </is>
      </c>
      <c r="C740" t="n">
        <v>2005</v>
      </c>
      <c r="D740" t="n">
        <v>7.04661816222039</v>
      </c>
    </row>
    <row r="741">
      <c r="A741" t="inlineStr">
        <is>
          <t>Bangladesh</t>
        </is>
      </c>
      <c r="B741" t="inlineStr">
        <is>
          <t>BGD</t>
        </is>
      </c>
      <c r="C741" t="n">
        <v>2006</v>
      </c>
      <c r="D741" t="n">
        <v>6.76526117054757</v>
      </c>
    </row>
    <row r="742">
      <c r="A742" t="inlineStr">
        <is>
          <t>Bangladesh</t>
        </is>
      </c>
      <c r="B742" t="inlineStr">
        <is>
          <t>BGD</t>
        </is>
      </c>
      <c r="C742" t="n">
        <v>2007</v>
      </c>
      <c r="D742" t="n">
        <v>9.10698496905383</v>
      </c>
    </row>
    <row r="743">
      <c r="A743" t="inlineStr">
        <is>
          <t>Bangladesh</t>
        </is>
      </c>
      <c r="B743" t="inlineStr">
        <is>
          <t>BGD</t>
        </is>
      </c>
      <c r="C743" t="n">
        <v>2008</v>
      </c>
      <c r="D743" t="n">
        <v>8.901944894651541</v>
      </c>
    </row>
    <row r="744">
      <c r="A744" t="inlineStr">
        <is>
          <t>Bangladesh</t>
        </is>
      </c>
      <c r="B744" t="inlineStr">
        <is>
          <t>BGD</t>
        </is>
      </c>
      <c r="C744" t="n">
        <v>2009</v>
      </c>
      <c r="D744" t="n">
        <v>5.42347236174679</v>
      </c>
    </row>
    <row r="745">
      <c r="A745" t="inlineStr">
        <is>
          <t>Bangladesh</t>
        </is>
      </c>
      <c r="B745" t="inlineStr">
        <is>
          <t>BGD</t>
        </is>
      </c>
      <c r="C745" t="n">
        <v>2010</v>
      </c>
      <c r="D745" t="n">
        <v>8.126676391699171</v>
      </c>
    </row>
    <row r="746">
      <c r="A746" t="inlineStr">
        <is>
          <t>Bangladesh</t>
        </is>
      </c>
      <c r="B746" t="inlineStr">
        <is>
          <t>BGD</t>
        </is>
      </c>
      <c r="C746" t="n">
        <v>2011</v>
      </c>
      <c r="D746" t="n">
        <v>11.3951651552399</v>
      </c>
    </row>
    <row r="747">
      <c r="A747" t="inlineStr">
        <is>
          <t>Bangladesh</t>
        </is>
      </c>
      <c r="B747" t="inlineStr">
        <is>
          <t>BGD</t>
        </is>
      </c>
      <c r="C747" t="n">
        <v>2012</v>
      </c>
      <c r="D747" t="n">
        <v>6.21750422069284</v>
      </c>
    </row>
    <row r="748">
      <c r="A748" t="inlineStr">
        <is>
          <t>Bangladesh</t>
        </is>
      </c>
      <c r="B748" t="inlineStr">
        <is>
          <t>BGD</t>
        </is>
      </c>
      <c r="C748" t="n">
        <v>2013</v>
      </c>
      <c r="D748" t="n">
        <v>7.53040640913172</v>
      </c>
    </row>
    <row r="749">
      <c r="A749" t="inlineStr">
        <is>
          <t>Bangladesh</t>
        </is>
      </c>
      <c r="B749" t="inlineStr">
        <is>
          <t>BGD</t>
        </is>
      </c>
      <c r="C749" t="n">
        <v>2014</v>
      </c>
      <c r="D749" t="n">
        <v>6.99163889220849</v>
      </c>
    </row>
    <row r="750">
      <c r="A750" t="inlineStr">
        <is>
          <t>Bangladesh</t>
        </is>
      </c>
      <c r="B750" t="inlineStr">
        <is>
          <t>BGD</t>
        </is>
      </c>
      <c r="C750" t="n">
        <v>2015</v>
      </c>
      <c r="D750" t="n">
        <v>6.19428022984984</v>
      </c>
    </row>
    <row r="751">
      <c r="A751" t="inlineStr">
        <is>
          <t>Bangladesh</t>
        </is>
      </c>
      <c r="B751" t="inlineStr">
        <is>
          <t>BGD</t>
        </is>
      </c>
      <c r="C751" t="n">
        <v>2016</v>
      </c>
      <c r="D751" t="n">
        <v>5.51352572692995</v>
      </c>
    </row>
    <row r="752">
      <c r="A752" t="inlineStr">
        <is>
          <t>Bangladesh</t>
        </is>
      </c>
      <c r="B752" t="inlineStr">
        <is>
          <t>BGD</t>
        </is>
      </c>
      <c r="C752" t="n">
        <v>2017</v>
      </c>
      <c r="D752" t="n">
        <v>5.70207015717239</v>
      </c>
    </row>
    <row r="753">
      <c r="A753" t="inlineStr">
        <is>
          <t>Bangladesh</t>
        </is>
      </c>
      <c r="B753" t="inlineStr">
        <is>
          <t>BGD</t>
        </is>
      </c>
      <c r="C753" t="n">
        <v>2018</v>
      </c>
      <c r="D753" t="n">
        <v>5.54362139486476</v>
      </c>
    </row>
    <row r="754">
      <c r="A754" t="inlineStr">
        <is>
          <t>Bangladesh</t>
        </is>
      </c>
      <c r="B754" t="inlineStr">
        <is>
          <t>BGD</t>
        </is>
      </c>
      <c r="C754" t="n">
        <v>2019</v>
      </c>
      <c r="D754" t="n">
        <v>5.59199639930629</v>
      </c>
    </row>
    <row r="755">
      <c r="A755" t="inlineStr">
        <is>
          <t>Bangladesh</t>
        </is>
      </c>
      <c r="B755" t="inlineStr">
        <is>
          <t>BGD</t>
        </is>
      </c>
      <c r="C755" t="n">
        <v>2020</v>
      </c>
      <c r="D755" t="n">
        <v>5.69107474746211</v>
      </c>
    </row>
    <row r="756">
      <c r="A756" t="inlineStr">
        <is>
          <t>Bangladesh</t>
        </is>
      </c>
      <c r="B756" t="inlineStr">
        <is>
          <t>BGD</t>
        </is>
      </c>
      <c r="C756" t="n">
        <v>2021</v>
      </c>
      <c r="D756" t="n">
        <v>5.54565430773473</v>
      </c>
    </row>
    <row r="757">
      <c r="A757" t="inlineStr">
        <is>
          <t>Bangladesh</t>
        </is>
      </c>
      <c r="B757" t="inlineStr">
        <is>
          <t>BGD</t>
        </is>
      </c>
      <c r="C757" t="n">
        <v>2022</v>
      </c>
      <c r="D757" t="n">
        <v>7.69695437176898</v>
      </c>
    </row>
    <row r="758">
      <c r="A758" t="inlineStr">
        <is>
          <t>Bangladesh</t>
        </is>
      </c>
      <c r="B758" t="inlineStr">
        <is>
          <t>BGD</t>
        </is>
      </c>
      <c r="C758" t="n">
        <v>2023</v>
      </c>
      <c r="D758" t="n">
        <v>9.883503037792099</v>
      </c>
    </row>
    <row r="759">
      <c r="A759" t="inlineStr">
        <is>
          <t>Bangladesh</t>
        </is>
      </c>
      <c r="B759" t="inlineStr">
        <is>
          <t>BGD</t>
        </is>
      </c>
      <c r="C759" t="n">
        <v>2024</v>
      </c>
      <c r="D759" t="n">
        <v>10.4657482763412</v>
      </c>
    </row>
    <row r="760">
      <c r="A760" t="inlineStr">
        <is>
          <t>Bulgaria</t>
        </is>
      </c>
      <c r="B760" t="inlineStr">
        <is>
          <t>BGR</t>
        </is>
      </c>
      <c r="C760" t="n">
        <v>1986</v>
      </c>
      <c r="D760" t="n">
        <v>2.69999999999986</v>
      </c>
    </row>
    <row r="761">
      <c r="A761" t="inlineStr">
        <is>
          <t>Bulgaria</t>
        </is>
      </c>
      <c r="B761" t="inlineStr">
        <is>
          <t>BGR</t>
        </is>
      </c>
      <c r="C761" t="n">
        <v>1987</v>
      </c>
      <c r="D761" t="n">
        <v>2.72638753651409</v>
      </c>
    </row>
    <row r="762">
      <c r="A762" t="inlineStr">
        <is>
          <t>Bulgaria</t>
        </is>
      </c>
      <c r="B762" t="inlineStr">
        <is>
          <t>BGR</t>
        </is>
      </c>
      <c r="C762" t="n">
        <v>1988</v>
      </c>
      <c r="D762" t="n">
        <v>2.36966824644552</v>
      </c>
    </row>
    <row r="763">
      <c r="A763" t="inlineStr">
        <is>
          <t>Bulgaria</t>
        </is>
      </c>
      <c r="B763" t="inlineStr">
        <is>
          <t>BGR</t>
        </is>
      </c>
      <c r="C763" t="n">
        <v>1989</v>
      </c>
      <c r="D763" t="n">
        <v>6.38888888888878</v>
      </c>
    </row>
    <row r="764">
      <c r="A764" t="inlineStr">
        <is>
          <t>Bulgaria</t>
        </is>
      </c>
      <c r="B764" t="inlineStr">
        <is>
          <t>BGR</t>
        </is>
      </c>
      <c r="C764" t="n">
        <v>1990</v>
      </c>
      <c r="D764" t="n">
        <v>23.8000000000003</v>
      </c>
    </row>
    <row r="765">
      <c r="A765" t="inlineStr">
        <is>
          <t>Bulgaria</t>
        </is>
      </c>
      <c r="B765" t="inlineStr">
        <is>
          <t>BGR</t>
        </is>
      </c>
      <c r="C765" t="n">
        <v>1991</v>
      </c>
      <c r="D765" t="n">
        <v>338.449111470112</v>
      </c>
    </row>
    <row r="766">
      <c r="A766" t="inlineStr">
        <is>
          <t>Bulgaria</t>
        </is>
      </c>
      <c r="B766" t="inlineStr">
        <is>
          <t>BGR</t>
        </is>
      </c>
      <c r="C766" t="n">
        <v>1992</v>
      </c>
      <c r="D766" t="n">
        <v>91.2979327269303</v>
      </c>
    </row>
    <row r="767">
      <c r="A767" t="inlineStr">
        <is>
          <t>Bulgaria</t>
        </is>
      </c>
      <c r="B767" t="inlineStr">
        <is>
          <t>BGR</t>
        </is>
      </c>
      <c r="C767" t="n">
        <v>1993</v>
      </c>
      <c r="D767" t="n">
        <v>72.8787913866333</v>
      </c>
    </row>
    <row r="768">
      <c r="A768" t="inlineStr">
        <is>
          <t>Bulgaria</t>
        </is>
      </c>
      <c r="B768" t="inlineStr">
        <is>
          <t>BGR</t>
        </is>
      </c>
      <c r="C768" t="n">
        <v>1994</v>
      </c>
      <c r="D768" t="n">
        <v>96.0573382686505</v>
      </c>
    </row>
    <row r="769">
      <c r="A769" t="inlineStr">
        <is>
          <t>Bulgaria</t>
        </is>
      </c>
      <c r="B769" t="inlineStr">
        <is>
          <t>BGR</t>
        </is>
      </c>
      <c r="C769" t="n">
        <v>1995</v>
      </c>
      <c r="D769" t="n">
        <v>62.0548336837992</v>
      </c>
    </row>
    <row r="770">
      <c r="A770" t="inlineStr">
        <is>
          <t>Bulgaria</t>
        </is>
      </c>
      <c r="B770" t="inlineStr">
        <is>
          <t>BGR</t>
        </is>
      </c>
      <c r="C770" t="n">
        <v>1996</v>
      </c>
      <c r="D770" t="n">
        <v>121.60754244925</v>
      </c>
    </row>
    <row r="771">
      <c r="A771" t="inlineStr">
        <is>
          <t>Bulgaria</t>
        </is>
      </c>
      <c r="B771" t="inlineStr">
        <is>
          <t>BGR</t>
        </is>
      </c>
      <c r="C771" t="n">
        <v>1997</v>
      </c>
      <c r="D771" t="n">
        <v>1058.37355921973</v>
      </c>
    </row>
    <row r="772">
      <c r="A772" t="inlineStr">
        <is>
          <t>Bulgaria</t>
        </is>
      </c>
      <c r="B772" t="inlineStr">
        <is>
          <t>BGR</t>
        </is>
      </c>
      <c r="C772" t="n">
        <v>1998</v>
      </c>
      <c r="D772" t="n">
        <v>18.672204442064</v>
      </c>
    </row>
    <row r="773">
      <c r="A773" t="inlineStr">
        <is>
          <t>Bulgaria</t>
        </is>
      </c>
      <c r="B773" t="inlineStr">
        <is>
          <t>BGR</t>
        </is>
      </c>
      <c r="C773" t="n">
        <v>1999</v>
      </c>
      <c r="D773" t="n">
        <v>2.57304281890206</v>
      </c>
    </row>
    <row r="774">
      <c r="A774" t="inlineStr">
        <is>
          <t>Bulgaria</t>
        </is>
      </c>
      <c r="B774" t="inlineStr">
        <is>
          <t>BGR</t>
        </is>
      </c>
      <c r="C774" t="n">
        <v>2000</v>
      </c>
      <c r="D774" t="n">
        <v>10.316262128999</v>
      </c>
    </row>
    <row r="775">
      <c r="A775" t="inlineStr">
        <is>
          <t>Bulgaria</t>
        </is>
      </c>
      <c r="B775" t="inlineStr">
        <is>
          <t>BGR</t>
        </is>
      </c>
      <c r="C775" t="n">
        <v>2001</v>
      </c>
      <c r="D775" t="n">
        <v>7.36093927231844</v>
      </c>
    </row>
    <row r="776">
      <c r="A776" t="inlineStr">
        <is>
          <t>Bulgaria</t>
        </is>
      </c>
      <c r="B776" t="inlineStr">
        <is>
          <t>BGR</t>
        </is>
      </c>
      <c r="C776" t="n">
        <v>2002</v>
      </c>
      <c r="D776" t="n">
        <v>5.81014365721825</v>
      </c>
    </row>
    <row r="777">
      <c r="A777" t="inlineStr">
        <is>
          <t>Bulgaria</t>
        </is>
      </c>
      <c r="B777" t="inlineStr">
        <is>
          <t>BGR</t>
        </is>
      </c>
      <c r="C777" t="n">
        <v>2003</v>
      </c>
      <c r="D777" t="n">
        <v>2.34864169582755</v>
      </c>
    </row>
    <row r="778">
      <c r="A778" t="inlineStr">
        <is>
          <t>Bulgaria</t>
        </is>
      </c>
      <c r="B778" t="inlineStr">
        <is>
          <t>BGR</t>
        </is>
      </c>
      <c r="C778" t="n">
        <v>2004</v>
      </c>
      <c r="D778" t="n">
        <v>6.14713074246273</v>
      </c>
    </row>
    <row r="779">
      <c r="A779" t="inlineStr">
        <is>
          <t>Bulgaria</t>
        </is>
      </c>
      <c r="B779" t="inlineStr">
        <is>
          <t>BGR</t>
        </is>
      </c>
      <c r="C779" t="n">
        <v>2005</v>
      </c>
      <c r="D779" t="n">
        <v>5.03883807111902</v>
      </c>
    </row>
    <row r="780">
      <c r="A780" t="inlineStr">
        <is>
          <t>Bulgaria</t>
        </is>
      </c>
      <c r="B780" t="inlineStr">
        <is>
          <t>BGR</t>
        </is>
      </c>
      <c r="C780" t="n">
        <v>2006</v>
      </c>
      <c r="D780" t="n">
        <v>7.26159462769944</v>
      </c>
    </row>
    <row r="781">
      <c r="A781" t="inlineStr">
        <is>
          <t>Bulgaria</t>
        </is>
      </c>
      <c r="B781" t="inlineStr">
        <is>
          <t>BGR</t>
        </is>
      </c>
      <c r="C781" t="n">
        <v>2007</v>
      </c>
      <c r="D781" t="n">
        <v>8.40253419005901</v>
      </c>
    </row>
    <row r="782">
      <c r="A782" t="inlineStr">
        <is>
          <t>Bulgaria</t>
        </is>
      </c>
      <c r="B782" t="inlineStr">
        <is>
          <t>BGR</t>
        </is>
      </c>
      <c r="C782" t="n">
        <v>2008</v>
      </c>
      <c r="D782" t="n">
        <v>12.3487195994021</v>
      </c>
    </row>
    <row r="783">
      <c r="A783" t="inlineStr">
        <is>
          <t>Bulgaria</t>
        </is>
      </c>
      <c r="B783" t="inlineStr">
        <is>
          <t>BGR</t>
        </is>
      </c>
      <c r="C783" t="n">
        <v>2009</v>
      </c>
      <c r="D783" t="n">
        <v>2.75320223914816</v>
      </c>
    </row>
    <row r="784">
      <c r="A784" t="inlineStr">
        <is>
          <t>Bulgaria</t>
        </is>
      </c>
      <c r="B784" t="inlineStr">
        <is>
          <t>BGR</t>
        </is>
      </c>
      <c r="C784" t="n">
        <v>2010</v>
      </c>
      <c r="D784" t="n">
        <v>2.43899060504113</v>
      </c>
    </row>
    <row r="785">
      <c r="A785" t="inlineStr">
        <is>
          <t>Bulgaria</t>
        </is>
      </c>
      <c r="B785" t="inlineStr">
        <is>
          <t>BGR</t>
        </is>
      </c>
      <c r="C785" t="n">
        <v>2011</v>
      </c>
      <c r="D785" t="n">
        <v>4.21990346601873</v>
      </c>
    </row>
    <row r="786">
      <c r="A786" t="inlineStr">
        <is>
          <t>Bulgaria</t>
        </is>
      </c>
      <c r="B786" t="inlineStr">
        <is>
          <t>BGR</t>
        </is>
      </c>
      <c r="C786" t="n">
        <v>2012</v>
      </c>
      <c r="D786" t="n">
        <v>2.95456829831022</v>
      </c>
    </row>
    <row r="787">
      <c r="A787" t="inlineStr">
        <is>
          <t>Bulgaria</t>
        </is>
      </c>
      <c r="B787" t="inlineStr">
        <is>
          <t>BGR</t>
        </is>
      </c>
      <c r="C787" t="n">
        <v>2013</v>
      </c>
      <c r="D787" t="n">
        <v>0.890093540913002</v>
      </c>
    </row>
    <row r="788">
      <c r="A788" t="inlineStr">
        <is>
          <t>Bulgaria</t>
        </is>
      </c>
      <c r="B788" t="inlineStr">
        <is>
          <t>BGR</t>
        </is>
      </c>
      <c r="C788" t="n">
        <v>2014</v>
      </c>
      <c r="D788" t="n">
        <v>-1.4181838026484</v>
      </c>
    </row>
    <row r="789">
      <c r="A789" t="inlineStr">
        <is>
          <t>Bulgaria</t>
        </is>
      </c>
      <c r="B789" t="inlineStr">
        <is>
          <t>BGR</t>
        </is>
      </c>
      <c r="C789" t="n">
        <v>2015</v>
      </c>
      <c r="D789" t="n">
        <v>-0.104633261008385</v>
      </c>
    </row>
    <row r="790">
      <c r="A790" t="inlineStr">
        <is>
          <t>Bulgaria</t>
        </is>
      </c>
      <c r="B790" t="inlineStr">
        <is>
          <t>BGR</t>
        </is>
      </c>
      <c r="C790" t="n">
        <v>2016</v>
      </c>
      <c r="D790" t="n">
        <v>-0.79864988645371</v>
      </c>
    </row>
    <row r="791">
      <c r="A791" t="inlineStr">
        <is>
          <t>Bulgaria</t>
        </is>
      </c>
      <c r="B791" t="inlineStr">
        <is>
          <t>BGR</t>
        </is>
      </c>
      <c r="C791" t="n">
        <v>2017</v>
      </c>
      <c r="D791" t="n">
        <v>2.06159619443141</v>
      </c>
    </row>
    <row r="792">
      <c r="A792" t="inlineStr">
        <is>
          <t>Bulgaria</t>
        </is>
      </c>
      <c r="B792" t="inlineStr">
        <is>
          <t>BGR</t>
        </is>
      </c>
      <c r="C792" t="n">
        <v>2018</v>
      </c>
      <c r="D792" t="n">
        <v>2.81454473824829</v>
      </c>
    </row>
    <row r="793">
      <c r="A793" t="inlineStr">
        <is>
          <t>Bulgaria</t>
        </is>
      </c>
      <c r="B793" t="inlineStr">
        <is>
          <t>BGR</t>
        </is>
      </c>
      <c r="C793" t="n">
        <v>2019</v>
      </c>
      <c r="D793" t="n">
        <v>3.10372944796781</v>
      </c>
    </row>
    <row r="794">
      <c r="A794" t="inlineStr">
        <is>
          <t>Bulgaria</t>
        </is>
      </c>
      <c r="B794" t="inlineStr">
        <is>
          <t>BGR</t>
        </is>
      </c>
      <c r="C794" t="n">
        <v>2020</v>
      </c>
      <c r="D794" t="n">
        <v>1.67244096855756</v>
      </c>
    </row>
    <row r="795">
      <c r="A795" t="inlineStr">
        <is>
          <t>Bulgaria</t>
        </is>
      </c>
      <c r="B795" t="inlineStr">
        <is>
          <t>BGR</t>
        </is>
      </c>
      <c r="C795" t="n">
        <v>2021</v>
      </c>
      <c r="D795" t="n">
        <v>3.29774435299515</v>
      </c>
    </row>
    <row r="796">
      <c r="A796" t="inlineStr">
        <is>
          <t>Bulgaria</t>
        </is>
      </c>
      <c r="B796" t="inlineStr">
        <is>
          <t>BGR</t>
        </is>
      </c>
      <c r="C796" t="n">
        <v>2022</v>
      </c>
      <c r="D796" t="n">
        <v>15.3252589264366</v>
      </c>
    </row>
    <row r="797">
      <c r="A797" t="inlineStr">
        <is>
          <t>Bulgaria</t>
        </is>
      </c>
      <c r="B797" t="inlineStr">
        <is>
          <t>BGR</t>
        </is>
      </c>
      <c r="C797" t="n">
        <v>2023</v>
      </c>
      <c r="D797" t="n">
        <v>9.442841400885641</v>
      </c>
    </row>
    <row r="798">
      <c r="A798" t="inlineStr">
        <is>
          <t>Bulgaria</t>
        </is>
      </c>
      <c r="B798" t="inlineStr">
        <is>
          <t>BGR</t>
        </is>
      </c>
      <c r="C798" t="n">
        <v>2024</v>
      </c>
      <c r="D798" t="n">
        <v>2.44651943006079</v>
      </c>
    </row>
    <row r="799">
      <c r="A799" t="inlineStr">
        <is>
          <t>Bahrain</t>
        </is>
      </c>
      <c r="B799" t="inlineStr">
        <is>
          <t>BHR</t>
        </is>
      </c>
      <c r="C799" t="n">
        <v>1966</v>
      </c>
      <c r="D799" t="n">
        <v>2.13447171852241</v>
      </c>
    </row>
    <row r="800">
      <c r="A800" t="inlineStr">
        <is>
          <t>Bahrain</t>
        </is>
      </c>
      <c r="B800" t="inlineStr">
        <is>
          <t>BHR</t>
        </is>
      </c>
      <c r="C800" t="n">
        <v>1967</v>
      </c>
      <c r="D800" t="n">
        <v>4.2580982230929</v>
      </c>
    </row>
    <row r="801">
      <c r="A801" t="inlineStr">
        <is>
          <t>Bahrain</t>
        </is>
      </c>
      <c r="B801" t="inlineStr">
        <is>
          <t>BHR</t>
        </is>
      </c>
      <c r="C801" t="n">
        <v>1968</v>
      </c>
      <c r="D801" t="n">
        <v>3.25732899024462</v>
      </c>
    </row>
    <row r="802">
      <c r="A802" t="inlineStr">
        <is>
          <t>Bahrain</t>
        </is>
      </c>
      <c r="B802" t="inlineStr">
        <is>
          <t>BHR</t>
        </is>
      </c>
      <c r="C802" t="n">
        <v>1969</v>
      </c>
      <c r="D802" t="n">
        <v>-0.19412763892392</v>
      </c>
    </row>
    <row r="803">
      <c r="A803" t="inlineStr">
        <is>
          <t>Bahrain</t>
        </is>
      </c>
      <c r="B803" t="inlineStr">
        <is>
          <t>BHR</t>
        </is>
      </c>
      <c r="C803" t="n">
        <v>1970</v>
      </c>
      <c r="D803" t="n">
        <v>1.62898127839351</v>
      </c>
    </row>
    <row r="804">
      <c r="A804" t="inlineStr">
        <is>
          <t>Bahrain</t>
        </is>
      </c>
      <c r="B804" t="inlineStr">
        <is>
          <t>BHR</t>
        </is>
      </c>
      <c r="C804" t="n">
        <v>1971</v>
      </c>
      <c r="D804" t="n">
        <v>5.78947368498404</v>
      </c>
    </row>
    <row r="805">
      <c r="A805" t="inlineStr">
        <is>
          <t>Bahrain</t>
        </is>
      </c>
      <c r="B805" t="inlineStr">
        <is>
          <t>BHR</t>
        </is>
      </c>
      <c r="C805" t="n">
        <v>1972</v>
      </c>
      <c r="D805" t="n">
        <v>5.08819538648815</v>
      </c>
    </row>
    <row r="806">
      <c r="A806" t="inlineStr">
        <is>
          <t>Bahrain</t>
        </is>
      </c>
      <c r="B806" t="inlineStr">
        <is>
          <t>BHR</t>
        </is>
      </c>
      <c r="C806" t="n">
        <v>1973</v>
      </c>
      <c r="D806" t="n">
        <v>14.3318269849978</v>
      </c>
    </row>
    <row r="807">
      <c r="A807" t="inlineStr">
        <is>
          <t>Bahrain</t>
        </is>
      </c>
      <c r="B807" t="inlineStr">
        <is>
          <t>BHR</t>
        </is>
      </c>
      <c r="C807" t="n">
        <v>1974</v>
      </c>
      <c r="D807" t="n">
        <v>24.3929983061798</v>
      </c>
    </row>
    <row r="808">
      <c r="A808" t="inlineStr">
        <is>
          <t>Bahrain</t>
        </is>
      </c>
      <c r="B808" t="inlineStr">
        <is>
          <t>BHR</t>
        </is>
      </c>
      <c r="C808" t="n">
        <v>1975</v>
      </c>
      <c r="D808" t="n">
        <v>16.1597821153707</v>
      </c>
    </row>
    <row r="809">
      <c r="A809" t="inlineStr">
        <is>
          <t>Bahrain</t>
        </is>
      </c>
      <c r="B809" t="inlineStr">
        <is>
          <t>BHR</t>
        </is>
      </c>
      <c r="C809" t="n">
        <v>1976</v>
      </c>
      <c r="D809" t="n">
        <v>22.495766575964</v>
      </c>
    </row>
    <row r="810">
      <c r="A810" t="inlineStr">
        <is>
          <t>Bahrain</t>
        </is>
      </c>
      <c r="B810" t="inlineStr">
        <is>
          <t>BHR</t>
        </is>
      </c>
      <c r="C810" t="n">
        <v>1977</v>
      </c>
      <c r="D810" t="n">
        <v>17.7311208942373</v>
      </c>
    </row>
    <row r="811">
      <c r="A811" t="inlineStr">
        <is>
          <t>Bahrain</t>
        </is>
      </c>
      <c r="B811" t="inlineStr">
        <is>
          <t>BHR</t>
        </is>
      </c>
      <c r="C811" t="n">
        <v>1978</v>
      </c>
      <c r="D811" t="n">
        <v>15.7855375941987</v>
      </c>
    </row>
    <row r="812">
      <c r="A812" t="inlineStr">
        <is>
          <t>Bahrain</t>
        </is>
      </c>
      <c r="B812" t="inlineStr">
        <is>
          <t>BHR</t>
        </is>
      </c>
      <c r="C812" t="n">
        <v>1979</v>
      </c>
      <c r="D812" t="n">
        <v>2.20599195116767</v>
      </c>
    </row>
    <row r="813">
      <c r="A813" t="inlineStr">
        <is>
          <t>Bahrain</t>
        </is>
      </c>
      <c r="B813" t="inlineStr">
        <is>
          <t>BHR</t>
        </is>
      </c>
      <c r="C813" t="n">
        <v>1980</v>
      </c>
      <c r="D813" t="n">
        <v>3.86952505941503</v>
      </c>
    </row>
    <row r="814">
      <c r="A814" t="inlineStr">
        <is>
          <t>Bahrain</t>
        </is>
      </c>
      <c r="B814" t="inlineStr">
        <is>
          <t>BHR</t>
        </is>
      </c>
      <c r="C814" t="n">
        <v>1981</v>
      </c>
      <c r="D814" t="n">
        <v>11.3445968083975</v>
      </c>
    </row>
    <row r="815">
      <c r="A815" t="inlineStr">
        <is>
          <t>Bahrain</t>
        </is>
      </c>
      <c r="B815" t="inlineStr">
        <is>
          <t>BHR</t>
        </is>
      </c>
      <c r="C815" t="n">
        <v>1982</v>
      </c>
      <c r="D815" t="n">
        <v>8.88571308471459</v>
      </c>
    </row>
    <row r="816">
      <c r="A816" t="inlineStr">
        <is>
          <t>Bahrain</t>
        </is>
      </c>
      <c r="B816" t="inlineStr">
        <is>
          <t>BHR</t>
        </is>
      </c>
      <c r="C816" t="n">
        <v>1983</v>
      </c>
      <c r="D816" t="n">
        <v>2.97239915075073</v>
      </c>
    </row>
    <row r="817">
      <c r="A817" t="inlineStr">
        <is>
          <t>Bahrain</t>
        </is>
      </c>
      <c r="B817" t="inlineStr">
        <is>
          <t>BHR</t>
        </is>
      </c>
      <c r="C817" t="n">
        <v>1984</v>
      </c>
      <c r="D817" t="n">
        <v>0.322399250235326</v>
      </c>
    </row>
    <row r="818">
      <c r="A818" t="inlineStr">
        <is>
          <t>Bahrain</t>
        </is>
      </c>
      <c r="B818" t="inlineStr">
        <is>
          <t>BHR</t>
        </is>
      </c>
      <c r="C818" t="n">
        <v>1985</v>
      </c>
      <c r="D818" t="n">
        <v>-2.6359693029697</v>
      </c>
    </row>
    <row r="819">
      <c r="A819" t="inlineStr">
        <is>
          <t>Bahrain</t>
        </is>
      </c>
      <c r="B819" t="inlineStr">
        <is>
          <t>BHR</t>
        </is>
      </c>
      <c r="C819" t="n">
        <v>1986</v>
      </c>
      <c r="D819" t="n">
        <v>-2.2960932141956</v>
      </c>
    </row>
    <row r="820">
      <c r="A820" t="inlineStr">
        <is>
          <t>Bahrain</t>
        </is>
      </c>
      <c r="B820" t="inlineStr">
        <is>
          <t>BHR</t>
        </is>
      </c>
      <c r="C820" t="n">
        <v>1987</v>
      </c>
      <c r="D820" t="n">
        <v>-1.7450017537706</v>
      </c>
    </row>
    <row r="821">
      <c r="A821" t="inlineStr">
        <is>
          <t>Bahrain</t>
        </is>
      </c>
      <c r="B821" t="inlineStr">
        <is>
          <t>BHR</t>
        </is>
      </c>
      <c r="C821" t="n">
        <v>1988</v>
      </c>
      <c r="D821" t="n">
        <v>0.303435966086578</v>
      </c>
    </row>
    <row r="822">
      <c r="A822" t="inlineStr">
        <is>
          <t>Bahrain</t>
        </is>
      </c>
      <c r="B822" t="inlineStr">
        <is>
          <t>BHR</t>
        </is>
      </c>
      <c r="C822" t="n">
        <v>1989</v>
      </c>
      <c r="D822" t="n">
        <v>1.48589732182571</v>
      </c>
    </row>
    <row r="823">
      <c r="A823" t="inlineStr">
        <is>
          <t>Bahrain</t>
        </is>
      </c>
      <c r="B823" t="inlineStr">
        <is>
          <t>BHR</t>
        </is>
      </c>
      <c r="C823" t="n">
        <v>1990</v>
      </c>
      <c r="D823" t="n">
        <v>0.929335437489093</v>
      </c>
    </row>
    <row r="824">
      <c r="A824" t="inlineStr">
        <is>
          <t>Bahrain</t>
        </is>
      </c>
      <c r="B824" t="inlineStr">
        <is>
          <t>BHR</t>
        </is>
      </c>
      <c r="C824" t="n">
        <v>1991</v>
      </c>
      <c r="D824" t="n">
        <v>0.764419735927609</v>
      </c>
    </row>
    <row r="825">
      <c r="A825" t="inlineStr">
        <is>
          <t>Bahrain</t>
        </is>
      </c>
      <c r="B825" t="inlineStr">
        <is>
          <t>BHR</t>
        </is>
      </c>
      <c r="C825" t="n">
        <v>1992</v>
      </c>
      <c r="D825" t="n">
        <v>-0.172413793103312</v>
      </c>
    </row>
    <row r="826">
      <c r="A826" t="inlineStr">
        <is>
          <t>Bahrain</t>
        </is>
      </c>
      <c r="B826" t="inlineStr">
        <is>
          <t>BHR</t>
        </is>
      </c>
      <c r="C826" t="n">
        <v>1993</v>
      </c>
      <c r="D826" t="n">
        <v>2.53886010362695</v>
      </c>
    </row>
    <row r="827">
      <c r="A827" t="inlineStr">
        <is>
          <t>Bahrain</t>
        </is>
      </c>
      <c r="B827" t="inlineStr">
        <is>
          <t>BHR</t>
        </is>
      </c>
      <c r="C827" t="n">
        <v>1994</v>
      </c>
      <c r="D827" t="n">
        <v>0.816910897759778</v>
      </c>
    </row>
    <row r="828">
      <c r="A828" t="inlineStr">
        <is>
          <t>Bahrain</t>
        </is>
      </c>
      <c r="B828" t="inlineStr">
        <is>
          <t>BHR</t>
        </is>
      </c>
      <c r="C828" t="n">
        <v>1995</v>
      </c>
      <c r="D828" t="n">
        <v>2.70403475064704</v>
      </c>
    </row>
    <row r="829">
      <c r="A829" t="inlineStr">
        <is>
          <t>Bahrain</t>
        </is>
      </c>
      <c r="B829" t="inlineStr">
        <is>
          <t>BHR</t>
        </is>
      </c>
      <c r="C829" t="n">
        <v>1996</v>
      </c>
      <c r="D829" t="n">
        <v>-0.452227382530348</v>
      </c>
    </row>
    <row r="830">
      <c r="A830" t="inlineStr">
        <is>
          <t>Bahrain</t>
        </is>
      </c>
      <c r="B830" t="inlineStr">
        <is>
          <t>BHR</t>
        </is>
      </c>
      <c r="C830" t="n">
        <v>1997</v>
      </c>
      <c r="D830" t="n">
        <v>2.43155133955926</v>
      </c>
    </row>
    <row r="831">
      <c r="A831" t="inlineStr">
        <is>
          <t>Bahrain</t>
        </is>
      </c>
      <c r="B831" t="inlineStr">
        <is>
          <t>BHR</t>
        </is>
      </c>
      <c r="C831" t="n">
        <v>1998</v>
      </c>
      <c r="D831" t="n">
        <v>-0.366533864541774</v>
      </c>
    </row>
    <row r="832">
      <c r="A832" t="inlineStr">
        <is>
          <t>Bahrain</t>
        </is>
      </c>
      <c r="B832" t="inlineStr">
        <is>
          <t>BHR</t>
        </is>
      </c>
      <c r="C832" t="n">
        <v>1999</v>
      </c>
      <c r="D832" t="n">
        <v>-1.2875879718491</v>
      </c>
    </row>
    <row r="833">
      <c r="A833" t="inlineStr">
        <is>
          <t>Bahrain</t>
        </is>
      </c>
      <c r="B833" t="inlineStr">
        <is>
          <t>BHR</t>
        </is>
      </c>
      <c r="C833" t="n">
        <v>2000</v>
      </c>
      <c r="D833" t="n">
        <v>-0.70485295309079</v>
      </c>
    </row>
    <row r="834">
      <c r="A834" t="inlineStr">
        <is>
          <t>Bahrain</t>
        </is>
      </c>
      <c r="B834" t="inlineStr">
        <is>
          <t>BHR</t>
        </is>
      </c>
      <c r="C834" t="n">
        <v>2001</v>
      </c>
      <c r="D834" t="n">
        <v>-1.20757180156659</v>
      </c>
    </row>
    <row r="835">
      <c r="A835" t="inlineStr">
        <is>
          <t>Bahrain</t>
        </is>
      </c>
      <c r="B835" t="inlineStr">
        <is>
          <t>BHR</t>
        </is>
      </c>
      <c r="C835" t="n">
        <v>2002</v>
      </c>
      <c r="D835" t="n">
        <v>-0.495540138751154</v>
      </c>
    </row>
    <row r="836">
      <c r="A836" t="inlineStr">
        <is>
          <t>Bahrain</t>
        </is>
      </c>
      <c r="B836" t="inlineStr">
        <is>
          <t>BHR</t>
        </is>
      </c>
      <c r="C836" t="n">
        <v>2003</v>
      </c>
      <c r="D836" t="n">
        <v>1.59362549800787</v>
      </c>
    </row>
    <row r="837">
      <c r="A837" t="inlineStr">
        <is>
          <t>Bahrain</t>
        </is>
      </c>
      <c r="B837" t="inlineStr">
        <is>
          <t>BHR</t>
        </is>
      </c>
      <c r="C837" t="n">
        <v>2004</v>
      </c>
      <c r="D837" t="n">
        <v>2.35294117647062</v>
      </c>
    </row>
    <row r="838">
      <c r="A838" t="inlineStr">
        <is>
          <t>Bahrain</t>
        </is>
      </c>
      <c r="B838" t="inlineStr">
        <is>
          <t>BHR</t>
        </is>
      </c>
      <c r="C838" t="n">
        <v>2005</v>
      </c>
      <c r="D838" t="n">
        <v>2.58620689655173</v>
      </c>
    </row>
    <row r="839">
      <c r="A839" t="inlineStr">
        <is>
          <t>Bahrain</t>
        </is>
      </c>
      <c r="B839" t="inlineStr">
        <is>
          <t>BHR</t>
        </is>
      </c>
      <c r="C839" t="n">
        <v>2006</v>
      </c>
      <c r="D839" t="n">
        <v>2.00746965452849</v>
      </c>
    </row>
    <row r="840">
      <c r="A840" t="inlineStr">
        <is>
          <t>Bahrain</t>
        </is>
      </c>
      <c r="B840" t="inlineStr">
        <is>
          <t>BHR</t>
        </is>
      </c>
      <c r="C840" t="n">
        <v>2007</v>
      </c>
      <c r="D840" t="n">
        <v>3.25666666666703</v>
      </c>
    </row>
    <row r="841">
      <c r="A841" t="inlineStr">
        <is>
          <t>Bahrain</t>
        </is>
      </c>
      <c r="B841" t="inlineStr">
        <is>
          <t>BHR</t>
        </is>
      </c>
      <c r="C841" t="n">
        <v>2008</v>
      </c>
      <c r="D841" t="n">
        <v>3.52600316363721</v>
      </c>
    </row>
    <row r="842">
      <c r="A842" t="inlineStr">
        <is>
          <t>Bahrain</t>
        </is>
      </c>
      <c r="B842" t="inlineStr">
        <is>
          <t>BHR</t>
        </is>
      </c>
      <c r="C842" t="n">
        <v>2009</v>
      </c>
      <c r="D842" t="n">
        <v>2.79551283550412</v>
      </c>
    </row>
    <row r="843">
      <c r="A843" t="inlineStr">
        <is>
          <t>Bahrain</t>
        </is>
      </c>
      <c r="B843" t="inlineStr">
        <is>
          <t>BHR</t>
        </is>
      </c>
      <c r="C843" t="n">
        <v>2010</v>
      </c>
      <c r="D843" t="n">
        <v>1.96188468334623</v>
      </c>
    </row>
    <row r="844">
      <c r="A844" t="inlineStr">
        <is>
          <t>Bahrain</t>
        </is>
      </c>
      <c r="B844" t="inlineStr">
        <is>
          <t>BHR</t>
        </is>
      </c>
      <c r="C844" t="n">
        <v>2011</v>
      </c>
      <c r="D844" t="n">
        <v>-0.40004069748808</v>
      </c>
    </row>
    <row r="845">
      <c r="A845" t="inlineStr">
        <is>
          <t>Bahrain</t>
        </is>
      </c>
      <c r="B845" t="inlineStr">
        <is>
          <t>BHR</t>
        </is>
      </c>
      <c r="C845" t="n">
        <v>2012</v>
      </c>
      <c r="D845" t="n">
        <v>2.75739669962979</v>
      </c>
    </row>
    <row r="846">
      <c r="A846" t="inlineStr">
        <is>
          <t>Bahrain</t>
        </is>
      </c>
      <c r="B846" t="inlineStr">
        <is>
          <t>BHR</t>
        </is>
      </c>
      <c r="C846" t="n">
        <v>2013</v>
      </c>
      <c r="D846" t="n">
        <v>3.30001156888442</v>
      </c>
    </row>
    <row r="847">
      <c r="A847" t="inlineStr">
        <is>
          <t>Bahrain</t>
        </is>
      </c>
      <c r="B847" t="inlineStr">
        <is>
          <t>BHR</t>
        </is>
      </c>
      <c r="C847" t="n">
        <v>2014</v>
      </c>
      <c r="D847" t="n">
        <v>2.64755321246189</v>
      </c>
    </row>
    <row r="848">
      <c r="A848" t="inlineStr">
        <is>
          <t>Bahrain</t>
        </is>
      </c>
      <c r="B848" t="inlineStr">
        <is>
          <t>BHR</t>
        </is>
      </c>
      <c r="C848" t="n">
        <v>2015</v>
      </c>
      <c r="D848" t="n">
        <v>1.84862742374977</v>
      </c>
    </row>
    <row r="849">
      <c r="A849" t="inlineStr">
        <is>
          <t>Bahrain</t>
        </is>
      </c>
      <c r="B849" t="inlineStr">
        <is>
          <t>BHR</t>
        </is>
      </c>
      <c r="C849" t="n">
        <v>2016</v>
      </c>
      <c r="D849" t="n">
        <v>2.78679347602044</v>
      </c>
    </row>
    <row r="850">
      <c r="A850" t="inlineStr">
        <is>
          <t>Bahrain</t>
        </is>
      </c>
      <c r="B850" t="inlineStr">
        <is>
          <t>BHR</t>
        </is>
      </c>
      <c r="C850" t="n">
        <v>2017</v>
      </c>
      <c r="D850" t="n">
        <v>1.38671830576406</v>
      </c>
    </row>
    <row r="851">
      <c r="A851" t="inlineStr">
        <is>
          <t>Bahrain</t>
        </is>
      </c>
      <c r="B851" t="inlineStr">
        <is>
          <t>BHR</t>
        </is>
      </c>
      <c r="C851" t="n">
        <v>2018</v>
      </c>
      <c r="D851" t="n">
        <v>2.08766938046978</v>
      </c>
    </row>
    <row r="852">
      <c r="A852" t="inlineStr">
        <is>
          <t>Bahrain</t>
        </is>
      </c>
      <c r="B852" t="inlineStr">
        <is>
          <t>BHR</t>
        </is>
      </c>
      <c r="C852" t="n">
        <v>2019</v>
      </c>
      <c r="D852" t="n">
        <v>1.00582004702137</v>
      </c>
    </row>
    <row r="853">
      <c r="A853" t="inlineStr">
        <is>
          <t>Bahrain</t>
        </is>
      </c>
      <c r="B853" t="inlineStr">
        <is>
          <t>BHR</t>
        </is>
      </c>
      <c r="C853" t="n">
        <v>2020</v>
      </c>
      <c r="D853" t="n">
        <v>-2.31770629331379</v>
      </c>
    </row>
    <row r="854">
      <c r="A854" t="inlineStr">
        <is>
          <t>Bahrain</t>
        </is>
      </c>
      <c r="B854" t="inlineStr">
        <is>
          <t>BHR</t>
        </is>
      </c>
      <c r="C854" t="n">
        <v>2021</v>
      </c>
      <c r="D854" t="n">
        <v>-0.60631938514085</v>
      </c>
    </row>
    <row r="855">
      <c r="A855" t="inlineStr">
        <is>
          <t>Bahrain</t>
        </is>
      </c>
      <c r="B855" t="inlineStr">
        <is>
          <t>BHR</t>
        </is>
      </c>
      <c r="C855" t="n">
        <v>2022</v>
      </c>
      <c r="D855" t="n">
        <v>3.62574104304482</v>
      </c>
    </row>
    <row r="856">
      <c r="A856" t="inlineStr">
        <is>
          <t>Bahrain</t>
        </is>
      </c>
      <c r="B856" t="inlineStr">
        <is>
          <t>BHR</t>
        </is>
      </c>
      <c r="C856" t="n">
        <v>2023</v>
      </c>
      <c r="D856" t="n">
        <v>0.07462067821922561</v>
      </c>
    </row>
    <row r="857">
      <c r="A857" t="inlineStr">
        <is>
          <t>Bahrain</t>
        </is>
      </c>
      <c r="B857" t="inlineStr">
        <is>
          <t>BHR</t>
        </is>
      </c>
      <c r="C857" t="n">
        <v>2024</v>
      </c>
      <c r="D857" t="n">
        <v>0.919635459817651</v>
      </c>
    </row>
    <row r="858">
      <c r="A858" t="inlineStr">
        <is>
          <t>Bahamas, The</t>
        </is>
      </c>
      <c r="B858" t="inlineStr">
        <is>
          <t>BHS</t>
        </is>
      </c>
      <c r="C858" t="n">
        <v>1967</v>
      </c>
      <c r="D858" t="n">
        <v>5.43775649904798</v>
      </c>
    </row>
    <row r="859">
      <c r="A859" t="inlineStr">
        <is>
          <t>Bahamas, The</t>
        </is>
      </c>
      <c r="B859" t="inlineStr">
        <is>
          <t>BHS</t>
        </is>
      </c>
      <c r="C859" t="n">
        <v>1968</v>
      </c>
      <c r="D859" t="n">
        <v>4.54103146287562</v>
      </c>
    </row>
    <row r="860">
      <c r="A860" t="inlineStr">
        <is>
          <t>Bahamas, The</t>
        </is>
      </c>
      <c r="B860" t="inlineStr">
        <is>
          <t>BHS</t>
        </is>
      </c>
      <c r="C860" t="n">
        <v>1969</v>
      </c>
      <c r="D860" t="n">
        <v>8.93577412289434</v>
      </c>
    </row>
    <row r="861">
      <c r="A861" t="inlineStr">
        <is>
          <t>Bahamas, The</t>
        </is>
      </c>
      <c r="B861" t="inlineStr">
        <is>
          <t>BHS</t>
        </is>
      </c>
      <c r="C861" t="n">
        <v>1970</v>
      </c>
      <c r="D861" t="n">
        <v>6.15209342130048</v>
      </c>
    </row>
    <row r="862">
      <c r="A862" t="inlineStr">
        <is>
          <t>Bahamas, The</t>
        </is>
      </c>
      <c r="B862" t="inlineStr">
        <is>
          <t>BHS</t>
        </is>
      </c>
      <c r="C862" t="n">
        <v>1971</v>
      </c>
      <c r="D862" t="n">
        <v>4.61497182668251</v>
      </c>
    </row>
    <row r="863">
      <c r="A863" t="inlineStr">
        <is>
          <t>Bahamas, The</t>
        </is>
      </c>
      <c r="B863" t="inlineStr">
        <is>
          <t>BHS</t>
        </is>
      </c>
      <c r="C863" t="n">
        <v>1972</v>
      </c>
      <c r="D863" t="n">
        <v>6.83081131902369</v>
      </c>
    </row>
    <row r="864">
      <c r="A864" t="inlineStr">
        <is>
          <t>Bahamas, The</t>
        </is>
      </c>
      <c r="B864" t="inlineStr">
        <is>
          <t>BHS</t>
        </is>
      </c>
      <c r="C864" t="n">
        <v>1973</v>
      </c>
      <c r="D864" t="n">
        <v>5.48175416169897</v>
      </c>
    </row>
    <row r="865">
      <c r="A865" t="inlineStr">
        <is>
          <t>Bahamas, The</t>
        </is>
      </c>
      <c r="B865" t="inlineStr">
        <is>
          <t>BHS</t>
        </is>
      </c>
      <c r="C865" t="n">
        <v>1974</v>
      </c>
      <c r="D865" t="n">
        <v>13.0718458387012</v>
      </c>
    </row>
    <row r="866">
      <c r="A866" t="inlineStr">
        <is>
          <t>Bahamas, The</t>
        </is>
      </c>
      <c r="B866" t="inlineStr">
        <is>
          <t>BHS</t>
        </is>
      </c>
      <c r="C866" t="n">
        <v>1975</v>
      </c>
      <c r="D866" t="n">
        <v>10.3596349973051</v>
      </c>
    </row>
    <row r="867">
      <c r="A867" t="inlineStr">
        <is>
          <t>Bahamas, The</t>
        </is>
      </c>
      <c r="B867" t="inlineStr">
        <is>
          <t>BHS</t>
        </is>
      </c>
      <c r="C867" t="n">
        <v>1976</v>
      </c>
      <c r="D867" t="n">
        <v>4.25583657583811</v>
      </c>
    </row>
    <row r="868">
      <c r="A868" t="inlineStr">
        <is>
          <t>Bahamas, The</t>
        </is>
      </c>
      <c r="B868" t="inlineStr">
        <is>
          <t>BHS</t>
        </is>
      </c>
      <c r="C868" t="n">
        <v>1977</v>
      </c>
      <c r="D868" t="n">
        <v>3.1898763705574</v>
      </c>
    </row>
    <row r="869">
      <c r="A869" t="inlineStr">
        <is>
          <t>Bahamas, The</t>
        </is>
      </c>
      <c r="B869" t="inlineStr">
        <is>
          <t>BHS</t>
        </is>
      </c>
      <c r="C869" t="n">
        <v>1978</v>
      </c>
      <c r="D869" t="n">
        <v>6.10907035899874</v>
      </c>
    </row>
    <row r="870">
      <c r="A870" t="inlineStr">
        <is>
          <t>Bahamas, The</t>
        </is>
      </c>
      <c r="B870" t="inlineStr">
        <is>
          <t>BHS</t>
        </is>
      </c>
      <c r="C870" t="n">
        <v>1979</v>
      </c>
      <c r="D870" t="n">
        <v>9.091393267924129</v>
      </c>
    </row>
    <row r="871">
      <c r="A871" t="inlineStr">
        <is>
          <t>Bahamas, The</t>
        </is>
      </c>
      <c r="B871" t="inlineStr">
        <is>
          <t>BHS</t>
        </is>
      </c>
      <c r="C871" t="n">
        <v>1980</v>
      </c>
      <c r="D871" t="n">
        <v>12.0978372310682</v>
      </c>
    </row>
    <row r="872">
      <c r="A872" t="inlineStr">
        <is>
          <t>Bahamas, The</t>
        </is>
      </c>
      <c r="B872" t="inlineStr">
        <is>
          <t>BHS</t>
        </is>
      </c>
      <c r="C872" t="n">
        <v>1981</v>
      </c>
      <c r="D872" t="n">
        <v>11.1144984973891</v>
      </c>
    </row>
    <row r="873">
      <c r="A873" t="inlineStr">
        <is>
          <t>Bahamas, The</t>
        </is>
      </c>
      <c r="B873" t="inlineStr">
        <is>
          <t>BHS</t>
        </is>
      </c>
      <c r="C873" t="n">
        <v>1982</v>
      </c>
      <c r="D873" t="n">
        <v>6.01262101667498</v>
      </c>
    </row>
    <row r="874">
      <c r="A874" t="inlineStr">
        <is>
          <t>Bahamas, The</t>
        </is>
      </c>
      <c r="B874" t="inlineStr">
        <is>
          <t>BHS</t>
        </is>
      </c>
      <c r="C874" t="n">
        <v>1983</v>
      </c>
      <c r="D874" t="n">
        <v>3.99999999999994</v>
      </c>
    </row>
    <row r="875">
      <c r="A875" t="inlineStr">
        <is>
          <t>Bahamas, The</t>
        </is>
      </c>
      <c r="B875" t="inlineStr">
        <is>
          <t>BHS</t>
        </is>
      </c>
      <c r="C875" t="n">
        <v>1984</v>
      </c>
      <c r="D875" t="n">
        <v>3.96634615384615</v>
      </c>
    </row>
    <row r="876">
      <c r="A876" t="inlineStr">
        <is>
          <t>Bahamas, The</t>
        </is>
      </c>
      <c r="B876" t="inlineStr">
        <is>
          <t>BHS</t>
        </is>
      </c>
      <c r="C876" t="n">
        <v>1985</v>
      </c>
      <c r="D876" t="n">
        <v>4.60500963391135</v>
      </c>
    </row>
    <row r="877">
      <c r="A877" t="inlineStr">
        <is>
          <t>Bahamas, The</t>
        </is>
      </c>
      <c r="B877" t="inlineStr">
        <is>
          <t>BHS</t>
        </is>
      </c>
      <c r="C877" t="n">
        <v>1986</v>
      </c>
      <c r="D877" t="n">
        <v>5.43378154356233</v>
      </c>
    </row>
    <row r="878">
      <c r="A878" t="inlineStr">
        <is>
          <t>Bahamas, The</t>
        </is>
      </c>
      <c r="B878" t="inlineStr">
        <is>
          <t>BHS</t>
        </is>
      </c>
      <c r="C878" t="n">
        <v>1987</v>
      </c>
      <c r="D878" t="n">
        <v>5.75646401118136</v>
      </c>
    </row>
    <row r="879">
      <c r="A879" t="inlineStr">
        <is>
          <t>Bahamas, The</t>
        </is>
      </c>
      <c r="B879" t="inlineStr">
        <is>
          <t>BHS</t>
        </is>
      </c>
      <c r="C879" t="n">
        <v>1988</v>
      </c>
      <c r="D879" t="n">
        <v>4.40241182786764</v>
      </c>
    </row>
    <row r="880">
      <c r="A880" t="inlineStr">
        <is>
          <t>Bahamas, The</t>
        </is>
      </c>
      <c r="B880" t="inlineStr">
        <is>
          <t>BHS</t>
        </is>
      </c>
      <c r="C880" t="n">
        <v>1989</v>
      </c>
      <c r="D880" t="n">
        <v>5.38765822784807</v>
      </c>
    </row>
    <row r="881">
      <c r="A881" t="inlineStr">
        <is>
          <t>Bahamas, The</t>
        </is>
      </c>
      <c r="B881" t="inlineStr">
        <is>
          <t>BHS</t>
        </is>
      </c>
      <c r="C881" t="n">
        <v>1990</v>
      </c>
      <c r="D881" t="n">
        <v>4.66931912018676</v>
      </c>
    </row>
    <row r="882">
      <c r="A882" t="inlineStr">
        <is>
          <t>Bahamas, The</t>
        </is>
      </c>
      <c r="B882" t="inlineStr">
        <is>
          <t>BHS</t>
        </is>
      </c>
      <c r="C882" t="n">
        <v>1991</v>
      </c>
      <c r="D882" t="n">
        <v>7.11468120203628</v>
      </c>
    </row>
    <row r="883">
      <c r="A883" t="inlineStr">
        <is>
          <t>Bahamas, The</t>
        </is>
      </c>
      <c r="B883" t="inlineStr">
        <is>
          <t>BHS</t>
        </is>
      </c>
      <c r="C883" t="n">
        <v>1992</v>
      </c>
      <c r="D883" t="n">
        <v>5.73819886173447</v>
      </c>
    </row>
    <row r="884">
      <c r="A884" t="inlineStr">
        <is>
          <t>Bahamas, The</t>
        </is>
      </c>
      <c r="B884" t="inlineStr">
        <is>
          <t>BHS</t>
        </is>
      </c>
      <c r="C884" t="n">
        <v>1993</v>
      </c>
      <c r="D884" t="n">
        <v>2.72289766970591</v>
      </c>
    </row>
    <row r="885">
      <c r="A885" t="inlineStr">
        <is>
          <t>Bahamas, The</t>
        </is>
      </c>
      <c r="B885" t="inlineStr">
        <is>
          <t>BHS</t>
        </is>
      </c>
      <c r="C885" t="n">
        <v>1994</v>
      </c>
      <c r="D885" t="n">
        <v>1.39933423745548</v>
      </c>
    </row>
    <row r="886">
      <c r="A886" t="inlineStr">
        <is>
          <t>Bahamas, The</t>
        </is>
      </c>
      <c r="B886" t="inlineStr">
        <is>
          <t>BHS</t>
        </is>
      </c>
      <c r="C886" t="n">
        <v>1995</v>
      </c>
      <c r="D886" t="n">
        <v>2.06699495410042</v>
      </c>
    </row>
    <row r="887">
      <c r="A887" t="inlineStr">
        <is>
          <t>Bahamas, The</t>
        </is>
      </c>
      <c r="B887" t="inlineStr">
        <is>
          <t>BHS</t>
        </is>
      </c>
      <c r="C887" t="n">
        <v>1996</v>
      </c>
      <c r="D887" t="n">
        <v>1.37913741223666</v>
      </c>
    </row>
    <row r="888">
      <c r="A888" t="inlineStr">
        <is>
          <t>Bahamas, The</t>
        </is>
      </c>
      <c r="B888" t="inlineStr">
        <is>
          <t>BHS</t>
        </is>
      </c>
      <c r="C888" t="n">
        <v>1997</v>
      </c>
      <c r="D888" t="n">
        <v>0.544150383378688</v>
      </c>
    </row>
    <row r="889">
      <c r="A889" t="inlineStr">
        <is>
          <t>Bahamas, The</t>
        </is>
      </c>
      <c r="B889" t="inlineStr">
        <is>
          <t>BHS</t>
        </is>
      </c>
      <c r="C889" t="n">
        <v>1998</v>
      </c>
      <c r="D889" t="n">
        <v>1.33661336613371</v>
      </c>
    </row>
    <row r="890">
      <c r="A890" t="inlineStr">
        <is>
          <t>Bahamas, The</t>
        </is>
      </c>
      <c r="B890" t="inlineStr">
        <is>
          <t>BHS</t>
        </is>
      </c>
      <c r="C890" t="n">
        <v>1999</v>
      </c>
      <c r="D890" t="n">
        <v>1.2542482602363</v>
      </c>
    </row>
    <row r="891">
      <c r="A891" t="inlineStr">
        <is>
          <t>Bahamas, The</t>
        </is>
      </c>
      <c r="B891" t="inlineStr">
        <is>
          <t>BHS</t>
        </is>
      </c>
      <c r="C891" t="n">
        <v>2000</v>
      </c>
      <c r="D891" t="n">
        <v>1.60632941740579</v>
      </c>
    </row>
    <row r="892">
      <c r="A892" t="inlineStr">
        <is>
          <t>Bahamas, The</t>
        </is>
      </c>
      <c r="B892" t="inlineStr">
        <is>
          <t>BHS</t>
        </is>
      </c>
      <c r="C892" t="n">
        <v>2001</v>
      </c>
      <c r="D892" t="n">
        <v>2.04498977505121</v>
      </c>
    </row>
    <row r="893">
      <c r="A893" t="inlineStr">
        <is>
          <t>Bahamas, The</t>
        </is>
      </c>
      <c r="B893" t="inlineStr">
        <is>
          <t>BHS</t>
        </is>
      </c>
      <c r="C893" t="n">
        <v>2002</v>
      </c>
      <c r="D893" t="n">
        <v>2.17357792508093</v>
      </c>
    </row>
    <row r="894">
      <c r="A894" t="inlineStr">
        <is>
          <t>Bahamas, The</t>
        </is>
      </c>
      <c r="B894" t="inlineStr">
        <is>
          <t>BHS</t>
        </is>
      </c>
      <c r="C894" t="n">
        <v>2003</v>
      </c>
      <c r="D894" t="n">
        <v>3.02504526252236</v>
      </c>
    </row>
    <row r="895">
      <c r="A895" t="inlineStr">
        <is>
          <t>Bahamas, The</t>
        </is>
      </c>
      <c r="B895" t="inlineStr">
        <is>
          <t>BHS</t>
        </is>
      </c>
      <c r="C895" t="n">
        <v>2004</v>
      </c>
      <c r="D895" t="n">
        <v>0.981914036757662</v>
      </c>
    </row>
    <row r="896">
      <c r="A896" t="inlineStr">
        <is>
          <t>Bahamas, The</t>
        </is>
      </c>
      <c r="B896" t="inlineStr">
        <is>
          <t>BHS</t>
        </is>
      </c>
      <c r="C896" t="n">
        <v>2005</v>
      </c>
      <c r="D896" t="n">
        <v>1.59160618079802</v>
      </c>
    </row>
    <row r="897">
      <c r="A897" t="inlineStr">
        <is>
          <t>Bahamas, The</t>
        </is>
      </c>
      <c r="B897" t="inlineStr">
        <is>
          <t>BHS</t>
        </is>
      </c>
      <c r="C897" t="n">
        <v>2006</v>
      </c>
      <c r="D897" t="n">
        <v>2.38982627439254</v>
      </c>
    </row>
    <row r="898">
      <c r="A898" t="inlineStr">
        <is>
          <t>Bahamas, The</t>
        </is>
      </c>
      <c r="B898" t="inlineStr">
        <is>
          <t>BHS</t>
        </is>
      </c>
      <c r="C898" t="n">
        <v>2007</v>
      </c>
      <c r="D898" t="n">
        <v>2.49257794939396</v>
      </c>
    </row>
    <row r="899">
      <c r="A899" t="inlineStr">
        <is>
          <t>Bahamas, The</t>
        </is>
      </c>
      <c r="B899" t="inlineStr">
        <is>
          <t>BHS</t>
        </is>
      </c>
      <c r="C899" t="n">
        <v>2008</v>
      </c>
      <c r="D899" t="n">
        <v>4.4895599537506</v>
      </c>
    </row>
    <row r="900">
      <c r="A900" t="inlineStr">
        <is>
          <t>Bahamas, The</t>
        </is>
      </c>
      <c r="B900" t="inlineStr">
        <is>
          <t>BHS</t>
        </is>
      </c>
      <c r="C900" t="n">
        <v>2009</v>
      </c>
      <c r="D900" t="n">
        <v>2.06273473452682</v>
      </c>
    </row>
    <row r="901">
      <c r="A901" t="inlineStr">
        <is>
          <t>Bahamas, The</t>
        </is>
      </c>
      <c r="B901" t="inlineStr">
        <is>
          <t>BHS</t>
        </is>
      </c>
      <c r="C901" t="n">
        <v>2010</v>
      </c>
      <c r="D901" t="n">
        <v>1.34402738392836</v>
      </c>
    </row>
    <row r="902">
      <c r="A902" t="inlineStr">
        <is>
          <t>Bahamas, The</t>
        </is>
      </c>
      <c r="B902" t="inlineStr">
        <is>
          <t>BHS</t>
        </is>
      </c>
      <c r="C902" t="n">
        <v>2011</v>
      </c>
      <c r="D902" t="n">
        <v>3.1987814166032</v>
      </c>
    </row>
    <row r="903">
      <c r="A903" t="inlineStr">
        <is>
          <t>Bahamas, The</t>
        </is>
      </c>
      <c r="B903" t="inlineStr">
        <is>
          <t>BHS</t>
        </is>
      </c>
      <c r="C903" t="n">
        <v>2012</v>
      </c>
      <c r="D903" t="n">
        <v>1.97336755976254</v>
      </c>
    </row>
    <row r="904">
      <c r="A904" t="inlineStr">
        <is>
          <t>Bahamas, The</t>
        </is>
      </c>
      <c r="B904" t="inlineStr">
        <is>
          <t>BHS</t>
        </is>
      </c>
      <c r="C904" t="n">
        <v>2013</v>
      </c>
      <c r="D904" t="n">
        <v>0.722414784530551</v>
      </c>
    </row>
    <row r="905">
      <c r="A905" t="inlineStr">
        <is>
          <t>Bahamas, The</t>
        </is>
      </c>
      <c r="B905" t="inlineStr">
        <is>
          <t>BHS</t>
        </is>
      </c>
      <c r="C905" t="n">
        <v>2014</v>
      </c>
      <c r="D905" t="n">
        <v>1.51375643050831</v>
      </c>
    </row>
    <row r="906">
      <c r="A906" t="inlineStr">
        <is>
          <t>Bahamas, The</t>
        </is>
      </c>
      <c r="B906" t="inlineStr">
        <is>
          <t>BHS</t>
        </is>
      </c>
      <c r="C906" t="n">
        <v>2015</v>
      </c>
      <c r="D906" t="n">
        <v>1.86148302863371</v>
      </c>
    </row>
    <row r="907">
      <c r="A907" t="inlineStr">
        <is>
          <t>Bahamas, The</t>
        </is>
      </c>
      <c r="B907" t="inlineStr">
        <is>
          <t>BHS</t>
        </is>
      </c>
      <c r="C907" t="n">
        <v>2016</v>
      </c>
      <c r="D907" t="n">
        <v>-0.346376929989397</v>
      </c>
    </row>
    <row r="908">
      <c r="A908" t="inlineStr">
        <is>
          <t>Bahamas, The</t>
        </is>
      </c>
      <c r="B908" t="inlineStr">
        <is>
          <t>BHS</t>
        </is>
      </c>
      <c r="C908" t="n">
        <v>2017</v>
      </c>
      <c r="D908" t="n">
        <v>1.51820700736147</v>
      </c>
    </row>
    <row r="909">
      <c r="A909" t="inlineStr">
        <is>
          <t>Bahamas, The</t>
        </is>
      </c>
      <c r="B909" t="inlineStr">
        <is>
          <t>BHS</t>
        </is>
      </c>
      <c r="C909" t="n">
        <v>2018</v>
      </c>
      <c r="D909" t="n">
        <v>2.26586346678736</v>
      </c>
    </row>
    <row r="910">
      <c r="A910" t="inlineStr">
        <is>
          <t>Bahamas, The</t>
        </is>
      </c>
      <c r="B910" t="inlineStr">
        <is>
          <t>BHS</t>
        </is>
      </c>
      <c r="C910" t="n">
        <v>2019</v>
      </c>
      <c r="D910" t="n">
        <v>2.49123527368046</v>
      </c>
    </row>
    <row r="911">
      <c r="A911" t="inlineStr">
        <is>
          <t>Bahamas, The</t>
        </is>
      </c>
      <c r="B911" t="inlineStr">
        <is>
          <t>BHS</t>
        </is>
      </c>
      <c r="C911" t="n">
        <v>2020</v>
      </c>
      <c r="D911" t="n">
        <v>0.0385210980054558</v>
      </c>
    </row>
    <row r="912">
      <c r="A912" t="inlineStr">
        <is>
          <t>Bahamas, The</t>
        </is>
      </c>
      <c r="B912" t="inlineStr">
        <is>
          <t>BHS</t>
        </is>
      </c>
      <c r="C912" t="n">
        <v>2021</v>
      </c>
      <c r="D912" t="n">
        <v>2.90491262928478</v>
      </c>
    </row>
    <row r="913">
      <c r="A913" t="inlineStr">
        <is>
          <t>Bahamas, The</t>
        </is>
      </c>
      <c r="B913" t="inlineStr">
        <is>
          <t>BHS</t>
        </is>
      </c>
      <c r="C913" t="n">
        <v>2022</v>
      </c>
      <c r="D913" t="n">
        <v>5.60540633583044</v>
      </c>
    </row>
    <row r="914">
      <c r="A914" t="inlineStr">
        <is>
          <t>Bahamas, The</t>
        </is>
      </c>
      <c r="B914" t="inlineStr">
        <is>
          <t>BHS</t>
        </is>
      </c>
      <c r="C914" t="n">
        <v>2023</v>
      </c>
      <c r="D914" t="n">
        <v>3.05291578969743</v>
      </c>
    </row>
    <row r="915">
      <c r="A915" t="inlineStr">
        <is>
          <t>Bosnia and Herzegovina</t>
        </is>
      </c>
      <c r="B915" t="inlineStr">
        <is>
          <t>BIH</t>
        </is>
      </c>
      <c r="C915" t="n">
        <v>2006</v>
      </c>
      <c r="D915" t="n">
        <v>6.12556615620285</v>
      </c>
    </row>
    <row r="916">
      <c r="A916" t="inlineStr">
        <is>
          <t>Bosnia and Herzegovina</t>
        </is>
      </c>
      <c r="B916" t="inlineStr">
        <is>
          <t>BIH</t>
        </is>
      </c>
      <c r="C916" t="n">
        <v>2007</v>
      </c>
      <c r="D916" t="n">
        <v>1.50077710611542</v>
      </c>
    </row>
    <row r="917">
      <c r="A917" t="inlineStr">
        <is>
          <t>Bosnia and Herzegovina</t>
        </is>
      </c>
      <c r="B917" t="inlineStr">
        <is>
          <t>BIH</t>
        </is>
      </c>
      <c r="C917" t="n">
        <v>2008</v>
      </c>
      <c r="D917" t="n">
        <v>7.42704310332953</v>
      </c>
    </row>
    <row r="918">
      <c r="A918" t="inlineStr">
        <is>
          <t>Bosnia and Herzegovina</t>
        </is>
      </c>
      <c r="B918" t="inlineStr">
        <is>
          <t>BIH</t>
        </is>
      </c>
      <c r="C918" t="n">
        <v>2009</v>
      </c>
      <c r="D918" t="n">
        <v>-0.381464282453057</v>
      </c>
    </row>
    <row r="919">
      <c r="A919" t="inlineStr">
        <is>
          <t>Bosnia and Herzegovina</t>
        </is>
      </c>
      <c r="B919" t="inlineStr">
        <is>
          <t>BIH</t>
        </is>
      </c>
      <c r="C919" t="n">
        <v>2010</v>
      </c>
      <c r="D919" t="n">
        <v>1.99621236745887</v>
      </c>
    </row>
    <row r="920">
      <c r="A920" t="inlineStr">
        <is>
          <t>Bosnia and Herzegovina</t>
        </is>
      </c>
      <c r="B920" t="inlineStr">
        <is>
          <t>BIH</t>
        </is>
      </c>
      <c r="C920" t="n">
        <v>2011</v>
      </c>
      <c r="D920" t="n">
        <v>3.67125</v>
      </c>
    </row>
    <row r="921">
      <c r="A921" t="inlineStr">
        <is>
          <t>Bosnia and Herzegovina</t>
        </is>
      </c>
      <c r="B921" t="inlineStr">
        <is>
          <t>BIH</t>
        </is>
      </c>
      <c r="C921" t="n">
        <v>2012</v>
      </c>
      <c r="D921" t="n">
        <v>2.05267452001717</v>
      </c>
    </row>
    <row r="922">
      <c r="A922" t="inlineStr">
        <is>
          <t>Bosnia and Herzegovina</t>
        </is>
      </c>
      <c r="B922" t="inlineStr">
        <is>
          <t>BIH</t>
        </is>
      </c>
      <c r="C922" t="n">
        <v>2013</v>
      </c>
      <c r="D922" t="n">
        <v>-0.0930456838317588</v>
      </c>
    </row>
    <row r="923">
      <c r="A923" t="inlineStr">
        <is>
          <t>Bosnia and Herzegovina</t>
        </is>
      </c>
      <c r="B923" t="inlineStr">
        <is>
          <t>BIH</t>
        </is>
      </c>
      <c r="C923" t="n">
        <v>2014</v>
      </c>
      <c r="D923" t="n">
        <v>-0.897194054194333</v>
      </c>
    </row>
    <row r="924">
      <c r="A924" t="inlineStr">
        <is>
          <t>Bosnia and Herzegovina</t>
        </is>
      </c>
      <c r="B924" t="inlineStr">
        <is>
          <t>BIH</t>
        </is>
      </c>
      <c r="C924" t="n">
        <v>2015</v>
      </c>
      <c r="D924" t="n">
        <v>-1.03602303425474</v>
      </c>
    </row>
    <row r="925">
      <c r="A925" t="inlineStr">
        <is>
          <t>Bosnia and Herzegovina</t>
        </is>
      </c>
      <c r="B925" t="inlineStr">
        <is>
          <t>BIH</t>
        </is>
      </c>
      <c r="C925" t="n">
        <v>2016</v>
      </c>
      <c r="D925" t="n">
        <v>-1.58410000000002</v>
      </c>
    </row>
    <row r="926">
      <c r="A926" t="inlineStr">
        <is>
          <t>Bosnia and Herzegovina</t>
        </is>
      </c>
      <c r="B926" t="inlineStr">
        <is>
          <t>BIH</t>
        </is>
      </c>
      <c r="C926" t="n">
        <v>2017</v>
      </c>
      <c r="D926" t="n">
        <v>0.810133321953039</v>
      </c>
    </row>
    <row r="927">
      <c r="A927" t="inlineStr">
        <is>
          <t>Bosnia and Herzegovina</t>
        </is>
      </c>
      <c r="B927" t="inlineStr">
        <is>
          <t>BIH</t>
        </is>
      </c>
      <c r="C927" t="n">
        <v>2018</v>
      </c>
      <c r="D927" t="n">
        <v>1.41710814018034</v>
      </c>
    </row>
    <row r="928">
      <c r="A928" t="inlineStr">
        <is>
          <t>Bosnia and Herzegovina</t>
        </is>
      </c>
      <c r="B928" t="inlineStr">
        <is>
          <t>BIH</t>
        </is>
      </c>
      <c r="C928" t="n">
        <v>2019</v>
      </c>
      <c r="D928" t="n">
        <v>0.56278215406123</v>
      </c>
    </row>
    <row r="929">
      <c r="A929" t="inlineStr">
        <is>
          <t>Bosnia and Herzegovina</t>
        </is>
      </c>
      <c r="B929" t="inlineStr">
        <is>
          <t>BIH</t>
        </is>
      </c>
      <c r="C929" t="n">
        <v>2020</v>
      </c>
      <c r="D929" t="n">
        <v>-1.0512960076349</v>
      </c>
    </row>
    <row r="930">
      <c r="A930" t="inlineStr">
        <is>
          <t>Bosnia and Herzegovina</t>
        </is>
      </c>
      <c r="B930" t="inlineStr">
        <is>
          <t>BIH</t>
        </is>
      </c>
      <c r="C930" t="n">
        <v>2021</v>
      </c>
      <c r="D930" t="n">
        <v>1.98163900587622</v>
      </c>
    </row>
    <row r="931">
      <c r="A931" t="inlineStr">
        <is>
          <t>Bosnia and Herzegovina</t>
        </is>
      </c>
      <c r="B931" t="inlineStr">
        <is>
          <t>BIH</t>
        </is>
      </c>
      <c r="C931" t="n">
        <v>2022</v>
      </c>
      <c r="D931" t="n">
        <v>14.0208440826771</v>
      </c>
    </row>
    <row r="932">
      <c r="A932" t="inlineStr">
        <is>
          <t>Bosnia and Herzegovina</t>
        </is>
      </c>
      <c r="B932" t="inlineStr">
        <is>
          <t>BIH</t>
        </is>
      </c>
      <c r="C932" t="n">
        <v>2023</v>
      </c>
      <c r="D932" t="n">
        <v>6.1059011284828</v>
      </c>
    </row>
    <row r="933">
      <c r="A933" t="inlineStr">
        <is>
          <t>Bosnia and Herzegovina</t>
        </is>
      </c>
      <c r="B933" t="inlineStr">
        <is>
          <t>BIH</t>
        </is>
      </c>
      <c r="C933" t="n">
        <v>2024</v>
      </c>
      <c r="D933" t="n">
        <v>1.69212733599724</v>
      </c>
    </row>
    <row r="934">
      <c r="A934" t="inlineStr">
        <is>
          <t>Belarus</t>
        </is>
      </c>
      <c r="B934" t="inlineStr">
        <is>
          <t>BLR</t>
        </is>
      </c>
      <c r="C934" t="n">
        <v>1993</v>
      </c>
      <c r="D934" t="n">
        <v>1190.22923349187</v>
      </c>
    </row>
    <row r="935">
      <c r="A935" t="inlineStr">
        <is>
          <t>Belarus</t>
        </is>
      </c>
      <c r="B935" t="inlineStr">
        <is>
          <t>BLR</t>
        </is>
      </c>
      <c r="C935" t="n">
        <v>1994</v>
      </c>
      <c r="D935" t="n">
        <v>2221.01656992039</v>
      </c>
    </row>
    <row r="936">
      <c r="A936" t="inlineStr">
        <is>
          <t>Belarus</t>
        </is>
      </c>
      <c r="B936" t="inlineStr">
        <is>
          <t>BLR</t>
        </is>
      </c>
      <c r="C936" t="n">
        <v>1995</v>
      </c>
      <c r="D936" t="n">
        <v>709.346032118606</v>
      </c>
    </row>
    <row r="937">
      <c r="A937" t="inlineStr">
        <is>
          <t>Belarus</t>
        </is>
      </c>
      <c r="B937" t="inlineStr">
        <is>
          <t>BLR</t>
        </is>
      </c>
      <c r="C937" t="n">
        <v>1996</v>
      </c>
      <c r="D937" t="n">
        <v>52.7120767531954</v>
      </c>
    </row>
    <row r="938">
      <c r="A938" t="inlineStr">
        <is>
          <t>Belarus</t>
        </is>
      </c>
      <c r="B938" t="inlineStr">
        <is>
          <t>BLR</t>
        </is>
      </c>
      <c r="C938" t="n">
        <v>1997</v>
      </c>
      <c r="D938" t="n">
        <v>63.9373663357479</v>
      </c>
    </row>
    <row r="939">
      <c r="A939" t="inlineStr">
        <is>
          <t>Belarus</t>
        </is>
      </c>
      <c r="B939" t="inlineStr">
        <is>
          <t>BLR</t>
        </is>
      </c>
      <c r="C939" t="n">
        <v>1998</v>
      </c>
      <c r="D939" t="n">
        <v>72.8697170535354</v>
      </c>
    </row>
    <row r="940">
      <c r="A940" t="inlineStr">
        <is>
          <t>Belarus</t>
        </is>
      </c>
      <c r="B940" t="inlineStr">
        <is>
          <t>BLR</t>
        </is>
      </c>
      <c r="C940" t="n">
        <v>1999</v>
      </c>
      <c r="D940" t="n">
        <v>293.678750889773</v>
      </c>
    </row>
    <row r="941">
      <c r="A941" t="inlineStr">
        <is>
          <t>Belarus</t>
        </is>
      </c>
      <c r="B941" t="inlineStr">
        <is>
          <t>BLR</t>
        </is>
      </c>
      <c r="C941" t="n">
        <v>2000</v>
      </c>
      <c r="D941" t="n">
        <v>168.620235850933</v>
      </c>
    </row>
    <row r="942">
      <c r="A942" t="inlineStr">
        <is>
          <t>Belarus</t>
        </is>
      </c>
      <c r="B942" t="inlineStr">
        <is>
          <t>BLR</t>
        </is>
      </c>
      <c r="C942" t="n">
        <v>2001</v>
      </c>
      <c r="D942" t="n">
        <v>61.1349331618477</v>
      </c>
    </row>
    <row r="943">
      <c r="A943" t="inlineStr">
        <is>
          <t>Belarus</t>
        </is>
      </c>
      <c r="B943" t="inlineStr">
        <is>
          <t>BLR</t>
        </is>
      </c>
      <c r="C943" t="n">
        <v>2002</v>
      </c>
      <c r="D943" t="n">
        <v>42.5375481348794</v>
      </c>
    </row>
    <row r="944">
      <c r="A944" t="inlineStr">
        <is>
          <t>Belarus</t>
        </is>
      </c>
      <c r="B944" t="inlineStr">
        <is>
          <t>BLR</t>
        </is>
      </c>
      <c r="C944" t="n">
        <v>2003</v>
      </c>
      <c r="D944" t="n">
        <v>28.3978399133474</v>
      </c>
    </row>
    <row r="945">
      <c r="A945" t="inlineStr">
        <is>
          <t>Belarus</t>
        </is>
      </c>
      <c r="B945" t="inlineStr">
        <is>
          <t>BLR</t>
        </is>
      </c>
      <c r="C945" t="n">
        <v>2004</v>
      </c>
      <c r="D945" t="n">
        <v>18.1082424937646</v>
      </c>
    </row>
    <row r="946">
      <c r="A946" t="inlineStr">
        <is>
          <t>Belarus</t>
        </is>
      </c>
      <c r="B946" t="inlineStr">
        <is>
          <t>BLR</t>
        </is>
      </c>
      <c r="C946" t="n">
        <v>2005</v>
      </c>
      <c r="D946" t="n">
        <v>10.3388794457932</v>
      </c>
    </row>
    <row r="947">
      <c r="A947" t="inlineStr">
        <is>
          <t>Belarus</t>
        </is>
      </c>
      <c r="B947" t="inlineStr">
        <is>
          <t>BLR</t>
        </is>
      </c>
      <c r="C947" t="n">
        <v>2006</v>
      </c>
      <c r="D947" t="n">
        <v>6.99712903535589</v>
      </c>
    </row>
    <row r="948">
      <c r="A948" t="inlineStr">
        <is>
          <t>Belarus</t>
        </is>
      </c>
      <c r="B948" t="inlineStr">
        <is>
          <t>BLR</t>
        </is>
      </c>
      <c r="C948" t="n">
        <v>2007</v>
      </c>
      <c r="D948" t="n">
        <v>8.4267527350531</v>
      </c>
    </row>
    <row r="949">
      <c r="A949" t="inlineStr">
        <is>
          <t>Belarus</t>
        </is>
      </c>
      <c r="B949" t="inlineStr">
        <is>
          <t>BLR</t>
        </is>
      </c>
      <c r="C949" t="n">
        <v>2008</v>
      </c>
      <c r="D949" t="n">
        <v>14.8378764828254</v>
      </c>
    </row>
    <row r="950">
      <c r="A950" t="inlineStr">
        <is>
          <t>Belarus</t>
        </is>
      </c>
      <c r="B950" t="inlineStr">
        <is>
          <t>BLR</t>
        </is>
      </c>
      <c r="C950" t="n">
        <v>2009</v>
      </c>
      <c r="D950" t="n">
        <v>12.9456563410402</v>
      </c>
    </row>
    <row r="951">
      <c r="A951" t="inlineStr">
        <is>
          <t>Belarus</t>
        </is>
      </c>
      <c r="B951" t="inlineStr">
        <is>
          <t>BLR</t>
        </is>
      </c>
      <c r="C951" t="n">
        <v>2010</v>
      </c>
      <c r="D951" t="n">
        <v>7.73574804312508</v>
      </c>
    </row>
    <row r="952">
      <c r="A952" t="inlineStr">
        <is>
          <t>Belarus</t>
        </is>
      </c>
      <c r="B952" t="inlineStr">
        <is>
          <t>BLR</t>
        </is>
      </c>
      <c r="C952" t="n">
        <v>2011</v>
      </c>
      <c r="D952" t="n">
        <v>53.2286983118173</v>
      </c>
    </row>
    <row r="953">
      <c r="A953" t="inlineStr">
        <is>
          <t>Belarus</t>
        </is>
      </c>
      <c r="B953" t="inlineStr">
        <is>
          <t>BLR</t>
        </is>
      </c>
      <c r="C953" t="n">
        <v>2012</v>
      </c>
      <c r="D953" t="n">
        <v>59.2197360232517</v>
      </c>
    </row>
    <row r="954">
      <c r="A954" t="inlineStr">
        <is>
          <t>Belarus</t>
        </is>
      </c>
      <c r="B954" t="inlineStr">
        <is>
          <t>BLR</t>
        </is>
      </c>
      <c r="C954" t="n">
        <v>2013</v>
      </c>
      <c r="D954" t="n">
        <v>18.3122610377874</v>
      </c>
    </row>
    <row r="955">
      <c r="A955" t="inlineStr">
        <is>
          <t>Belarus</t>
        </is>
      </c>
      <c r="B955" t="inlineStr">
        <is>
          <t>BLR</t>
        </is>
      </c>
      <c r="C955" t="n">
        <v>2014</v>
      </c>
      <c r="D955" t="n">
        <v>18.1195543526734</v>
      </c>
    </row>
    <row r="956">
      <c r="A956" t="inlineStr">
        <is>
          <t>Belarus</t>
        </is>
      </c>
      <c r="B956" t="inlineStr">
        <is>
          <t>BLR</t>
        </is>
      </c>
      <c r="C956" t="n">
        <v>2015</v>
      </c>
      <c r="D956" t="n">
        <v>13.5344897649735</v>
      </c>
    </row>
    <row r="957">
      <c r="A957" t="inlineStr">
        <is>
          <t>Belarus</t>
        </is>
      </c>
      <c r="B957" t="inlineStr">
        <is>
          <t>BLR</t>
        </is>
      </c>
      <c r="C957" t="n">
        <v>2016</v>
      </c>
      <c r="D957" t="n">
        <v>11.8365807653497</v>
      </c>
    </row>
    <row r="958">
      <c r="A958" t="inlineStr">
        <is>
          <t>Belarus</t>
        </is>
      </c>
      <c r="B958" t="inlineStr">
        <is>
          <t>BLR</t>
        </is>
      </c>
      <c r="C958" t="n">
        <v>2017</v>
      </c>
      <c r="D958" t="n">
        <v>6.03183725177793</v>
      </c>
    </row>
    <row r="959">
      <c r="A959" t="inlineStr">
        <is>
          <t>Belarus</t>
        </is>
      </c>
      <c r="B959" t="inlineStr">
        <is>
          <t>BLR</t>
        </is>
      </c>
      <c r="C959" t="n">
        <v>2018</v>
      </c>
      <c r="D959" t="n">
        <v>4.87230220550684</v>
      </c>
    </row>
    <row r="960">
      <c r="A960" t="inlineStr">
        <is>
          <t>Belarus</t>
        </is>
      </c>
      <c r="B960" t="inlineStr">
        <is>
          <t>BLR</t>
        </is>
      </c>
      <c r="C960" t="n">
        <v>2019</v>
      </c>
      <c r="D960" t="n">
        <v>5.59815595039854</v>
      </c>
    </row>
    <row r="961">
      <c r="A961" t="inlineStr">
        <is>
          <t>Belarus</t>
        </is>
      </c>
      <c r="B961" t="inlineStr">
        <is>
          <t>BLR</t>
        </is>
      </c>
      <c r="C961" t="n">
        <v>2020</v>
      </c>
      <c r="D961" t="n">
        <v>5.54814357456511</v>
      </c>
    </row>
    <row r="962">
      <c r="A962" t="inlineStr">
        <is>
          <t>Belarus</t>
        </is>
      </c>
      <c r="B962" t="inlineStr">
        <is>
          <t>BLR</t>
        </is>
      </c>
      <c r="C962" t="n">
        <v>2021</v>
      </c>
      <c r="D962" t="n">
        <v>9.460283896231029</v>
      </c>
    </row>
    <row r="963">
      <c r="A963" t="inlineStr">
        <is>
          <t>Belarus</t>
        </is>
      </c>
      <c r="B963" t="inlineStr">
        <is>
          <t>BLR</t>
        </is>
      </c>
      <c r="C963" t="n">
        <v>2022</v>
      </c>
      <c r="D963" t="n">
        <v>15.209675274081</v>
      </c>
    </row>
    <row r="964">
      <c r="A964" t="inlineStr">
        <is>
          <t>Belarus</t>
        </is>
      </c>
      <c r="B964" t="inlineStr">
        <is>
          <t>BLR</t>
        </is>
      </c>
      <c r="C964" t="n">
        <v>2023</v>
      </c>
      <c r="D964" t="n">
        <v>5.0005990309131</v>
      </c>
    </row>
    <row r="965">
      <c r="A965" t="inlineStr">
        <is>
          <t>Belarus</t>
        </is>
      </c>
      <c r="B965" t="inlineStr">
        <is>
          <t>BLR</t>
        </is>
      </c>
      <c r="C965" t="n">
        <v>2024</v>
      </c>
      <c r="D965" t="n">
        <v>5.78531910428</v>
      </c>
    </row>
    <row r="966">
      <c r="A966" t="inlineStr">
        <is>
          <t>Belize</t>
        </is>
      </c>
      <c r="B966" t="inlineStr">
        <is>
          <t>BLZ</t>
        </is>
      </c>
      <c r="C966" t="n">
        <v>1981</v>
      </c>
      <c r="D966" t="n">
        <v>11.2244897960225</v>
      </c>
    </row>
    <row r="967">
      <c r="A967" t="inlineStr">
        <is>
          <t>Belize</t>
        </is>
      </c>
      <c r="B967" t="inlineStr">
        <is>
          <t>BLZ</t>
        </is>
      </c>
      <c r="C967" t="n">
        <v>1982</v>
      </c>
      <c r="D967" t="n">
        <v>6.83903252716288</v>
      </c>
    </row>
    <row r="968">
      <c r="A968" t="inlineStr">
        <is>
          <t>Belize</t>
        </is>
      </c>
      <c r="B968" t="inlineStr">
        <is>
          <t>BLZ</t>
        </is>
      </c>
      <c r="C968" t="n">
        <v>1983</v>
      </c>
      <c r="D968" t="n">
        <v>4.99609679980487</v>
      </c>
    </row>
    <row r="969">
      <c r="A969" t="inlineStr">
        <is>
          <t>Belize</t>
        </is>
      </c>
      <c r="B969" t="inlineStr">
        <is>
          <t>BLZ</t>
        </is>
      </c>
      <c r="C969" t="n">
        <v>1984</v>
      </c>
      <c r="D969" t="n">
        <v>3.38289962863707</v>
      </c>
    </row>
    <row r="970">
      <c r="A970" t="inlineStr">
        <is>
          <t>Belize</t>
        </is>
      </c>
      <c r="B970" t="inlineStr">
        <is>
          <t>BLZ</t>
        </is>
      </c>
      <c r="C970" t="n">
        <v>1985</v>
      </c>
      <c r="D970" t="n">
        <v>6.2371661180555</v>
      </c>
    </row>
    <row r="971">
      <c r="A971" t="inlineStr">
        <is>
          <t>Belize</t>
        </is>
      </c>
      <c r="B971" t="inlineStr">
        <is>
          <t>BLZ</t>
        </is>
      </c>
      <c r="C971" t="n">
        <v>1986</v>
      </c>
      <c r="D971" t="n">
        <v>0.799771493858953</v>
      </c>
    </row>
    <row r="972">
      <c r="A972" t="inlineStr">
        <is>
          <t>Belize</t>
        </is>
      </c>
      <c r="B972" t="inlineStr">
        <is>
          <t>BLZ</t>
        </is>
      </c>
      <c r="C972" t="n">
        <v>1987</v>
      </c>
      <c r="D972" t="n">
        <v>2.01190138849529</v>
      </c>
    </row>
    <row r="973">
      <c r="A973" t="inlineStr">
        <is>
          <t>Belize</t>
        </is>
      </c>
      <c r="B973" t="inlineStr">
        <is>
          <t>BLZ</t>
        </is>
      </c>
      <c r="C973" t="n">
        <v>1988</v>
      </c>
      <c r="D973" t="n">
        <v>3.13888888888894</v>
      </c>
    </row>
    <row r="974">
      <c r="A974" t="inlineStr">
        <is>
          <t>Belize</t>
        </is>
      </c>
      <c r="B974" t="inlineStr">
        <is>
          <t>BLZ</t>
        </is>
      </c>
      <c r="C974" t="n">
        <v>1989</v>
      </c>
      <c r="D974" t="n">
        <v>2.12765957446807</v>
      </c>
    </row>
    <row r="975">
      <c r="A975" t="inlineStr">
        <is>
          <t>Belize</t>
        </is>
      </c>
      <c r="B975" t="inlineStr">
        <is>
          <t>BLZ</t>
        </is>
      </c>
      <c r="C975" t="n">
        <v>1990</v>
      </c>
      <c r="D975" t="n">
        <v>3.05907172995786</v>
      </c>
    </row>
    <row r="976">
      <c r="A976" t="inlineStr">
        <is>
          <t>Belize</t>
        </is>
      </c>
      <c r="B976" t="inlineStr">
        <is>
          <t>BLZ</t>
        </is>
      </c>
      <c r="C976" t="n">
        <v>1991</v>
      </c>
      <c r="D976" t="n">
        <v>0.76195150080688</v>
      </c>
    </row>
    <row r="977">
      <c r="A977" t="inlineStr">
        <is>
          <t>Belize</t>
        </is>
      </c>
      <c r="B977" t="inlineStr">
        <is>
          <t>BLZ</t>
        </is>
      </c>
      <c r="C977" t="n">
        <v>1992</v>
      </c>
      <c r="D977" t="n">
        <v>2.39670073025188</v>
      </c>
    </row>
    <row r="978">
      <c r="A978" t="inlineStr">
        <is>
          <t>Belize</t>
        </is>
      </c>
      <c r="B978" t="inlineStr">
        <is>
          <t>BLZ</t>
        </is>
      </c>
      <c r="C978" t="n">
        <v>1993</v>
      </c>
      <c r="D978" t="n">
        <v>1.4725969469368</v>
      </c>
    </row>
    <row r="979">
      <c r="A979" t="inlineStr">
        <is>
          <t>Belize</t>
        </is>
      </c>
      <c r="B979" t="inlineStr">
        <is>
          <t>BLZ</t>
        </is>
      </c>
      <c r="C979" t="n">
        <v>1994</v>
      </c>
      <c r="D979" t="n">
        <v>2.56934304644295</v>
      </c>
    </row>
    <row r="980">
      <c r="A980" t="inlineStr">
        <is>
          <t>Belize</t>
        </is>
      </c>
      <c r="B980" t="inlineStr">
        <is>
          <t>BLZ</t>
        </is>
      </c>
      <c r="C980" t="n">
        <v>1995</v>
      </c>
      <c r="D980" t="n">
        <v>2.88961584372151</v>
      </c>
    </row>
    <row r="981">
      <c r="A981" t="inlineStr">
        <is>
          <t>Belize</t>
        </is>
      </c>
      <c r="B981" t="inlineStr">
        <is>
          <t>BLZ</t>
        </is>
      </c>
      <c r="C981" t="n">
        <v>1996</v>
      </c>
      <c r="D981" t="n">
        <v>5.96502097537242</v>
      </c>
    </row>
    <row r="982">
      <c r="A982" t="inlineStr">
        <is>
          <t>Belize</t>
        </is>
      </c>
      <c r="B982" t="inlineStr">
        <is>
          <t>BLZ</t>
        </is>
      </c>
      <c r="C982" t="n">
        <v>1997</v>
      </c>
      <c r="D982" t="n">
        <v>1.1490375676054</v>
      </c>
    </row>
    <row r="983">
      <c r="A983" t="inlineStr">
        <is>
          <t>Belize</t>
        </is>
      </c>
      <c r="B983" t="inlineStr">
        <is>
          <t>BLZ</t>
        </is>
      </c>
      <c r="C983" t="n">
        <v>1998</v>
      </c>
      <c r="D983" t="n">
        <v>2.1952625003759</v>
      </c>
    </row>
    <row r="984">
      <c r="A984" t="inlineStr">
        <is>
          <t>Belize</t>
        </is>
      </c>
      <c r="B984" t="inlineStr">
        <is>
          <t>BLZ</t>
        </is>
      </c>
      <c r="C984" t="n">
        <v>1999</v>
      </c>
      <c r="D984" t="n">
        <v>2.62139524582746</v>
      </c>
    </row>
    <row r="985">
      <c r="A985" t="inlineStr">
        <is>
          <t>Belize</t>
        </is>
      </c>
      <c r="B985" t="inlineStr">
        <is>
          <t>BLZ</t>
        </is>
      </c>
      <c r="C985" t="n">
        <v>2000</v>
      </c>
      <c r="D985" t="n">
        <v>3.06743966930585</v>
      </c>
    </row>
    <row r="986">
      <c r="A986" t="inlineStr">
        <is>
          <t>Belize</t>
        </is>
      </c>
      <c r="B986" t="inlineStr">
        <is>
          <t>BLZ</t>
        </is>
      </c>
      <c r="C986" t="n">
        <v>2001</v>
      </c>
      <c r="D986" t="n">
        <v>3.65141786561502</v>
      </c>
    </row>
    <row r="987">
      <c r="A987" t="inlineStr">
        <is>
          <t>Belize</t>
        </is>
      </c>
      <c r="B987" t="inlineStr">
        <is>
          <t>BLZ</t>
        </is>
      </c>
      <c r="C987" t="n">
        <v>2002</v>
      </c>
      <c r="D987" t="n">
        <v>4.24026660688645</v>
      </c>
    </row>
    <row r="988">
      <c r="A988" t="inlineStr">
        <is>
          <t>Belize</t>
        </is>
      </c>
      <c r="B988" t="inlineStr">
        <is>
          <t>BLZ</t>
        </is>
      </c>
      <c r="C988" t="n">
        <v>2003</v>
      </c>
      <c r="D988" t="n">
        <v>2.31808274663101</v>
      </c>
    </row>
    <row r="989">
      <c r="A989" t="inlineStr">
        <is>
          <t>Belize</t>
        </is>
      </c>
      <c r="B989" t="inlineStr">
        <is>
          <t>BLZ</t>
        </is>
      </c>
      <c r="C989" t="n">
        <v>2004</v>
      </c>
      <c r="D989" t="n">
        <v>6.39443099742399</v>
      </c>
    </row>
    <row r="990">
      <c r="A990" t="inlineStr">
        <is>
          <t>Belize</t>
        </is>
      </c>
      <c r="B990" t="inlineStr">
        <is>
          <t>BLZ</t>
        </is>
      </c>
      <c r="C990" t="n">
        <v>2005</v>
      </c>
      <c r="D990" t="n">
        <v>-1.1043104441191</v>
      </c>
    </row>
    <row r="991">
      <c r="A991" t="inlineStr">
        <is>
          <t>Belize</t>
        </is>
      </c>
      <c r="B991" t="inlineStr">
        <is>
          <t>BLZ</t>
        </is>
      </c>
      <c r="C991" t="n">
        <v>2006</v>
      </c>
      <c r="D991" t="n">
        <v>-7.11376771265014</v>
      </c>
    </row>
    <row r="992">
      <c r="A992" t="inlineStr">
        <is>
          <t>Belize</t>
        </is>
      </c>
      <c r="B992" t="inlineStr">
        <is>
          <t>BLZ</t>
        </is>
      </c>
      <c r="C992" t="n">
        <v>2007</v>
      </c>
      <c r="D992" t="n">
        <v>2.31808274642021</v>
      </c>
    </row>
    <row r="993">
      <c r="A993" t="inlineStr">
        <is>
          <t>Belize</t>
        </is>
      </c>
      <c r="B993" t="inlineStr">
        <is>
          <t>BLZ</t>
        </is>
      </c>
      <c r="C993" t="n">
        <v>2008</v>
      </c>
      <c r="D993" t="n">
        <v>6.39443100250034</v>
      </c>
    </row>
    <row r="994">
      <c r="A994" t="inlineStr">
        <is>
          <t>Belize</t>
        </is>
      </c>
      <c r="B994" t="inlineStr">
        <is>
          <t>BLZ</t>
        </is>
      </c>
      <c r="C994" t="n">
        <v>2009</v>
      </c>
      <c r="D994" t="n">
        <v>-1.10431044864355</v>
      </c>
    </row>
    <row r="995">
      <c r="A995" t="inlineStr">
        <is>
          <t>Belize</t>
        </is>
      </c>
      <c r="B995" t="inlineStr">
        <is>
          <t>BLZ</t>
        </is>
      </c>
      <c r="C995" t="n">
        <v>2010</v>
      </c>
      <c r="D995" t="n">
        <v>0.917977378808888</v>
      </c>
    </row>
    <row r="996">
      <c r="A996" t="inlineStr">
        <is>
          <t>Belize</t>
        </is>
      </c>
      <c r="B996" t="inlineStr">
        <is>
          <t>BLZ</t>
        </is>
      </c>
      <c r="C996" t="n">
        <v>2011</v>
      </c>
      <c r="D996" t="n">
        <v>1.602056156402</v>
      </c>
    </row>
    <row r="997">
      <c r="A997" t="inlineStr">
        <is>
          <t>Belize</t>
        </is>
      </c>
      <c r="B997" t="inlineStr">
        <is>
          <t>BLZ</t>
        </is>
      </c>
      <c r="C997" t="n">
        <v>2012</v>
      </c>
      <c r="D997" t="n">
        <v>1.30058074547858</v>
      </c>
    </row>
    <row r="998">
      <c r="A998" t="inlineStr">
        <is>
          <t>Belize</t>
        </is>
      </c>
      <c r="B998" t="inlineStr">
        <is>
          <t>BLZ</t>
        </is>
      </c>
      <c r="C998" t="n">
        <v>2013</v>
      </c>
      <c r="D998" t="n">
        <v>0.5097477689832201</v>
      </c>
    </row>
    <row r="999">
      <c r="A999" t="inlineStr">
        <is>
          <t>Belize</t>
        </is>
      </c>
      <c r="B999" t="inlineStr">
        <is>
          <t>BLZ</t>
        </is>
      </c>
      <c r="C999" t="n">
        <v>2014</v>
      </c>
      <c r="D999" t="n">
        <v>1.20139964481058</v>
      </c>
    </row>
    <row r="1000">
      <c r="A1000" t="inlineStr">
        <is>
          <t>Belize</t>
        </is>
      </c>
      <c r="B1000" t="inlineStr">
        <is>
          <t>BLZ</t>
        </is>
      </c>
      <c r="C1000" t="n">
        <v>2015</v>
      </c>
      <c r="D1000" t="n">
        <v>-0.861584009427748</v>
      </c>
    </row>
    <row r="1001">
      <c r="A1001" t="inlineStr">
        <is>
          <t>Belize</t>
        </is>
      </c>
      <c r="B1001" t="inlineStr">
        <is>
          <t>BLZ</t>
        </is>
      </c>
      <c r="C1001" t="n">
        <v>2016</v>
      </c>
      <c r="D1001" t="n">
        <v>0.663427167917601</v>
      </c>
    </row>
    <row r="1002">
      <c r="A1002" t="inlineStr">
        <is>
          <t>Belize</t>
        </is>
      </c>
      <c r="B1002" t="inlineStr">
        <is>
          <t>BLZ</t>
        </is>
      </c>
      <c r="C1002" t="n">
        <v>2017</v>
      </c>
      <c r="D1002" t="n">
        <v>1.14765339305816</v>
      </c>
    </row>
    <row r="1003">
      <c r="A1003" t="inlineStr">
        <is>
          <t>Belize</t>
        </is>
      </c>
      <c r="B1003" t="inlineStr">
        <is>
          <t>BLZ</t>
        </is>
      </c>
      <c r="C1003" t="n">
        <v>2018</v>
      </c>
      <c r="D1003" t="n">
        <v>0.269982622646335</v>
      </c>
    </row>
    <row r="1004">
      <c r="A1004" t="inlineStr">
        <is>
          <t>Belize</t>
        </is>
      </c>
      <c r="B1004" t="inlineStr">
        <is>
          <t>BLZ</t>
        </is>
      </c>
      <c r="C1004" t="n">
        <v>2019</v>
      </c>
      <c r="D1004" t="n">
        <v>0.187069385181424</v>
      </c>
    </row>
    <row r="1005">
      <c r="A1005" t="inlineStr">
        <is>
          <t>Belize</t>
        </is>
      </c>
      <c r="B1005" t="inlineStr">
        <is>
          <t>BLZ</t>
        </is>
      </c>
      <c r="C1005" t="n">
        <v>2020</v>
      </c>
      <c r="D1005" t="n">
        <v>0.121434644614894</v>
      </c>
    </row>
    <row r="1006">
      <c r="A1006" t="inlineStr">
        <is>
          <t>Belize</t>
        </is>
      </c>
      <c r="B1006" t="inlineStr">
        <is>
          <t>BLZ</t>
        </is>
      </c>
      <c r="C1006" t="n">
        <v>2021</v>
      </c>
      <c r="D1006" t="n">
        <v>3.23563659237071</v>
      </c>
    </row>
    <row r="1007">
      <c r="A1007" t="inlineStr">
        <is>
          <t>Belize</t>
        </is>
      </c>
      <c r="B1007" t="inlineStr">
        <is>
          <t>BLZ</t>
        </is>
      </c>
      <c r="C1007" t="n">
        <v>2022</v>
      </c>
      <c r="D1007" t="n">
        <v>6.27689319447544</v>
      </c>
    </row>
    <row r="1008">
      <c r="A1008" t="inlineStr">
        <is>
          <t>Belize</t>
        </is>
      </c>
      <c r="B1008" t="inlineStr">
        <is>
          <t>BLZ</t>
        </is>
      </c>
      <c r="C1008" t="n">
        <v>2023</v>
      </c>
      <c r="D1008" t="n">
        <v>4.38984017487675</v>
      </c>
    </row>
    <row r="1009">
      <c r="A1009" t="inlineStr">
        <is>
          <t>Belize</t>
        </is>
      </c>
      <c r="B1009" t="inlineStr">
        <is>
          <t>BLZ</t>
        </is>
      </c>
      <c r="C1009" t="n">
        <v>2024</v>
      </c>
      <c r="D1009" t="n">
        <v>3.28955985952768</v>
      </c>
    </row>
    <row r="1010">
      <c r="A1010" t="inlineStr">
        <is>
          <t>Bolivia</t>
        </is>
      </c>
      <c r="B1010" t="inlineStr">
        <is>
          <t>BOL</t>
        </is>
      </c>
      <c r="C1010" t="n">
        <v>1960</v>
      </c>
      <c r="D1010" t="n">
        <v>11.5331525756195</v>
      </c>
    </row>
    <row r="1011">
      <c r="A1011" t="inlineStr">
        <is>
          <t>Bolivia</t>
        </is>
      </c>
      <c r="B1011" t="inlineStr">
        <is>
          <t>BOL</t>
        </is>
      </c>
      <c r="C1011" t="n">
        <v>1961</v>
      </c>
      <c r="D1011" t="n">
        <v>7.56149307183899</v>
      </c>
    </row>
    <row r="1012">
      <c r="A1012" t="inlineStr">
        <is>
          <t>Bolivia</t>
        </is>
      </c>
      <c r="B1012" t="inlineStr">
        <is>
          <t>BOL</t>
        </is>
      </c>
      <c r="C1012" t="n">
        <v>1962</v>
      </c>
      <c r="D1012" t="n">
        <v>5.87933142225296</v>
      </c>
    </row>
    <row r="1013">
      <c r="A1013" t="inlineStr">
        <is>
          <t>Bolivia</t>
        </is>
      </c>
      <c r="B1013" t="inlineStr">
        <is>
          <t>BOL</t>
        </is>
      </c>
      <c r="C1013" t="n">
        <v>1963</v>
      </c>
      <c r="D1013" t="n">
        <v>-0.706357214552389</v>
      </c>
    </row>
    <row r="1014">
      <c r="A1014" t="inlineStr">
        <is>
          <t>Bolivia</t>
        </is>
      </c>
      <c r="B1014" t="inlineStr">
        <is>
          <t>BOL</t>
        </is>
      </c>
      <c r="C1014" t="n">
        <v>1964</v>
      </c>
      <c r="D1014" t="n">
        <v>10.1818181818181</v>
      </c>
    </row>
    <row r="1015">
      <c r="A1015" t="inlineStr">
        <is>
          <t>Bolivia</t>
        </is>
      </c>
      <c r="B1015" t="inlineStr">
        <is>
          <t>BOL</t>
        </is>
      </c>
      <c r="C1015" t="n">
        <v>1965</v>
      </c>
      <c r="D1015" t="n">
        <v>2.86028602860271</v>
      </c>
    </row>
    <row r="1016">
      <c r="A1016" t="inlineStr">
        <is>
          <t>Bolivia</t>
        </is>
      </c>
      <c r="B1016" t="inlineStr">
        <is>
          <t>BOL</t>
        </is>
      </c>
      <c r="C1016" t="n">
        <v>1966</v>
      </c>
      <c r="D1016" t="n">
        <v>6.95187165775404</v>
      </c>
    </row>
    <row r="1017">
      <c r="A1017" t="inlineStr">
        <is>
          <t>Bolivia</t>
        </is>
      </c>
      <c r="B1017" t="inlineStr">
        <is>
          <t>BOL</t>
        </is>
      </c>
      <c r="C1017" t="n">
        <v>1967</v>
      </c>
      <c r="D1017" t="n">
        <v>11.1999999990001</v>
      </c>
    </row>
    <row r="1018">
      <c r="A1018" t="inlineStr">
        <is>
          <t>Bolivia</t>
        </is>
      </c>
      <c r="B1018" t="inlineStr">
        <is>
          <t>BOL</t>
        </is>
      </c>
      <c r="C1018" t="n">
        <v>1968</v>
      </c>
      <c r="D1018" t="n">
        <v>5.47062350162299</v>
      </c>
    </row>
    <row r="1019">
      <c r="A1019" t="inlineStr">
        <is>
          <t>Bolivia</t>
        </is>
      </c>
      <c r="B1019" t="inlineStr">
        <is>
          <t>BOL</t>
        </is>
      </c>
      <c r="C1019" t="n">
        <v>1969</v>
      </c>
      <c r="D1019" t="n">
        <v>2.20974847251324</v>
      </c>
    </row>
    <row r="1020">
      <c r="A1020" t="inlineStr">
        <is>
          <t>Bolivia</t>
        </is>
      </c>
      <c r="B1020" t="inlineStr">
        <is>
          <t>BOL</t>
        </is>
      </c>
      <c r="C1020" t="n">
        <v>1970</v>
      </c>
      <c r="D1020" t="n">
        <v>3.95550921099769</v>
      </c>
    </row>
    <row r="1021">
      <c r="A1021" t="inlineStr">
        <is>
          <t>Bolivia</t>
        </is>
      </c>
      <c r="B1021" t="inlineStr">
        <is>
          <t>BOL</t>
        </is>
      </c>
      <c r="C1021" t="n">
        <v>1971</v>
      </c>
      <c r="D1021" t="n">
        <v>3.67461430575032</v>
      </c>
    </row>
    <row r="1022">
      <c r="A1022" t="inlineStr">
        <is>
          <t>Bolivia</t>
        </is>
      </c>
      <c r="B1022" t="inlineStr">
        <is>
          <t>BOL</t>
        </is>
      </c>
      <c r="C1022" t="n">
        <v>1972</v>
      </c>
      <c r="D1022" t="n">
        <v>6.5115440115437</v>
      </c>
    </row>
    <row r="1023">
      <c r="A1023" t="inlineStr">
        <is>
          <t>Bolivia</t>
        </is>
      </c>
      <c r="B1023" t="inlineStr">
        <is>
          <t>BOL</t>
        </is>
      </c>
      <c r="C1023" t="n">
        <v>1973</v>
      </c>
      <c r="D1023" t="n">
        <v>31.4860287891618</v>
      </c>
    </row>
    <row r="1024">
      <c r="A1024" t="inlineStr">
        <is>
          <t>Bolivia</t>
        </is>
      </c>
      <c r="B1024" t="inlineStr">
        <is>
          <t>BOL</t>
        </is>
      </c>
      <c r="C1024" t="n">
        <v>1974</v>
      </c>
      <c r="D1024" t="n">
        <v>62.8360756029239</v>
      </c>
    </row>
    <row r="1025">
      <c r="A1025" t="inlineStr">
        <is>
          <t>Bolivia</t>
        </is>
      </c>
      <c r="B1025" t="inlineStr">
        <is>
          <t>BOL</t>
        </is>
      </c>
      <c r="C1025" t="n">
        <v>1975</v>
      </c>
      <c r="D1025" t="n">
        <v>7.97674602546866</v>
      </c>
    </row>
    <row r="1026">
      <c r="A1026" t="inlineStr">
        <is>
          <t>Bolivia</t>
        </is>
      </c>
      <c r="B1026" t="inlineStr">
        <is>
          <t>BOL</t>
        </is>
      </c>
      <c r="C1026" t="n">
        <v>1976</v>
      </c>
      <c r="D1026" t="n">
        <v>4.49401164707216</v>
      </c>
    </row>
    <row r="1027">
      <c r="A1027" t="inlineStr">
        <is>
          <t>Bolivia</t>
        </is>
      </c>
      <c r="B1027" t="inlineStr">
        <is>
          <t>BOL</t>
        </is>
      </c>
      <c r="C1027" t="n">
        <v>1977</v>
      </c>
      <c r="D1027" t="n">
        <v>8.10725552050415</v>
      </c>
    </row>
    <row r="1028">
      <c r="A1028" t="inlineStr">
        <is>
          <t>Bolivia</t>
        </is>
      </c>
      <c r="B1028" t="inlineStr">
        <is>
          <t>BOL</t>
        </is>
      </c>
      <c r="C1028" t="n">
        <v>1978</v>
      </c>
      <c r="D1028" t="n">
        <v>10.3556722757191</v>
      </c>
    </row>
    <row r="1029">
      <c r="A1029" t="inlineStr">
        <is>
          <t>Bolivia</t>
        </is>
      </c>
      <c r="B1029" t="inlineStr">
        <is>
          <t>BOL</t>
        </is>
      </c>
      <c r="C1029" t="n">
        <v>1979</v>
      </c>
      <c r="D1029" t="n">
        <v>19.7197167787999</v>
      </c>
    </row>
    <row r="1030">
      <c r="A1030" t="inlineStr">
        <is>
          <t>Bolivia</t>
        </is>
      </c>
      <c r="B1030" t="inlineStr">
        <is>
          <t>BOL</t>
        </is>
      </c>
      <c r="C1030" t="n">
        <v>1980</v>
      </c>
      <c r="D1030" t="n">
        <v>47.2416501018426</v>
      </c>
    </row>
    <row r="1031">
      <c r="A1031" t="inlineStr">
        <is>
          <t>Bolivia</t>
        </is>
      </c>
      <c r="B1031" t="inlineStr">
        <is>
          <t>BOL</t>
        </is>
      </c>
      <c r="C1031" t="n">
        <v>1981</v>
      </c>
      <c r="D1031" t="n">
        <v>32.1336011133424</v>
      </c>
    </row>
    <row r="1032">
      <c r="A1032" t="inlineStr">
        <is>
          <t>Bolivia</t>
        </is>
      </c>
      <c r="B1032" t="inlineStr">
        <is>
          <t>BOL</t>
        </is>
      </c>
      <c r="C1032" t="n">
        <v>1982</v>
      </c>
      <c r="D1032" t="n">
        <v>123.535718565329</v>
      </c>
    </row>
    <row r="1033">
      <c r="A1033" t="inlineStr">
        <is>
          <t>Bolivia</t>
        </is>
      </c>
      <c r="B1033" t="inlineStr">
        <is>
          <t>BOL</t>
        </is>
      </c>
      <c r="C1033" t="n">
        <v>1983</v>
      </c>
      <c r="D1033" t="n">
        <v>275.586283560362</v>
      </c>
    </row>
    <row r="1034">
      <c r="A1034" t="inlineStr">
        <is>
          <t>Bolivia</t>
        </is>
      </c>
      <c r="B1034" t="inlineStr">
        <is>
          <t>BOL</t>
        </is>
      </c>
      <c r="C1034" t="n">
        <v>1984</v>
      </c>
      <c r="D1034" t="n">
        <v>1281.34994174486</v>
      </c>
    </row>
    <row r="1035">
      <c r="A1035" t="inlineStr">
        <is>
          <t>Bolivia</t>
        </is>
      </c>
      <c r="B1035" t="inlineStr">
        <is>
          <t>BOL</t>
        </is>
      </c>
      <c r="C1035" t="n">
        <v>1985</v>
      </c>
      <c r="D1035" t="n">
        <v>11749.6396321438</v>
      </c>
    </row>
    <row r="1036">
      <c r="A1036" t="inlineStr">
        <is>
          <t>Bolivia</t>
        </is>
      </c>
      <c r="B1036" t="inlineStr">
        <is>
          <t>BOL</t>
        </is>
      </c>
      <c r="C1036" t="n">
        <v>1986</v>
      </c>
      <c r="D1036" t="n">
        <v>276.335967563202</v>
      </c>
    </row>
    <row r="1037">
      <c r="A1037" t="inlineStr">
        <is>
          <t>Bolivia</t>
        </is>
      </c>
      <c r="B1037" t="inlineStr">
        <is>
          <t>BOL</t>
        </is>
      </c>
      <c r="C1037" t="n">
        <v>1987</v>
      </c>
      <c r="D1037" t="n">
        <v>14.5786984489191</v>
      </c>
    </row>
    <row r="1038">
      <c r="A1038" t="inlineStr">
        <is>
          <t>Bolivia</t>
        </is>
      </c>
      <c r="B1038" t="inlineStr">
        <is>
          <t>BOL</t>
        </is>
      </c>
      <c r="C1038" t="n">
        <v>1988</v>
      </c>
      <c r="D1038" t="n">
        <v>16.0020910549391</v>
      </c>
    </row>
    <row r="1039">
      <c r="A1039" t="inlineStr">
        <is>
          <t>Bolivia</t>
        </is>
      </c>
      <c r="B1039" t="inlineStr">
        <is>
          <t>BOL</t>
        </is>
      </c>
      <c r="C1039" t="n">
        <v>1989</v>
      </c>
      <c r="D1039" t="n">
        <v>15.1734681125732</v>
      </c>
    </row>
    <row r="1040">
      <c r="A1040" t="inlineStr">
        <is>
          <t>Bolivia</t>
        </is>
      </c>
      <c r="B1040" t="inlineStr">
        <is>
          <t>BOL</t>
        </is>
      </c>
      <c r="C1040" t="n">
        <v>1990</v>
      </c>
      <c r="D1040" t="n">
        <v>17.1187746048239</v>
      </c>
    </row>
    <row r="1041">
      <c r="A1041" t="inlineStr">
        <is>
          <t>Bolivia</t>
        </is>
      </c>
      <c r="B1041" t="inlineStr">
        <is>
          <t>BOL</t>
        </is>
      </c>
      <c r="C1041" t="n">
        <v>1991</v>
      </c>
      <c r="D1041" t="n">
        <v>21.4470698171141</v>
      </c>
    </row>
    <row r="1042">
      <c r="A1042" t="inlineStr">
        <is>
          <t>Bolivia</t>
        </is>
      </c>
      <c r="B1042" t="inlineStr">
        <is>
          <t>BOL</t>
        </is>
      </c>
      <c r="C1042" t="n">
        <v>1992</v>
      </c>
      <c r="D1042" t="n">
        <v>12.060323601829</v>
      </c>
    </row>
    <row r="1043">
      <c r="A1043" t="inlineStr">
        <is>
          <t>Bolivia</t>
        </is>
      </c>
      <c r="B1043" t="inlineStr">
        <is>
          <t>BOL</t>
        </is>
      </c>
      <c r="C1043" t="n">
        <v>1993</v>
      </c>
      <c r="D1043" t="n">
        <v>8.52787695688003</v>
      </c>
    </row>
    <row r="1044">
      <c r="A1044" t="inlineStr">
        <is>
          <t>Bolivia</t>
        </is>
      </c>
      <c r="B1044" t="inlineStr">
        <is>
          <t>BOL</t>
        </is>
      </c>
      <c r="C1044" t="n">
        <v>1994</v>
      </c>
      <c r="D1044" t="n">
        <v>7.87404421467434</v>
      </c>
    </row>
    <row r="1045">
      <c r="A1045" t="inlineStr">
        <is>
          <t>Bolivia</t>
        </is>
      </c>
      <c r="B1045" t="inlineStr">
        <is>
          <t>BOL</t>
        </is>
      </c>
      <c r="C1045" t="n">
        <v>1995</v>
      </c>
      <c r="D1045" t="n">
        <v>10.1932067630745</v>
      </c>
    </row>
    <row r="1046">
      <c r="A1046" t="inlineStr">
        <is>
          <t>Bolivia</t>
        </is>
      </c>
      <c r="B1046" t="inlineStr">
        <is>
          <t>BOL</t>
        </is>
      </c>
      <c r="C1046" t="n">
        <v>1996</v>
      </c>
      <c r="D1046" t="n">
        <v>12.4254866180049</v>
      </c>
    </row>
    <row r="1047">
      <c r="A1047" t="inlineStr">
        <is>
          <t>Bolivia</t>
        </is>
      </c>
      <c r="B1047" t="inlineStr">
        <is>
          <t>BOL</t>
        </is>
      </c>
      <c r="C1047" t="n">
        <v>1997</v>
      </c>
      <c r="D1047" t="n">
        <v>4.70844436028193</v>
      </c>
    </row>
    <row r="1048">
      <c r="A1048" t="inlineStr">
        <is>
          <t>Bolivia</t>
        </is>
      </c>
      <c r="B1048" t="inlineStr">
        <is>
          <t>BOL</t>
        </is>
      </c>
      <c r="C1048" t="n">
        <v>1998</v>
      </c>
      <c r="D1048" t="n">
        <v>7.67322895675083</v>
      </c>
    </row>
    <row r="1049">
      <c r="A1049" t="inlineStr">
        <is>
          <t>Bolivia</t>
        </is>
      </c>
      <c r="B1049" t="inlineStr">
        <is>
          <t>BOL</t>
        </is>
      </c>
      <c r="C1049" t="n">
        <v>1999</v>
      </c>
      <c r="D1049" t="n">
        <v>2.15951626835598</v>
      </c>
    </row>
    <row r="1050">
      <c r="A1050" t="inlineStr">
        <is>
          <t>Bolivia</t>
        </is>
      </c>
      <c r="B1050" t="inlineStr">
        <is>
          <t>BOL</t>
        </is>
      </c>
      <c r="C1050" t="n">
        <v>2000</v>
      </c>
      <c r="D1050" t="n">
        <v>4.60822998872598</v>
      </c>
    </row>
    <row r="1051">
      <c r="A1051" t="inlineStr">
        <is>
          <t>Bolivia</t>
        </is>
      </c>
      <c r="B1051" t="inlineStr">
        <is>
          <t>BOL</t>
        </is>
      </c>
      <c r="C1051" t="n">
        <v>2001</v>
      </c>
      <c r="D1051" t="n">
        <v>1.58965377879568</v>
      </c>
    </row>
    <row r="1052">
      <c r="A1052" t="inlineStr">
        <is>
          <t>Bolivia</t>
        </is>
      </c>
      <c r="B1052" t="inlineStr">
        <is>
          <t>BOL</t>
        </is>
      </c>
      <c r="C1052" t="n">
        <v>2002</v>
      </c>
      <c r="D1052" t="n">
        <v>0.92825885161107</v>
      </c>
    </row>
    <row r="1053">
      <c r="A1053" t="inlineStr">
        <is>
          <t>Bolivia</t>
        </is>
      </c>
      <c r="B1053" t="inlineStr">
        <is>
          <t>BOL</t>
        </is>
      </c>
      <c r="C1053" t="n">
        <v>2003</v>
      </c>
      <c r="D1053" t="n">
        <v>3.33727499671534</v>
      </c>
    </row>
    <row r="1054">
      <c r="A1054" t="inlineStr">
        <is>
          <t>Bolivia</t>
        </is>
      </c>
      <c r="B1054" t="inlineStr">
        <is>
          <t>BOL</t>
        </is>
      </c>
      <c r="C1054" t="n">
        <v>2004</v>
      </c>
      <c r="D1054" t="n">
        <v>4.43738080101725</v>
      </c>
    </row>
    <row r="1055">
      <c r="A1055" t="inlineStr">
        <is>
          <t>Bolivia</t>
        </is>
      </c>
      <c r="B1055" t="inlineStr">
        <is>
          <t>BOL</t>
        </is>
      </c>
      <c r="C1055" t="n">
        <v>2005</v>
      </c>
      <c r="D1055" t="n">
        <v>5.39323106890663</v>
      </c>
    </row>
    <row r="1056">
      <c r="A1056" t="inlineStr">
        <is>
          <t>Bolivia</t>
        </is>
      </c>
      <c r="B1056" t="inlineStr">
        <is>
          <t>BOL</t>
        </is>
      </c>
      <c r="C1056" t="n">
        <v>2006</v>
      </c>
      <c r="D1056" t="n">
        <v>4.28239604802561</v>
      </c>
    </row>
    <row r="1057">
      <c r="A1057" t="inlineStr">
        <is>
          <t>Bolivia</t>
        </is>
      </c>
      <c r="B1057" t="inlineStr">
        <is>
          <t>BOL</t>
        </is>
      </c>
      <c r="C1057" t="n">
        <v>2007</v>
      </c>
      <c r="D1057" t="n">
        <v>8.705609235788691</v>
      </c>
    </row>
    <row r="1058">
      <c r="A1058" t="inlineStr">
        <is>
          <t>Bolivia</t>
        </is>
      </c>
      <c r="B1058" t="inlineStr">
        <is>
          <t>BOL</t>
        </is>
      </c>
      <c r="C1058" t="n">
        <v>2008</v>
      </c>
      <c r="D1058" t="n">
        <v>14.0068107702519</v>
      </c>
    </row>
    <row r="1059">
      <c r="A1059" t="inlineStr">
        <is>
          <t>Bolivia</t>
        </is>
      </c>
      <c r="B1059" t="inlineStr">
        <is>
          <t>BOL</t>
        </is>
      </c>
      <c r="C1059" t="n">
        <v>2009</v>
      </c>
      <c r="D1059" t="n">
        <v>3.34645420142014</v>
      </c>
    </row>
    <row r="1060">
      <c r="A1060" t="inlineStr">
        <is>
          <t>Bolivia</t>
        </is>
      </c>
      <c r="B1060" t="inlineStr">
        <is>
          <t>BOL</t>
        </is>
      </c>
      <c r="C1060" t="n">
        <v>2010</v>
      </c>
      <c r="D1060" t="n">
        <v>2.50327605844241</v>
      </c>
    </row>
    <row r="1061">
      <c r="A1061" t="inlineStr">
        <is>
          <t>Bolivia</t>
        </is>
      </c>
      <c r="B1061" t="inlineStr">
        <is>
          <t>BOL</t>
        </is>
      </c>
      <c r="C1061" t="n">
        <v>2011</v>
      </c>
      <c r="D1061" t="n">
        <v>9.884464198238829</v>
      </c>
    </row>
    <row r="1062">
      <c r="A1062" t="inlineStr">
        <is>
          <t>Bolivia</t>
        </is>
      </c>
      <c r="B1062" t="inlineStr">
        <is>
          <t>BOL</t>
        </is>
      </c>
      <c r="C1062" t="n">
        <v>2012</v>
      </c>
      <c r="D1062" t="n">
        <v>4.51560291399376</v>
      </c>
    </row>
    <row r="1063">
      <c r="A1063" t="inlineStr">
        <is>
          <t>Bolivia</t>
        </is>
      </c>
      <c r="B1063" t="inlineStr">
        <is>
          <t>BOL</t>
        </is>
      </c>
      <c r="C1063" t="n">
        <v>2013</v>
      </c>
      <c r="D1063" t="n">
        <v>5.73640023719607</v>
      </c>
    </row>
    <row r="1064">
      <c r="A1064" t="inlineStr">
        <is>
          <t>Bolivia</t>
        </is>
      </c>
      <c r="B1064" t="inlineStr">
        <is>
          <t>BOL</t>
        </is>
      </c>
      <c r="C1064" t="n">
        <v>2014</v>
      </c>
      <c r="D1064" t="n">
        <v>5.76660074579144</v>
      </c>
    </row>
    <row r="1065">
      <c r="A1065" t="inlineStr">
        <is>
          <t>Bolivia</t>
        </is>
      </c>
      <c r="B1065" t="inlineStr">
        <is>
          <t>BOL</t>
        </is>
      </c>
      <c r="C1065" t="n">
        <v>2015</v>
      </c>
      <c r="D1065" t="n">
        <v>4.05961041135645</v>
      </c>
    </row>
    <row r="1066">
      <c r="A1066" t="inlineStr">
        <is>
          <t>Bolivia</t>
        </is>
      </c>
      <c r="B1066" t="inlineStr">
        <is>
          <t>BOL</t>
        </is>
      </c>
      <c r="C1066" t="n">
        <v>2016</v>
      </c>
      <c r="D1066" t="n">
        <v>3.62321431764138</v>
      </c>
    </row>
    <row r="1067">
      <c r="A1067" t="inlineStr">
        <is>
          <t>Bolivia</t>
        </is>
      </c>
      <c r="B1067" t="inlineStr">
        <is>
          <t>BOL</t>
        </is>
      </c>
      <c r="C1067" t="n">
        <v>2017</v>
      </c>
      <c r="D1067" t="n">
        <v>2.8227580554717</v>
      </c>
    </row>
    <row r="1068">
      <c r="A1068" t="inlineStr">
        <is>
          <t>Bolivia</t>
        </is>
      </c>
      <c r="B1068" t="inlineStr">
        <is>
          <t>BOL</t>
        </is>
      </c>
      <c r="C1068" t="n">
        <v>2018</v>
      </c>
      <c r="D1068" t="n">
        <v>2.27205987230155</v>
      </c>
    </row>
    <row r="1069">
      <c r="A1069" t="inlineStr">
        <is>
          <t>Bolivia</t>
        </is>
      </c>
      <c r="B1069" t="inlineStr">
        <is>
          <t>BOL</t>
        </is>
      </c>
      <c r="C1069" t="n">
        <v>2019</v>
      </c>
      <c r="D1069" t="n">
        <v>1.83954504969026</v>
      </c>
    </row>
    <row r="1070">
      <c r="A1070" t="inlineStr">
        <is>
          <t>Bolivia</t>
        </is>
      </c>
      <c r="B1070" t="inlineStr">
        <is>
          <t>BOL</t>
        </is>
      </c>
      <c r="C1070" t="n">
        <v>2020</v>
      </c>
      <c r="D1070" t="n">
        <v>0.940742153381849</v>
      </c>
    </row>
    <row r="1071">
      <c r="A1071" t="inlineStr">
        <is>
          <t>Bolivia</t>
        </is>
      </c>
      <c r="B1071" t="inlineStr">
        <is>
          <t>BOL</t>
        </is>
      </c>
      <c r="C1071" t="n">
        <v>2021</v>
      </c>
      <c r="D1071" t="n">
        <v>0.737383721452275</v>
      </c>
    </row>
    <row r="1072">
      <c r="A1072" t="inlineStr">
        <is>
          <t>Bolivia</t>
        </is>
      </c>
      <c r="B1072" t="inlineStr">
        <is>
          <t>BOL</t>
        </is>
      </c>
      <c r="C1072" t="n">
        <v>2022</v>
      </c>
      <c r="D1072" t="n">
        <v>1.74632872945969</v>
      </c>
    </row>
    <row r="1073">
      <c r="A1073" t="inlineStr">
        <is>
          <t>Bolivia</t>
        </is>
      </c>
      <c r="B1073" t="inlineStr">
        <is>
          <t>BOL</t>
        </is>
      </c>
      <c r="C1073" t="n">
        <v>2023</v>
      </c>
      <c r="D1073" t="n">
        <v>2.57688800489192</v>
      </c>
    </row>
    <row r="1074">
      <c r="A1074" t="inlineStr">
        <is>
          <t>Bolivia</t>
        </is>
      </c>
      <c r="B1074" t="inlineStr">
        <is>
          <t>BOL</t>
        </is>
      </c>
      <c r="C1074" t="n">
        <v>2024</v>
      </c>
      <c r="D1074" t="n">
        <v>5.09976568317427</v>
      </c>
    </row>
    <row r="1075">
      <c r="A1075" t="inlineStr">
        <is>
          <t>Brazil</t>
        </is>
      </c>
      <c r="B1075" t="inlineStr">
        <is>
          <t>BRA</t>
        </is>
      </c>
      <c r="C1075" t="n">
        <v>1981</v>
      </c>
      <c r="D1075" t="n">
        <v>101.725072957927</v>
      </c>
    </row>
    <row r="1076">
      <c r="A1076" t="inlineStr">
        <is>
          <t>Brazil</t>
        </is>
      </c>
      <c r="B1076" t="inlineStr">
        <is>
          <t>BRA</t>
        </is>
      </c>
      <c r="C1076" t="n">
        <v>1982</v>
      </c>
      <c r="D1076" t="n">
        <v>100.54335919485</v>
      </c>
    </row>
    <row r="1077">
      <c r="A1077" t="inlineStr">
        <is>
          <t>Brazil</t>
        </is>
      </c>
      <c r="B1077" t="inlineStr">
        <is>
          <t>BRA</t>
        </is>
      </c>
      <c r="C1077" t="n">
        <v>1983</v>
      </c>
      <c r="D1077" t="n">
        <v>135.027682230473</v>
      </c>
    </row>
    <row r="1078">
      <c r="A1078" t="inlineStr">
        <is>
          <t>Brazil</t>
        </is>
      </c>
      <c r="B1078" t="inlineStr">
        <is>
          <t>BRA</t>
        </is>
      </c>
      <c r="C1078" t="n">
        <v>1984</v>
      </c>
      <c r="D1078" t="n">
        <v>192.121733132051</v>
      </c>
    </row>
    <row r="1079">
      <c r="A1079" t="inlineStr">
        <is>
          <t>Brazil</t>
        </is>
      </c>
      <c r="B1079" t="inlineStr">
        <is>
          <t>BRA</t>
        </is>
      </c>
      <c r="C1079" t="n">
        <v>1985</v>
      </c>
      <c r="D1079" t="n">
        <v>225.989665211895</v>
      </c>
    </row>
    <row r="1080">
      <c r="A1080" t="inlineStr">
        <is>
          <t>Brazil</t>
        </is>
      </c>
      <c r="B1080" t="inlineStr">
        <is>
          <t>BRA</t>
        </is>
      </c>
      <c r="C1080" t="n">
        <v>1986</v>
      </c>
      <c r="D1080" t="n">
        <v>147.142826237604</v>
      </c>
    </row>
    <row r="1081">
      <c r="A1081" t="inlineStr">
        <is>
          <t>Brazil</t>
        </is>
      </c>
      <c r="B1081" t="inlineStr">
        <is>
          <t>BRA</t>
        </is>
      </c>
      <c r="C1081" t="n">
        <v>1987</v>
      </c>
      <c r="D1081" t="n">
        <v>228.336162575513</v>
      </c>
    </row>
    <row r="1082">
      <c r="A1082" t="inlineStr">
        <is>
          <t>Brazil</t>
        </is>
      </c>
      <c r="B1082" t="inlineStr">
        <is>
          <t>BRA</t>
        </is>
      </c>
      <c r="C1082" t="n">
        <v>1988</v>
      </c>
      <c r="D1082" t="n">
        <v>629.114509120897</v>
      </c>
    </row>
    <row r="1083">
      <c r="A1083" t="inlineStr">
        <is>
          <t>Brazil</t>
        </is>
      </c>
      <c r="B1083" t="inlineStr">
        <is>
          <t>BRA</t>
        </is>
      </c>
      <c r="C1083" t="n">
        <v>1989</v>
      </c>
      <c r="D1083" t="n">
        <v>1430.7237251472</v>
      </c>
    </row>
    <row r="1084">
      <c r="A1084" t="inlineStr">
        <is>
          <t>Brazil</t>
        </is>
      </c>
      <c r="B1084" t="inlineStr">
        <is>
          <t>BRA</t>
        </is>
      </c>
      <c r="C1084" t="n">
        <v>1990</v>
      </c>
      <c r="D1084" t="n">
        <v>2947.732772483</v>
      </c>
    </row>
    <row r="1085">
      <c r="A1085" t="inlineStr">
        <is>
          <t>Brazil</t>
        </is>
      </c>
      <c r="B1085" t="inlineStr">
        <is>
          <t>BRA</t>
        </is>
      </c>
      <c r="C1085" t="n">
        <v>1991</v>
      </c>
      <c r="D1085" t="n">
        <v>432.786661926461</v>
      </c>
    </row>
    <row r="1086">
      <c r="A1086" t="inlineStr">
        <is>
          <t>Brazil</t>
        </is>
      </c>
      <c r="B1086" t="inlineStr">
        <is>
          <t>BRA</t>
        </is>
      </c>
      <c r="C1086" t="n">
        <v>1992</v>
      </c>
      <c r="D1086" t="n">
        <v>951.962053052818</v>
      </c>
    </row>
    <row r="1087">
      <c r="A1087" t="inlineStr">
        <is>
          <t>Brazil</t>
        </is>
      </c>
      <c r="B1087" t="inlineStr">
        <is>
          <t>BRA</t>
        </is>
      </c>
      <c r="C1087" t="n">
        <v>1993</v>
      </c>
      <c r="D1087" t="n">
        <v>1927.38079016026</v>
      </c>
    </row>
    <row r="1088">
      <c r="A1088" t="inlineStr">
        <is>
          <t>Brazil</t>
        </is>
      </c>
      <c r="B1088" t="inlineStr">
        <is>
          <t>BRA</t>
        </is>
      </c>
      <c r="C1088" t="n">
        <v>1994</v>
      </c>
      <c r="D1088" t="n">
        <v>2075.88839757325</v>
      </c>
    </row>
    <row r="1089">
      <c r="A1089" t="inlineStr">
        <is>
          <t>Brazil</t>
        </is>
      </c>
      <c r="B1089" t="inlineStr">
        <is>
          <t>BRA</t>
        </is>
      </c>
      <c r="C1089" t="n">
        <v>1995</v>
      </c>
      <c r="D1089" t="n">
        <v>66.0070335542481</v>
      </c>
    </row>
    <row r="1090">
      <c r="A1090" t="inlineStr">
        <is>
          <t>Brazil</t>
        </is>
      </c>
      <c r="B1090" t="inlineStr">
        <is>
          <t>BRA</t>
        </is>
      </c>
      <c r="C1090" t="n">
        <v>1996</v>
      </c>
      <c r="D1090" t="n">
        <v>15.7576656002606</v>
      </c>
    </row>
    <row r="1091">
      <c r="A1091" t="inlineStr">
        <is>
          <t>Brazil</t>
        </is>
      </c>
      <c r="B1091" t="inlineStr">
        <is>
          <t>BRA</t>
        </is>
      </c>
      <c r="C1091" t="n">
        <v>1997</v>
      </c>
      <c r="D1091" t="n">
        <v>6.92671251629154</v>
      </c>
    </row>
    <row r="1092">
      <c r="A1092" t="inlineStr">
        <is>
          <t>Brazil</t>
        </is>
      </c>
      <c r="B1092" t="inlineStr">
        <is>
          <t>BRA</t>
        </is>
      </c>
      <c r="C1092" t="n">
        <v>1998</v>
      </c>
      <c r="D1092" t="n">
        <v>3.19507629280052</v>
      </c>
    </row>
    <row r="1093">
      <c r="A1093" t="inlineStr">
        <is>
          <t>Brazil</t>
        </is>
      </c>
      <c r="B1093" t="inlineStr">
        <is>
          <t>BRA</t>
        </is>
      </c>
      <c r="C1093" t="n">
        <v>1999</v>
      </c>
      <c r="D1093" t="n">
        <v>4.85844749902667</v>
      </c>
    </row>
    <row r="1094">
      <c r="A1094" t="inlineStr">
        <is>
          <t>Brazil</t>
        </is>
      </c>
      <c r="B1094" t="inlineStr">
        <is>
          <t>BRA</t>
        </is>
      </c>
      <c r="C1094" t="n">
        <v>2000</v>
      </c>
      <c r="D1094" t="n">
        <v>7.04414105947266</v>
      </c>
    </row>
    <row r="1095">
      <c r="A1095" t="inlineStr">
        <is>
          <t>Brazil</t>
        </is>
      </c>
      <c r="B1095" t="inlineStr">
        <is>
          <t>BRA</t>
        </is>
      </c>
      <c r="C1095" t="n">
        <v>2001</v>
      </c>
      <c r="D1095" t="n">
        <v>6.84035902487523</v>
      </c>
    </row>
    <row r="1096">
      <c r="A1096" t="inlineStr">
        <is>
          <t>Brazil</t>
        </is>
      </c>
      <c r="B1096" t="inlineStr">
        <is>
          <t>BRA</t>
        </is>
      </c>
      <c r="C1096" t="n">
        <v>2002</v>
      </c>
      <c r="D1096" t="n">
        <v>8.450164377083309</v>
      </c>
    </row>
    <row r="1097">
      <c r="A1097" t="inlineStr">
        <is>
          <t>Brazil</t>
        </is>
      </c>
      <c r="B1097" t="inlineStr">
        <is>
          <t>BRA</t>
        </is>
      </c>
      <c r="C1097" t="n">
        <v>2003</v>
      </c>
      <c r="D1097" t="n">
        <v>14.7149197228147</v>
      </c>
    </row>
    <row r="1098">
      <c r="A1098" t="inlineStr">
        <is>
          <t>Brazil</t>
        </is>
      </c>
      <c r="B1098" t="inlineStr">
        <is>
          <t>BRA</t>
        </is>
      </c>
      <c r="C1098" t="n">
        <v>2004</v>
      </c>
      <c r="D1098" t="n">
        <v>6.59718509985963</v>
      </c>
    </row>
    <row r="1099">
      <c r="A1099" t="inlineStr">
        <is>
          <t>Brazil</t>
        </is>
      </c>
      <c r="B1099" t="inlineStr">
        <is>
          <t>BRA</t>
        </is>
      </c>
      <c r="C1099" t="n">
        <v>2005</v>
      </c>
      <c r="D1099" t="n">
        <v>6.86953720898964</v>
      </c>
    </row>
    <row r="1100">
      <c r="A1100" t="inlineStr">
        <is>
          <t>Brazil</t>
        </is>
      </c>
      <c r="B1100" t="inlineStr">
        <is>
          <t>BRA</t>
        </is>
      </c>
      <c r="C1100" t="n">
        <v>2006</v>
      </c>
      <c r="D1100" t="n">
        <v>4.18356812896909</v>
      </c>
    </row>
    <row r="1101">
      <c r="A1101" t="inlineStr">
        <is>
          <t>Brazil</t>
        </is>
      </c>
      <c r="B1101" t="inlineStr">
        <is>
          <t>BRA</t>
        </is>
      </c>
      <c r="C1101" t="n">
        <v>2007</v>
      </c>
      <c r="D1101" t="n">
        <v>3.64127299102652</v>
      </c>
    </row>
    <row r="1102">
      <c r="A1102" t="inlineStr">
        <is>
          <t>Brazil</t>
        </is>
      </c>
      <c r="B1102" t="inlineStr">
        <is>
          <t>BRA</t>
        </is>
      </c>
      <c r="C1102" t="n">
        <v>2008</v>
      </c>
      <c r="D1102" t="n">
        <v>5.67859390284168</v>
      </c>
    </row>
    <row r="1103">
      <c r="A1103" t="inlineStr">
        <is>
          <t>Brazil</t>
        </is>
      </c>
      <c r="B1103" t="inlineStr">
        <is>
          <t>BRA</t>
        </is>
      </c>
      <c r="C1103" t="n">
        <v>2009</v>
      </c>
      <c r="D1103" t="n">
        <v>4.88803479876799</v>
      </c>
    </row>
    <row r="1104">
      <c r="A1104" t="inlineStr">
        <is>
          <t>Brazil</t>
        </is>
      </c>
      <c r="B1104" t="inlineStr">
        <is>
          <t>BRA</t>
        </is>
      </c>
      <c r="C1104" t="n">
        <v>2010</v>
      </c>
      <c r="D1104" t="n">
        <v>5.03872690108075</v>
      </c>
    </row>
    <row r="1105">
      <c r="A1105" t="inlineStr">
        <is>
          <t>Brazil</t>
        </is>
      </c>
      <c r="B1105" t="inlineStr">
        <is>
          <t>BRA</t>
        </is>
      </c>
      <c r="C1105" t="n">
        <v>2011</v>
      </c>
      <c r="D1105" t="n">
        <v>6.6364496221309</v>
      </c>
    </row>
    <row r="1106">
      <c r="A1106" t="inlineStr">
        <is>
          <t>Brazil</t>
        </is>
      </c>
      <c r="B1106" t="inlineStr">
        <is>
          <t>BRA</t>
        </is>
      </c>
      <c r="C1106" t="n">
        <v>2012</v>
      </c>
      <c r="D1106" t="n">
        <v>5.40349914036997</v>
      </c>
    </row>
    <row r="1107">
      <c r="A1107" t="inlineStr">
        <is>
          <t>Brazil</t>
        </is>
      </c>
      <c r="B1107" t="inlineStr">
        <is>
          <t>BRA</t>
        </is>
      </c>
      <c r="C1107" t="n">
        <v>2013</v>
      </c>
      <c r="D1107" t="n">
        <v>6.20431066640101</v>
      </c>
    </row>
    <row r="1108">
      <c r="A1108" t="inlineStr">
        <is>
          <t>Brazil</t>
        </is>
      </c>
      <c r="B1108" t="inlineStr">
        <is>
          <t>BRA</t>
        </is>
      </c>
      <c r="C1108" t="n">
        <v>2014</v>
      </c>
      <c r="D1108" t="n">
        <v>6.32904015516139</v>
      </c>
    </row>
    <row r="1109">
      <c r="A1109" t="inlineStr">
        <is>
          <t>Brazil</t>
        </is>
      </c>
      <c r="B1109" t="inlineStr">
        <is>
          <t>BRA</t>
        </is>
      </c>
      <c r="C1109" t="n">
        <v>2015</v>
      </c>
      <c r="D1109" t="n">
        <v>9.02990102416136</v>
      </c>
    </row>
    <row r="1110">
      <c r="A1110" t="inlineStr">
        <is>
          <t>Brazil</t>
        </is>
      </c>
      <c r="B1110" t="inlineStr">
        <is>
          <t>BRA</t>
        </is>
      </c>
      <c r="C1110" t="n">
        <v>2016</v>
      </c>
      <c r="D1110" t="n">
        <v>8.739143523293929</v>
      </c>
    </row>
    <row r="1111">
      <c r="A1111" t="inlineStr">
        <is>
          <t>Brazil</t>
        </is>
      </c>
      <c r="B1111" t="inlineStr">
        <is>
          <t>BRA</t>
        </is>
      </c>
      <c r="C1111" t="n">
        <v>2017</v>
      </c>
      <c r="D1111" t="n">
        <v>3.44637335032669</v>
      </c>
    </row>
    <row r="1112">
      <c r="A1112" t="inlineStr">
        <is>
          <t>Brazil</t>
        </is>
      </c>
      <c r="B1112" t="inlineStr">
        <is>
          <t>BRA</t>
        </is>
      </c>
      <c r="C1112" t="n">
        <v>2018</v>
      </c>
      <c r="D1112" t="n">
        <v>3.66485028376729</v>
      </c>
    </row>
    <row r="1113">
      <c r="A1113" t="inlineStr">
        <is>
          <t>Brazil</t>
        </is>
      </c>
      <c r="B1113" t="inlineStr">
        <is>
          <t>BRA</t>
        </is>
      </c>
      <c r="C1113" t="n">
        <v>2019</v>
      </c>
      <c r="D1113" t="n">
        <v>3.73297621216894</v>
      </c>
    </row>
    <row r="1114">
      <c r="A1114" t="inlineStr">
        <is>
          <t>Brazil</t>
        </is>
      </c>
      <c r="B1114" t="inlineStr">
        <is>
          <t>BRA</t>
        </is>
      </c>
      <c r="C1114" t="n">
        <v>2020</v>
      </c>
      <c r="D1114" t="n">
        <v>3.21176803803376</v>
      </c>
    </row>
    <row r="1115">
      <c r="A1115" t="inlineStr">
        <is>
          <t>Brazil</t>
        </is>
      </c>
      <c r="B1115" t="inlineStr">
        <is>
          <t>BRA</t>
        </is>
      </c>
      <c r="C1115" t="n">
        <v>2021</v>
      </c>
      <c r="D1115" t="n">
        <v>8.301659755856731</v>
      </c>
    </row>
    <row r="1116">
      <c r="A1116" t="inlineStr">
        <is>
          <t>Brazil</t>
        </is>
      </c>
      <c r="B1116" t="inlineStr">
        <is>
          <t>BRA</t>
        </is>
      </c>
      <c r="C1116" t="n">
        <v>2022</v>
      </c>
      <c r="D1116" t="n">
        <v>9.280106089568729</v>
      </c>
    </row>
    <row r="1117">
      <c r="A1117" t="inlineStr">
        <is>
          <t>Brazil</t>
        </is>
      </c>
      <c r="B1117" t="inlineStr">
        <is>
          <t>BRA</t>
        </is>
      </c>
      <c r="C1117" t="n">
        <v>2023</v>
      </c>
      <c r="D1117" t="n">
        <v>4.59356282283204</v>
      </c>
    </row>
    <row r="1118">
      <c r="A1118" t="inlineStr">
        <is>
          <t>Brazil</t>
        </is>
      </c>
      <c r="B1118" t="inlineStr">
        <is>
          <t>BRA</t>
        </is>
      </c>
      <c r="C1118" t="n">
        <v>2024</v>
      </c>
      <c r="D1118" t="n">
        <v>4.36746407652337</v>
      </c>
    </row>
    <row r="1119">
      <c r="A1119" t="inlineStr">
        <is>
          <t>Barbados</t>
        </is>
      </c>
      <c r="B1119" t="inlineStr">
        <is>
          <t>BRB</t>
        </is>
      </c>
      <c r="C1119" t="n">
        <v>1967</v>
      </c>
      <c r="D1119" t="n">
        <v>3.63487515335757</v>
      </c>
    </row>
    <row r="1120">
      <c r="A1120" t="inlineStr">
        <is>
          <t>Barbados</t>
        </is>
      </c>
      <c r="B1120" t="inlineStr">
        <is>
          <t>BRB</t>
        </is>
      </c>
      <c r="C1120" t="n">
        <v>1968</v>
      </c>
      <c r="D1120" t="n">
        <v>7.48874318687617</v>
      </c>
    </row>
    <row r="1121">
      <c r="A1121" t="inlineStr">
        <is>
          <t>Barbados</t>
        </is>
      </c>
      <c r="B1121" t="inlineStr">
        <is>
          <t>BRB</t>
        </is>
      </c>
      <c r="C1121" t="n">
        <v>1969</v>
      </c>
      <c r="D1121" t="n">
        <v>5.83523186605494</v>
      </c>
    </row>
    <row r="1122">
      <c r="A1122" t="inlineStr">
        <is>
          <t>Barbados</t>
        </is>
      </c>
      <c r="B1122" t="inlineStr">
        <is>
          <t>BRB</t>
        </is>
      </c>
      <c r="C1122" t="n">
        <v>1970</v>
      </c>
      <c r="D1122" t="n">
        <v>7.28421637368521</v>
      </c>
    </row>
    <row r="1123">
      <c r="A1123" t="inlineStr">
        <is>
          <t>Barbados</t>
        </is>
      </c>
      <c r="B1123" t="inlineStr">
        <is>
          <t>BRB</t>
        </is>
      </c>
      <c r="C1123" t="n">
        <v>1971</v>
      </c>
      <c r="D1123" t="n">
        <v>7.46925566353863</v>
      </c>
    </row>
    <row r="1124">
      <c r="A1124" t="inlineStr">
        <is>
          <t>Barbados</t>
        </is>
      </c>
      <c r="B1124" t="inlineStr">
        <is>
          <t>BRB</t>
        </is>
      </c>
      <c r="C1124" t="n">
        <v>1972</v>
      </c>
      <c r="D1124" t="n">
        <v>11.8766562275328</v>
      </c>
    </row>
    <row r="1125">
      <c r="A1125" t="inlineStr">
        <is>
          <t>Barbados</t>
        </is>
      </c>
      <c r="B1125" t="inlineStr">
        <is>
          <t>BRB</t>
        </is>
      </c>
      <c r="C1125" t="n">
        <v>1973</v>
      </c>
      <c r="D1125" t="n">
        <v>16.8550818260213</v>
      </c>
    </row>
    <row r="1126">
      <c r="A1126" t="inlineStr">
        <is>
          <t>Barbados</t>
        </is>
      </c>
      <c r="B1126" t="inlineStr">
        <is>
          <t>BRB</t>
        </is>
      </c>
      <c r="C1126" t="n">
        <v>1974</v>
      </c>
      <c r="D1126" t="n">
        <v>38.922928087811</v>
      </c>
    </row>
    <row r="1127">
      <c r="A1127" t="inlineStr">
        <is>
          <t>Barbados</t>
        </is>
      </c>
      <c r="B1127" t="inlineStr">
        <is>
          <t>BRB</t>
        </is>
      </c>
      <c r="C1127" t="n">
        <v>1975</v>
      </c>
      <c r="D1127" t="n">
        <v>20.294468762529</v>
      </c>
    </row>
    <row r="1128">
      <c r="A1128" t="inlineStr">
        <is>
          <t>Barbados</t>
        </is>
      </c>
      <c r="B1128" t="inlineStr">
        <is>
          <t>BRB</t>
        </is>
      </c>
      <c r="C1128" t="n">
        <v>1976</v>
      </c>
      <c r="D1128" t="n">
        <v>4.98676811113187</v>
      </c>
    </row>
    <row r="1129">
      <c r="A1129" t="inlineStr">
        <is>
          <t>Barbados</t>
        </is>
      </c>
      <c r="B1129" t="inlineStr">
        <is>
          <t>BRB</t>
        </is>
      </c>
      <c r="C1129" t="n">
        <v>1977</v>
      </c>
      <c r="D1129" t="n">
        <v>8.35236969934998</v>
      </c>
    </row>
    <row r="1130">
      <c r="A1130" t="inlineStr">
        <is>
          <t>Barbados</t>
        </is>
      </c>
      <c r="B1130" t="inlineStr">
        <is>
          <t>BRB</t>
        </is>
      </c>
      <c r="C1130" t="n">
        <v>1978</v>
      </c>
      <c r="D1130" t="n">
        <v>9.482382591017631</v>
      </c>
    </row>
    <row r="1131">
      <c r="A1131" t="inlineStr">
        <is>
          <t>Barbados</t>
        </is>
      </c>
      <c r="B1131" t="inlineStr">
        <is>
          <t>BRB</t>
        </is>
      </c>
      <c r="C1131" t="n">
        <v>1979</v>
      </c>
      <c r="D1131" t="n">
        <v>13.1698355431799</v>
      </c>
    </row>
    <row r="1132">
      <c r="A1132" t="inlineStr">
        <is>
          <t>Barbados</t>
        </is>
      </c>
      <c r="B1132" t="inlineStr">
        <is>
          <t>BRB</t>
        </is>
      </c>
      <c r="C1132" t="n">
        <v>1980</v>
      </c>
      <c r="D1132" t="n">
        <v>14.4305197203943</v>
      </c>
    </row>
    <row r="1133">
      <c r="A1133" t="inlineStr">
        <is>
          <t>Barbados</t>
        </is>
      </c>
      <c r="B1133" t="inlineStr">
        <is>
          <t>BRB</t>
        </is>
      </c>
      <c r="C1133" t="n">
        <v>1981</v>
      </c>
      <c r="D1133" t="n">
        <v>14.5675632146886</v>
      </c>
    </row>
    <row r="1134">
      <c r="A1134" t="inlineStr">
        <is>
          <t>Barbados</t>
        </is>
      </c>
      <c r="B1134" t="inlineStr">
        <is>
          <t>BRB</t>
        </is>
      </c>
      <c r="C1134" t="n">
        <v>1982</v>
      </c>
      <c r="D1134" t="n">
        <v>10.3324664370561</v>
      </c>
    </row>
    <row r="1135">
      <c r="A1135" t="inlineStr">
        <is>
          <t>Barbados</t>
        </is>
      </c>
      <c r="B1135" t="inlineStr">
        <is>
          <t>BRB</t>
        </is>
      </c>
      <c r="C1135" t="n">
        <v>1983</v>
      </c>
      <c r="D1135" t="n">
        <v>5.23029878288839</v>
      </c>
    </row>
    <row r="1136">
      <c r="A1136" t="inlineStr">
        <is>
          <t>Barbados</t>
        </is>
      </c>
      <c r="B1136" t="inlineStr">
        <is>
          <t>BRB</t>
        </is>
      </c>
      <c r="C1136" t="n">
        <v>1984</v>
      </c>
      <c r="D1136" t="n">
        <v>4.68579731185602</v>
      </c>
    </row>
    <row r="1137">
      <c r="A1137" t="inlineStr">
        <is>
          <t>Barbados</t>
        </is>
      </c>
      <c r="B1137" t="inlineStr">
        <is>
          <t>BRB</t>
        </is>
      </c>
      <c r="C1137" t="n">
        <v>1985</v>
      </c>
      <c r="D1137" t="n">
        <v>3.91510525082794</v>
      </c>
    </row>
    <row r="1138">
      <c r="A1138" t="inlineStr">
        <is>
          <t>Barbados</t>
        </is>
      </c>
      <c r="B1138" t="inlineStr">
        <is>
          <t>BRB</t>
        </is>
      </c>
      <c r="C1138" t="n">
        <v>1986</v>
      </c>
      <c r="D1138" t="n">
        <v>1.33006845161916</v>
      </c>
    </row>
    <row r="1139">
      <c r="A1139" t="inlineStr">
        <is>
          <t>Barbados</t>
        </is>
      </c>
      <c r="B1139" t="inlineStr">
        <is>
          <t>BRB</t>
        </is>
      </c>
      <c r="C1139" t="n">
        <v>1987</v>
      </c>
      <c r="D1139" t="n">
        <v>3.31173110743255</v>
      </c>
    </row>
    <row r="1140">
      <c r="A1140" t="inlineStr">
        <is>
          <t>Barbados</t>
        </is>
      </c>
      <c r="B1140" t="inlineStr">
        <is>
          <t>BRB</t>
        </is>
      </c>
      <c r="C1140" t="n">
        <v>1988</v>
      </c>
      <c r="D1140" t="n">
        <v>4.85885917814048</v>
      </c>
    </row>
    <row r="1141">
      <c r="A1141" t="inlineStr">
        <is>
          <t>Barbados</t>
        </is>
      </c>
      <c r="B1141" t="inlineStr">
        <is>
          <t>BRB</t>
        </is>
      </c>
      <c r="C1141" t="n">
        <v>1989</v>
      </c>
      <c r="D1141" t="n">
        <v>6.19011406844121</v>
      </c>
    </row>
    <row r="1142">
      <c r="A1142" t="inlineStr">
        <is>
          <t>Barbados</t>
        </is>
      </c>
      <c r="B1142" t="inlineStr">
        <is>
          <t>BRB</t>
        </is>
      </c>
      <c r="C1142" t="n">
        <v>1990</v>
      </c>
      <c r="D1142" t="n">
        <v>3.07457271078017</v>
      </c>
    </row>
    <row r="1143">
      <c r="A1143" t="inlineStr">
        <is>
          <t>Barbados</t>
        </is>
      </c>
      <c r="B1143" t="inlineStr">
        <is>
          <t>BRB</t>
        </is>
      </c>
      <c r="C1143" t="n">
        <v>1991</v>
      </c>
      <c r="D1143" t="n">
        <v>6.25752663270021</v>
      </c>
    </row>
    <row r="1144">
      <c r="A1144" t="inlineStr">
        <is>
          <t>Barbados</t>
        </is>
      </c>
      <c r="B1144" t="inlineStr">
        <is>
          <t>BRB</t>
        </is>
      </c>
      <c r="C1144" t="n">
        <v>1992</v>
      </c>
      <c r="D1144" t="n">
        <v>6.09389302994638</v>
      </c>
    </row>
    <row r="1145">
      <c r="A1145" t="inlineStr">
        <is>
          <t>Barbados</t>
        </is>
      </c>
      <c r="B1145" t="inlineStr">
        <is>
          <t>BRB</t>
        </is>
      </c>
      <c r="C1145" t="n">
        <v>1993</v>
      </c>
      <c r="D1145" t="n">
        <v>1.11343933604485</v>
      </c>
    </row>
    <row r="1146">
      <c r="A1146" t="inlineStr">
        <is>
          <t>Barbados</t>
        </is>
      </c>
      <c r="B1146" t="inlineStr">
        <is>
          <t>BRB</t>
        </is>
      </c>
      <c r="C1146" t="n">
        <v>1994</v>
      </c>
      <c r="D1146" t="n">
        <v>0.07720438846024941</v>
      </c>
    </row>
    <row r="1147">
      <c r="A1147" t="inlineStr">
        <is>
          <t>Barbados</t>
        </is>
      </c>
      <c r="B1147" t="inlineStr">
        <is>
          <t>BRB</t>
        </is>
      </c>
      <c r="C1147" t="n">
        <v>1995</v>
      </c>
      <c r="D1147" t="n">
        <v>1.87886279357229</v>
      </c>
    </row>
    <row r="1148">
      <c r="A1148" t="inlineStr">
        <is>
          <t>Barbados</t>
        </is>
      </c>
      <c r="B1148" t="inlineStr">
        <is>
          <t>BRB</t>
        </is>
      </c>
      <c r="C1148" t="n">
        <v>1996</v>
      </c>
      <c r="D1148" t="n">
        <v>2.38615222842325</v>
      </c>
    </row>
    <row r="1149">
      <c r="A1149" t="inlineStr">
        <is>
          <t>Barbados</t>
        </is>
      </c>
      <c r="B1149" t="inlineStr">
        <is>
          <t>BRB</t>
        </is>
      </c>
      <c r="C1149" t="n">
        <v>1997</v>
      </c>
      <c r="D1149" t="n">
        <v>7.71053878969885</v>
      </c>
    </row>
    <row r="1150">
      <c r="A1150" t="inlineStr">
        <is>
          <t>Barbados</t>
        </is>
      </c>
      <c r="B1150" t="inlineStr">
        <is>
          <t>BRB</t>
        </is>
      </c>
      <c r="C1150" t="n">
        <v>1998</v>
      </c>
      <c r="D1150" t="n">
        <v>-1.26888660701212</v>
      </c>
    </row>
    <row r="1151">
      <c r="A1151" t="inlineStr">
        <is>
          <t>Barbados</t>
        </is>
      </c>
      <c r="B1151" t="inlineStr">
        <is>
          <t>BRB</t>
        </is>
      </c>
      <c r="C1151" t="n">
        <v>1999</v>
      </c>
      <c r="D1151" t="n">
        <v>1.56006240249605</v>
      </c>
    </row>
    <row r="1152">
      <c r="A1152" t="inlineStr">
        <is>
          <t>Barbados</t>
        </is>
      </c>
      <c r="B1152" t="inlineStr">
        <is>
          <t>BRB</t>
        </is>
      </c>
      <c r="C1152" t="n">
        <v>2000</v>
      </c>
      <c r="D1152" t="n">
        <v>2.43581303489137</v>
      </c>
    </row>
    <row r="1153">
      <c r="A1153" t="inlineStr">
        <is>
          <t>Barbados</t>
        </is>
      </c>
      <c r="B1153" t="inlineStr">
        <is>
          <t>BRB</t>
        </is>
      </c>
      <c r="C1153" t="n">
        <v>2001</v>
      </c>
      <c r="D1153" t="n">
        <v>2.57783490431289</v>
      </c>
    </row>
    <row r="1154">
      <c r="A1154" t="inlineStr">
        <is>
          <t>Barbados</t>
        </is>
      </c>
      <c r="B1154" t="inlineStr">
        <is>
          <t>BRB</t>
        </is>
      </c>
      <c r="C1154" t="n">
        <v>2002</v>
      </c>
      <c r="D1154" t="n">
        <v>0.12524945805599</v>
      </c>
    </row>
    <row r="1155">
      <c r="A1155" t="inlineStr">
        <is>
          <t>Barbados</t>
        </is>
      </c>
      <c r="B1155" t="inlineStr">
        <is>
          <t>BRB</t>
        </is>
      </c>
      <c r="C1155" t="n">
        <v>2003</v>
      </c>
      <c r="D1155" t="n">
        <v>1.61943319838055</v>
      </c>
    </row>
    <row r="1156">
      <c r="A1156" t="inlineStr">
        <is>
          <t>Barbados</t>
        </is>
      </c>
      <c r="B1156" t="inlineStr">
        <is>
          <t>BRB</t>
        </is>
      </c>
      <c r="C1156" t="n">
        <v>2004</v>
      </c>
      <c r="D1156" t="n">
        <v>1.39442231075691</v>
      </c>
    </row>
    <row r="1157">
      <c r="A1157" t="inlineStr">
        <is>
          <t>Barbados</t>
        </is>
      </c>
      <c r="B1157" t="inlineStr">
        <is>
          <t>BRB</t>
        </is>
      </c>
      <c r="C1157" t="n">
        <v>2005</v>
      </c>
      <c r="D1157" t="n">
        <v>6.08218729535043</v>
      </c>
    </row>
    <row r="1158">
      <c r="A1158" t="inlineStr">
        <is>
          <t>Barbados</t>
        </is>
      </c>
      <c r="B1158" t="inlineStr">
        <is>
          <t>BRB</t>
        </is>
      </c>
      <c r="C1158" t="n">
        <v>2006</v>
      </c>
      <c r="D1158" t="n">
        <v>7.30766262828939</v>
      </c>
    </row>
    <row r="1159">
      <c r="A1159" t="inlineStr">
        <is>
          <t>Barbados</t>
        </is>
      </c>
      <c r="B1159" t="inlineStr">
        <is>
          <t>BRB</t>
        </is>
      </c>
      <c r="C1159" t="n">
        <v>2007</v>
      </c>
      <c r="D1159" t="n">
        <v>4.03422982885071</v>
      </c>
    </row>
    <row r="1160">
      <c r="A1160" t="inlineStr">
        <is>
          <t>Barbados</t>
        </is>
      </c>
      <c r="B1160" t="inlineStr">
        <is>
          <t>BRB</t>
        </is>
      </c>
      <c r="C1160" t="n">
        <v>2008</v>
      </c>
      <c r="D1160" t="n">
        <v>8.108108108107819</v>
      </c>
    </row>
    <row r="1161">
      <c r="A1161" t="inlineStr">
        <is>
          <t>Barbados</t>
        </is>
      </c>
      <c r="B1161" t="inlineStr">
        <is>
          <t>BRB</t>
        </is>
      </c>
      <c r="C1161" t="n">
        <v>2009</v>
      </c>
      <c r="D1161" t="n">
        <v>3.64386189258334</v>
      </c>
    </row>
    <row r="1162">
      <c r="A1162" t="inlineStr">
        <is>
          <t>Barbados</t>
        </is>
      </c>
      <c r="B1162" t="inlineStr">
        <is>
          <t>BRB</t>
        </is>
      </c>
      <c r="C1162" t="n">
        <v>2010</v>
      </c>
      <c r="D1162" t="n">
        <v>5.82421853311866</v>
      </c>
    </row>
    <row r="1163">
      <c r="A1163" t="inlineStr">
        <is>
          <t>Barbados</t>
        </is>
      </c>
      <c r="B1163" t="inlineStr">
        <is>
          <t>BRB</t>
        </is>
      </c>
      <c r="C1163" t="n">
        <v>2011</v>
      </c>
      <c r="D1163" t="n">
        <v>9.43220240177221</v>
      </c>
    </row>
    <row r="1164">
      <c r="A1164" t="inlineStr">
        <is>
          <t>Barbados</t>
        </is>
      </c>
      <c r="B1164" t="inlineStr">
        <is>
          <t>BRB</t>
        </is>
      </c>
      <c r="C1164" t="n">
        <v>2012</v>
      </c>
      <c r="D1164" t="n">
        <v>4.53334753888766</v>
      </c>
    </row>
    <row r="1165">
      <c r="A1165" t="inlineStr">
        <is>
          <t>Barbados</t>
        </is>
      </c>
      <c r="B1165" t="inlineStr">
        <is>
          <t>BRB</t>
        </is>
      </c>
      <c r="C1165" t="n">
        <v>2013</v>
      </c>
      <c r="D1165" t="n">
        <v>1.81410436049105</v>
      </c>
    </row>
    <row r="1166">
      <c r="A1166" t="inlineStr">
        <is>
          <t>Barbados</t>
        </is>
      </c>
      <c r="B1166" t="inlineStr">
        <is>
          <t>BRB</t>
        </is>
      </c>
      <c r="C1166" t="n">
        <v>2014</v>
      </c>
      <c r="D1166" t="n">
        <v>1.76950322089729</v>
      </c>
    </row>
    <row r="1167">
      <c r="A1167" t="inlineStr">
        <is>
          <t>Barbados</t>
        </is>
      </c>
      <c r="B1167" t="inlineStr">
        <is>
          <t>BRB</t>
        </is>
      </c>
      <c r="C1167" t="n">
        <v>2015</v>
      </c>
      <c r="D1167" t="n">
        <v>-1.11278992510967</v>
      </c>
    </row>
    <row r="1168">
      <c r="A1168" t="inlineStr">
        <is>
          <t>Barbados</t>
        </is>
      </c>
      <c r="B1168" t="inlineStr">
        <is>
          <t>BRB</t>
        </is>
      </c>
      <c r="C1168" t="n">
        <v>2016</v>
      </c>
      <c r="D1168" t="n">
        <v>1.28192813061895</v>
      </c>
    </row>
    <row r="1169">
      <c r="A1169" t="inlineStr">
        <is>
          <t>Barbados</t>
        </is>
      </c>
      <c r="B1169" t="inlineStr">
        <is>
          <t>BRB</t>
        </is>
      </c>
      <c r="C1169" t="n">
        <v>2017</v>
      </c>
      <c r="D1169" t="n">
        <v>4.66018463955996</v>
      </c>
    </row>
    <row r="1170">
      <c r="A1170" t="inlineStr">
        <is>
          <t>Barbados</t>
        </is>
      </c>
      <c r="B1170" t="inlineStr">
        <is>
          <t>BRB</t>
        </is>
      </c>
      <c r="C1170" t="n">
        <v>2018</v>
      </c>
      <c r="D1170" t="n">
        <v>3.67381410406801</v>
      </c>
    </row>
    <row r="1171">
      <c r="A1171" t="inlineStr">
        <is>
          <t>Barbados</t>
        </is>
      </c>
      <c r="B1171" t="inlineStr">
        <is>
          <t>BRB</t>
        </is>
      </c>
      <c r="C1171" t="n">
        <v>2019</v>
      </c>
      <c r="D1171" t="n">
        <v>4.10028964518461</v>
      </c>
    </row>
    <row r="1172">
      <c r="A1172" t="inlineStr">
        <is>
          <t>Barbados</t>
        </is>
      </c>
      <c r="B1172" t="inlineStr">
        <is>
          <t>BRB</t>
        </is>
      </c>
      <c r="C1172" t="n">
        <v>2023</v>
      </c>
      <c r="D1172" t="n">
        <v>9.79207077126447</v>
      </c>
    </row>
    <row r="1173">
      <c r="A1173" t="inlineStr">
        <is>
          <t>Brunei Darussalam</t>
        </is>
      </c>
      <c r="B1173" t="inlineStr">
        <is>
          <t>BRN</t>
        </is>
      </c>
      <c r="C1173" t="n">
        <v>1981</v>
      </c>
      <c r="D1173" t="n">
        <v>9.137055837563389</v>
      </c>
    </row>
    <row r="1174">
      <c r="A1174" t="inlineStr">
        <is>
          <t>Brunei Darussalam</t>
        </is>
      </c>
      <c r="B1174" t="inlineStr">
        <is>
          <t>BRN</t>
        </is>
      </c>
      <c r="C1174" t="n">
        <v>1982</v>
      </c>
      <c r="D1174" t="n">
        <v>6.35658914728688</v>
      </c>
    </row>
    <row r="1175">
      <c r="A1175" t="inlineStr">
        <is>
          <t>Brunei Darussalam</t>
        </is>
      </c>
      <c r="B1175" t="inlineStr">
        <is>
          <t>BRN</t>
        </is>
      </c>
      <c r="C1175" t="n">
        <v>1983</v>
      </c>
      <c r="D1175" t="n">
        <v>1.16618075801749</v>
      </c>
    </row>
    <row r="1176">
      <c r="A1176" t="inlineStr">
        <is>
          <t>Brunei Darussalam</t>
        </is>
      </c>
      <c r="B1176" t="inlineStr">
        <is>
          <t>BRN</t>
        </is>
      </c>
      <c r="C1176" t="n">
        <v>1984</v>
      </c>
      <c r="D1176" t="n">
        <v>3.07396733909727</v>
      </c>
    </row>
    <row r="1177">
      <c r="A1177" t="inlineStr">
        <is>
          <t>Brunei Darussalam</t>
        </is>
      </c>
      <c r="B1177" t="inlineStr">
        <is>
          <t>BRN</t>
        </is>
      </c>
      <c r="C1177" t="n">
        <v>1985</v>
      </c>
      <c r="D1177" t="n">
        <v>2.35321528424928</v>
      </c>
    </row>
    <row r="1178">
      <c r="A1178" t="inlineStr">
        <is>
          <t>Brunei Darussalam</t>
        </is>
      </c>
      <c r="B1178" t="inlineStr">
        <is>
          <t>BRN</t>
        </is>
      </c>
      <c r="C1178" t="n">
        <v>1986</v>
      </c>
      <c r="D1178" t="n">
        <v>1.78124288641065</v>
      </c>
    </row>
    <row r="1179">
      <c r="A1179" t="inlineStr">
        <is>
          <t>Brunei Darussalam</t>
        </is>
      </c>
      <c r="B1179" t="inlineStr">
        <is>
          <t>BRN</t>
        </is>
      </c>
      <c r="C1179" t="n">
        <v>1987</v>
      </c>
      <c r="D1179" t="n">
        <v>1.24685490634579</v>
      </c>
    </row>
    <row r="1180">
      <c r="A1180" t="inlineStr">
        <is>
          <t>Brunei Darussalam</t>
        </is>
      </c>
      <c r="B1180" t="inlineStr">
        <is>
          <t>BRN</t>
        </is>
      </c>
      <c r="C1180" t="n">
        <v>1988</v>
      </c>
      <c r="D1180" t="n">
        <v>1.19284294234596</v>
      </c>
    </row>
    <row r="1181">
      <c r="A1181" t="inlineStr">
        <is>
          <t>Brunei Darussalam</t>
        </is>
      </c>
      <c r="B1181" t="inlineStr">
        <is>
          <t>BRN</t>
        </is>
      </c>
      <c r="C1181" t="n">
        <v>1989</v>
      </c>
      <c r="D1181" t="n">
        <v>1.30430037109823</v>
      </c>
    </row>
    <row r="1182">
      <c r="A1182" t="inlineStr">
        <is>
          <t>Brunei Darussalam</t>
        </is>
      </c>
      <c r="B1182" t="inlineStr">
        <is>
          <t>BRN</t>
        </is>
      </c>
      <c r="C1182" t="n">
        <v>1990</v>
      </c>
      <c r="D1182" t="n">
        <v>2.13866293163795</v>
      </c>
    </row>
    <row r="1183">
      <c r="A1183" t="inlineStr">
        <is>
          <t>Brunei Darussalam</t>
        </is>
      </c>
      <c r="B1183" t="inlineStr">
        <is>
          <t>BRN</t>
        </is>
      </c>
      <c r="C1183" t="n">
        <v>1991</v>
      </c>
      <c r="D1183" t="n">
        <v>1.6</v>
      </c>
    </row>
    <row r="1184">
      <c r="A1184" t="inlineStr">
        <is>
          <t>Brunei Darussalam</t>
        </is>
      </c>
      <c r="B1184" t="inlineStr">
        <is>
          <t>BRN</t>
        </is>
      </c>
      <c r="C1184" t="n">
        <v>1992</v>
      </c>
      <c r="D1184" t="n">
        <v>1.27952755905515</v>
      </c>
    </row>
    <row r="1185">
      <c r="A1185" t="inlineStr">
        <is>
          <t>Brunei Darussalam</t>
        </is>
      </c>
      <c r="B1185" t="inlineStr">
        <is>
          <t>BRN</t>
        </is>
      </c>
      <c r="C1185" t="n">
        <v>1993</v>
      </c>
      <c r="D1185" t="n">
        <v>4.25170068027212</v>
      </c>
    </row>
    <row r="1186">
      <c r="A1186" t="inlineStr">
        <is>
          <t>Brunei Darussalam</t>
        </is>
      </c>
      <c r="B1186" t="inlineStr">
        <is>
          <t>BRN</t>
        </is>
      </c>
      <c r="C1186" t="n">
        <v>1994</v>
      </c>
      <c r="D1186" t="n">
        <v>2.4625184494679</v>
      </c>
    </row>
    <row r="1187">
      <c r="A1187" t="inlineStr">
        <is>
          <t>Brunei Darussalam</t>
        </is>
      </c>
      <c r="B1187" t="inlineStr">
        <is>
          <t>BRN</t>
        </is>
      </c>
      <c r="C1187" t="n">
        <v>1995</v>
      </c>
      <c r="D1187" t="n">
        <v>5.96664139499613</v>
      </c>
    </row>
    <row r="1188">
      <c r="A1188" t="inlineStr">
        <is>
          <t>Brunei Darussalam</t>
        </is>
      </c>
      <c r="B1188" t="inlineStr">
        <is>
          <t>BRN</t>
        </is>
      </c>
      <c r="C1188" t="n">
        <v>1996</v>
      </c>
      <c r="D1188" t="n">
        <v>1.99613650998078</v>
      </c>
    </row>
    <row r="1189">
      <c r="A1189" t="inlineStr">
        <is>
          <t>Brunei Darussalam</t>
        </is>
      </c>
      <c r="B1189" t="inlineStr">
        <is>
          <t>BRN</t>
        </is>
      </c>
      <c r="C1189" t="n">
        <v>1997</v>
      </c>
      <c r="D1189" t="n">
        <v>1.71156004489335</v>
      </c>
    </row>
    <row r="1190">
      <c r="A1190" t="inlineStr">
        <is>
          <t>Brunei Darussalam</t>
        </is>
      </c>
      <c r="B1190" t="inlineStr">
        <is>
          <t>BRN</t>
        </is>
      </c>
      <c r="C1190" t="n">
        <v>1998</v>
      </c>
      <c r="D1190" t="n">
        <v>-0.4413793103449</v>
      </c>
    </row>
    <row r="1191">
      <c r="A1191" t="inlineStr">
        <is>
          <t>Brunei Darussalam</t>
        </is>
      </c>
      <c r="B1191" t="inlineStr">
        <is>
          <t>BRN</t>
        </is>
      </c>
      <c r="C1191" t="n">
        <v>1999</v>
      </c>
      <c r="D1191" t="n">
        <v>-0.415627597672454</v>
      </c>
    </row>
    <row r="1192">
      <c r="A1192" t="inlineStr">
        <is>
          <t>Brunei Darussalam</t>
        </is>
      </c>
      <c r="B1192" t="inlineStr">
        <is>
          <t>BRN</t>
        </is>
      </c>
      <c r="C1192" t="n">
        <v>2000</v>
      </c>
      <c r="D1192" t="n">
        <v>1.55815247634946</v>
      </c>
    </row>
    <row r="1193">
      <c r="A1193" t="inlineStr">
        <is>
          <t>Brunei Darussalam</t>
        </is>
      </c>
      <c r="B1193" t="inlineStr">
        <is>
          <t>BRN</t>
        </is>
      </c>
      <c r="C1193" t="n">
        <v>2001</v>
      </c>
      <c r="D1193" t="n">
        <v>0.59589041095899</v>
      </c>
    </row>
    <row r="1194">
      <c r="A1194" t="inlineStr">
        <is>
          <t>Brunei Darussalam</t>
        </is>
      </c>
      <c r="B1194" t="inlineStr">
        <is>
          <t>BRN</t>
        </is>
      </c>
      <c r="C1194" t="n">
        <v>2002</v>
      </c>
      <c r="D1194" t="n">
        <v>-2.31497242459321</v>
      </c>
    </row>
    <row r="1195">
      <c r="A1195" t="inlineStr">
        <is>
          <t>Brunei Darussalam</t>
        </is>
      </c>
      <c r="B1195" t="inlineStr">
        <is>
          <t>BRN</t>
        </is>
      </c>
      <c r="C1195" t="n">
        <v>2003</v>
      </c>
      <c r="D1195" t="n">
        <v>0.299999999999967</v>
      </c>
    </row>
    <row r="1196">
      <c r="A1196" t="inlineStr">
        <is>
          <t>Brunei Darussalam</t>
        </is>
      </c>
      <c r="B1196" t="inlineStr">
        <is>
          <t>BRN</t>
        </is>
      </c>
      <c r="C1196" t="n">
        <v>2004</v>
      </c>
      <c r="D1196" t="n">
        <v>0.814223994682613</v>
      </c>
    </row>
    <row r="1197">
      <c r="A1197" t="inlineStr">
        <is>
          <t>Brunei Darussalam</t>
        </is>
      </c>
      <c r="B1197" t="inlineStr">
        <is>
          <t>BRN</t>
        </is>
      </c>
      <c r="C1197" t="n">
        <v>2005</v>
      </c>
      <c r="D1197" t="n">
        <v>1.24443711883965</v>
      </c>
    </row>
    <row r="1198">
      <c r="A1198" t="inlineStr">
        <is>
          <t>Brunei Darussalam</t>
        </is>
      </c>
      <c r="B1198" t="inlineStr">
        <is>
          <t>BRN</t>
        </is>
      </c>
      <c r="C1198" t="n">
        <v>2006</v>
      </c>
      <c r="D1198" t="n">
        <v>0.159888078345121</v>
      </c>
    </row>
    <row r="1199">
      <c r="A1199" t="inlineStr">
        <is>
          <t>Brunei Darussalam</t>
        </is>
      </c>
      <c r="B1199" t="inlineStr">
        <is>
          <t>BRN</t>
        </is>
      </c>
      <c r="C1199" t="n">
        <v>2007</v>
      </c>
      <c r="D1199" t="n">
        <v>0.967774119525101</v>
      </c>
    </row>
    <row r="1200">
      <c r="A1200" t="inlineStr">
        <is>
          <t>Brunei Darussalam</t>
        </is>
      </c>
      <c r="B1200" t="inlineStr">
        <is>
          <t>BRN</t>
        </is>
      </c>
      <c r="C1200" t="n">
        <v>2008</v>
      </c>
      <c r="D1200" t="n">
        <v>2.08498023715415</v>
      </c>
    </row>
    <row r="1201">
      <c r="A1201" t="inlineStr">
        <is>
          <t>Brunei Darussalam</t>
        </is>
      </c>
      <c r="B1201" t="inlineStr">
        <is>
          <t>BRN</t>
        </is>
      </c>
      <c r="C1201" t="n">
        <v>2009</v>
      </c>
      <c r="D1201" t="n">
        <v>1.03571774271613</v>
      </c>
    </row>
    <row r="1202">
      <c r="A1202" t="inlineStr">
        <is>
          <t>Brunei Darussalam</t>
        </is>
      </c>
      <c r="B1202" t="inlineStr">
        <is>
          <t>BRN</t>
        </is>
      </c>
      <c r="C1202" t="n">
        <v>2010</v>
      </c>
      <c r="D1202" t="n">
        <v>0.356869132017561</v>
      </c>
    </row>
    <row r="1203">
      <c r="A1203" t="inlineStr">
        <is>
          <t>Brunei Darussalam</t>
        </is>
      </c>
      <c r="B1203" t="inlineStr">
        <is>
          <t>BRN</t>
        </is>
      </c>
      <c r="C1203" t="n">
        <v>2011</v>
      </c>
      <c r="D1203" t="n">
        <v>0.13791156316954</v>
      </c>
    </row>
    <row r="1204">
      <c r="A1204" t="inlineStr">
        <is>
          <t>Brunei Darussalam</t>
        </is>
      </c>
      <c r="B1204" t="inlineStr">
        <is>
          <t>BRN</t>
        </is>
      </c>
      <c r="C1204" t="n">
        <v>2012</v>
      </c>
      <c r="D1204" t="n">
        <v>0.111766261400307</v>
      </c>
    </row>
    <row r="1205">
      <c r="A1205" t="inlineStr">
        <is>
          <t>Brunei Darussalam</t>
        </is>
      </c>
      <c r="B1205" t="inlineStr">
        <is>
          <t>BRN</t>
        </is>
      </c>
      <c r="C1205" t="n">
        <v>2013</v>
      </c>
      <c r="D1205" t="n">
        <v>0.389205053123632</v>
      </c>
    </row>
    <row r="1206">
      <c r="A1206" t="inlineStr">
        <is>
          <t>Brunei Darussalam</t>
        </is>
      </c>
      <c r="B1206" t="inlineStr">
        <is>
          <t>BRN</t>
        </is>
      </c>
      <c r="C1206" t="n">
        <v>2014</v>
      </c>
      <c r="D1206" t="n">
        <v>-0.207108731719822</v>
      </c>
    </row>
    <row r="1207">
      <c r="A1207" t="inlineStr">
        <is>
          <t>Brunei Darussalam</t>
        </is>
      </c>
      <c r="B1207" t="inlineStr">
        <is>
          <t>BRN</t>
        </is>
      </c>
      <c r="C1207" t="n">
        <v>2015</v>
      </c>
      <c r="D1207" t="n">
        <v>-0.488347420743522</v>
      </c>
    </row>
    <row r="1208">
      <c r="A1208" t="inlineStr">
        <is>
          <t>Brunei Darussalam</t>
        </is>
      </c>
      <c r="B1208" t="inlineStr">
        <is>
          <t>BRN</t>
        </is>
      </c>
      <c r="C1208" t="n">
        <v>2016</v>
      </c>
      <c r="D1208" t="n">
        <v>-0.278693265753083</v>
      </c>
    </row>
    <row r="1209">
      <c r="A1209" t="inlineStr">
        <is>
          <t>Brunei Darussalam</t>
        </is>
      </c>
      <c r="B1209" t="inlineStr">
        <is>
          <t>BRN</t>
        </is>
      </c>
      <c r="C1209" t="n">
        <v>2017</v>
      </c>
      <c r="D1209" t="n">
        <v>-1.2605056462896</v>
      </c>
    </row>
    <row r="1210">
      <c r="A1210" t="inlineStr">
        <is>
          <t>Brunei Darussalam</t>
        </is>
      </c>
      <c r="B1210" t="inlineStr">
        <is>
          <t>BRN</t>
        </is>
      </c>
      <c r="C1210" t="n">
        <v>2018</v>
      </c>
      <c r="D1210" t="n">
        <v>1.02505179290212</v>
      </c>
    </row>
    <row r="1211">
      <c r="A1211" t="inlineStr">
        <is>
          <t>Brunei Darussalam</t>
        </is>
      </c>
      <c r="B1211" t="inlineStr">
        <is>
          <t>BRN</t>
        </is>
      </c>
      <c r="C1211" t="n">
        <v>2019</v>
      </c>
      <c r="D1211" t="n">
        <v>-0.390522069165529</v>
      </c>
    </row>
    <row r="1212">
      <c r="A1212" t="inlineStr">
        <is>
          <t>Brunei Darussalam</t>
        </is>
      </c>
      <c r="B1212" t="inlineStr">
        <is>
          <t>BRN</t>
        </is>
      </c>
      <c r="C1212" t="n">
        <v>2020</v>
      </c>
      <c r="D1212" t="n">
        <v>1.94031996607184</v>
      </c>
    </row>
    <row r="1213">
      <c r="A1213" t="inlineStr">
        <is>
          <t>Brunei Darussalam</t>
        </is>
      </c>
      <c r="B1213" t="inlineStr">
        <is>
          <t>BRN</t>
        </is>
      </c>
      <c r="C1213" t="n">
        <v>2021</v>
      </c>
      <c r="D1213" t="n">
        <v>1.73341388450593</v>
      </c>
    </row>
    <row r="1214">
      <c r="A1214" t="inlineStr">
        <is>
          <t>Brunei Darussalam</t>
        </is>
      </c>
      <c r="B1214" t="inlineStr">
        <is>
          <t>BRN</t>
        </is>
      </c>
      <c r="C1214" t="n">
        <v>2022</v>
      </c>
      <c r="D1214" t="n">
        <v>3.68225030604216</v>
      </c>
    </row>
    <row r="1215">
      <c r="A1215" t="inlineStr">
        <is>
          <t>Brunei Darussalam</t>
        </is>
      </c>
      <c r="B1215" t="inlineStr">
        <is>
          <t>BRN</t>
        </is>
      </c>
      <c r="C1215" t="n">
        <v>2023</v>
      </c>
      <c r="D1215" t="n">
        <v>0.35706431153689</v>
      </c>
    </row>
    <row r="1216">
      <c r="A1216" t="inlineStr">
        <is>
          <t>Brunei Darussalam</t>
        </is>
      </c>
      <c r="B1216" t="inlineStr">
        <is>
          <t>BRN</t>
        </is>
      </c>
      <c r="C1216" t="n">
        <v>2024</v>
      </c>
      <c r="D1216" t="n">
        <v>-0.388674165036461</v>
      </c>
    </row>
    <row r="1217">
      <c r="A1217" t="inlineStr">
        <is>
          <t>Bhutan</t>
        </is>
      </c>
      <c r="B1217" t="inlineStr">
        <is>
          <t>BTN</t>
        </is>
      </c>
      <c r="C1217" t="n">
        <v>1981</v>
      </c>
      <c r="D1217" t="n">
        <v>9.972375690607739</v>
      </c>
    </row>
    <row r="1218">
      <c r="A1218" t="inlineStr">
        <is>
          <t>Bhutan</t>
        </is>
      </c>
      <c r="B1218" t="inlineStr">
        <is>
          <t>BTN</t>
        </is>
      </c>
      <c r="C1218" t="n">
        <v>1982</v>
      </c>
      <c r="D1218" t="n">
        <v>9.84677216779704</v>
      </c>
    </row>
    <row r="1219">
      <c r="A1219" t="inlineStr">
        <is>
          <t>Bhutan</t>
        </is>
      </c>
      <c r="B1219" t="inlineStr">
        <is>
          <t>BTN</t>
        </is>
      </c>
      <c r="C1219" t="n">
        <v>1983</v>
      </c>
      <c r="D1219" t="n">
        <v>18.0577787941154</v>
      </c>
    </row>
    <row r="1220">
      <c r="A1220" t="inlineStr">
        <is>
          <t>Bhutan</t>
        </is>
      </c>
      <c r="B1220" t="inlineStr">
        <is>
          <t>BTN</t>
        </is>
      </c>
      <c r="C1220" t="n">
        <v>1984</v>
      </c>
      <c r="D1220" t="n">
        <v>7.03770661157025</v>
      </c>
    </row>
    <row r="1221">
      <c r="A1221" t="inlineStr">
        <is>
          <t>Bhutan</t>
        </is>
      </c>
      <c r="B1221" t="inlineStr">
        <is>
          <t>BTN</t>
        </is>
      </c>
      <c r="C1221" t="n">
        <v>1985</v>
      </c>
      <c r="D1221" t="n">
        <v>1.88201230546507</v>
      </c>
    </row>
    <row r="1222">
      <c r="A1222" t="inlineStr">
        <is>
          <t>Bhutan</t>
        </is>
      </c>
      <c r="B1222" t="inlineStr">
        <is>
          <t>BTN</t>
        </is>
      </c>
      <c r="C1222" t="n">
        <v>1986</v>
      </c>
      <c r="D1222" t="n">
        <v>9.96447602131439</v>
      </c>
    </row>
    <row r="1223">
      <c r="A1223" t="inlineStr">
        <is>
          <t>Bhutan</t>
        </is>
      </c>
      <c r="B1223" t="inlineStr">
        <is>
          <t>BTN</t>
        </is>
      </c>
      <c r="C1223" t="n">
        <v>1987</v>
      </c>
      <c r="D1223" t="n">
        <v>6.33177192699079</v>
      </c>
    </row>
    <row r="1224">
      <c r="A1224" t="inlineStr">
        <is>
          <t>Bhutan</t>
        </is>
      </c>
      <c r="B1224" t="inlineStr">
        <is>
          <t>BTN</t>
        </is>
      </c>
      <c r="C1224" t="n">
        <v>1988</v>
      </c>
      <c r="D1224" t="n">
        <v>10.0967137576586</v>
      </c>
    </row>
    <row r="1225">
      <c r="A1225" t="inlineStr">
        <is>
          <t>Bhutan</t>
        </is>
      </c>
      <c r="B1225" t="inlineStr">
        <is>
          <t>BTN</t>
        </is>
      </c>
      <c r="C1225" t="n">
        <v>1989</v>
      </c>
      <c r="D1225" t="n">
        <v>8.779837188980411</v>
      </c>
    </row>
    <row r="1226">
      <c r="A1226" t="inlineStr">
        <is>
          <t>Bhutan</t>
        </is>
      </c>
      <c r="B1226" t="inlineStr">
        <is>
          <t>BTN</t>
        </is>
      </c>
      <c r="C1226" t="n">
        <v>1990</v>
      </c>
      <c r="D1226" t="n">
        <v>10.0118383223406</v>
      </c>
    </row>
    <row r="1227">
      <c r="A1227" t="inlineStr">
        <is>
          <t>Bhutan</t>
        </is>
      </c>
      <c r="B1227" t="inlineStr">
        <is>
          <t>BTN</t>
        </is>
      </c>
      <c r="C1227" t="n">
        <v>1991</v>
      </c>
      <c r="D1227" t="n">
        <v>12.2751729438893</v>
      </c>
    </row>
    <row r="1228">
      <c r="A1228" t="inlineStr">
        <is>
          <t>Bhutan</t>
        </is>
      </c>
      <c r="B1228" t="inlineStr">
        <is>
          <t>BTN</t>
        </is>
      </c>
      <c r="C1228" t="n">
        <v>1992</v>
      </c>
      <c r="D1228" t="n">
        <v>15.975217361539</v>
      </c>
    </row>
    <row r="1229">
      <c r="A1229" t="inlineStr">
        <is>
          <t>Bhutan</t>
        </is>
      </c>
      <c r="B1229" t="inlineStr">
        <is>
          <t>BTN</t>
        </is>
      </c>
      <c r="C1229" t="n">
        <v>1993</v>
      </c>
      <c r="D1229" t="n">
        <v>11.1980165874679</v>
      </c>
    </row>
    <row r="1230">
      <c r="A1230" t="inlineStr">
        <is>
          <t>Bhutan</t>
        </is>
      </c>
      <c r="B1230" t="inlineStr">
        <is>
          <t>BTN</t>
        </is>
      </c>
      <c r="C1230" t="n">
        <v>1994</v>
      </c>
      <c r="D1230" t="n">
        <v>7.00995355009951</v>
      </c>
    </row>
    <row r="1231">
      <c r="A1231" t="inlineStr">
        <is>
          <t>Bhutan</t>
        </is>
      </c>
      <c r="B1231" t="inlineStr">
        <is>
          <t>BTN</t>
        </is>
      </c>
      <c r="C1231" t="n">
        <v>1995</v>
      </c>
      <c r="D1231" t="n">
        <v>9.487548367893689</v>
      </c>
    </row>
    <row r="1232">
      <c r="A1232" t="inlineStr">
        <is>
          <t>Bhutan</t>
        </is>
      </c>
      <c r="B1232" t="inlineStr">
        <is>
          <t>BTN</t>
        </is>
      </c>
      <c r="C1232" t="n">
        <v>1996</v>
      </c>
      <c r="D1232" t="n">
        <v>8.79001381935162</v>
      </c>
    </row>
    <row r="1233">
      <c r="A1233" t="inlineStr">
        <is>
          <t>Bhutan</t>
        </is>
      </c>
      <c r="B1233" t="inlineStr">
        <is>
          <t>BTN</t>
        </is>
      </c>
      <c r="C1233" t="n">
        <v>1997</v>
      </c>
      <c r="D1233" t="n">
        <v>6.50548718269086</v>
      </c>
    </row>
    <row r="1234">
      <c r="A1234" t="inlineStr">
        <is>
          <t>Bhutan</t>
        </is>
      </c>
      <c r="B1234" t="inlineStr">
        <is>
          <t>BTN</t>
        </is>
      </c>
      <c r="C1234" t="n">
        <v>1998</v>
      </c>
      <c r="D1234" t="n">
        <v>10.5855899892463</v>
      </c>
    </row>
    <row r="1235">
      <c r="A1235" t="inlineStr">
        <is>
          <t>Bhutan</t>
        </is>
      </c>
      <c r="B1235" t="inlineStr">
        <is>
          <t>BTN</t>
        </is>
      </c>
      <c r="C1235" t="n">
        <v>1999</v>
      </c>
      <c r="D1235" t="n">
        <v>6.77699393553632</v>
      </c>
    </row>
    <row r="1236">
      <c r="A1236" t="inlineStr">
        <is>
          <t>Bhutan</t>
        </is>
      </c>
      <c r="B1236" t="inlineStr">
        <is>
          <t>BTN</t>
        </is>
      </c>
      <c r="C1236" t="n">
        <v>2000</v>
      </c>
      <c r="D1236" t="n">
        <v>4.01212081070342</v>
      </c>
    </row>
    <row r="1237">
      <c r="A1237" t="inlineStr">
        <is>
          <t>Bhutan</t>
        </is>
      </c>
      <c r="B1237" t="inlineStr">
        <is>
          <t>BTN</t>
        </is>
      </c>
      <c r="C1237" t="n">
        <v>2001</v>
      </c>
      <c r="D1237" t="n">
        <v>3.41478946111594</v>
      </c>
    </row>
    <row r="1238">
      <c r="A1238" t="inlineStr">
        <is>
          <t>Bhutan</t>
        </is>
      </c>
      <c r="B1238" t="inlineStr">
        <is>
          <t>BTN</t>
        </is>
      </c>
      <c r="C1238" t="n">
        <v>2002</v>
      </c>
      <c r="D1238" t="n">
        <v>2.45535714285714</v>
      </c>
    </row>
    <row r="1239">
      <c r="A1239" t="inlineStr">
        <is>
          <t>Bhutan</t>
        </is>
      </c>
      <c r="B1239" t="inlineStr">
        <is>
          <t>BTN</t>
        </is>
      </c>
      <c r="C1239" t="n">
        <v>2003</v>
      </c>
      <c r="D1239" t="n">
        <v>2.57230861693339</v>
      </c>
    </row>
    <row r="1240">
      <c r="A1240" t="inlineStr">
        <is>
          <t>Bhutan</t>
        </is>
      </c>
      <c r="B1240" t="inlineStr">
        <is>
          <t>BTN</t>
        </is>
      </c>
      <c r="C1240" t="n">
        <v>2004</v>
      </c>
      <c r="D1240" t="n">
        <v>4.10593698272958</v>
      </c>
    </row>
    <row r="1241">
      <c r="A1241" t="inlineStr">
        <is>
          <t>Bhutan</t>
        </is>
      </c>
      <c r="B1241" t="inlineStr">
        <is>
          <t>BTN</t>
        </is>
      </c>
      <c r="C1241" t="n">
        <v>2005</v>
      </c>
      <c r="D1241" t="n">
        <v>5.3126310463775</v>
      </c>
    </row>
    <row r="1242">
      <c r="A1242" t="inlineStr">
        <is>
          <t>Bhutan</t>
        </is>
      </c>
      <c r="B1242" t="inlineStr">
        <is>
          <t>BTN</t>
        </is>
      </c>
      <c r="C1242" t="n">
        <v>2006</v>
      </c>
      <c r="D1242" t="n">
        <v>5.00045438022541</v>
      </c>
    </row>
    <row r="1243">
      <c r="A1243" t="inlineStr">
        <is>
          <t>Bhutan</t>
        </is>
      </c>
      <c r="B1243" t="inlineStr">
        <is>
          <t>BTN</t>
        </is>
      </c>
      <c r="C1243" t="n">
        <v>2007</v>
      </c>
      <c r="D1243" t="n">
        <v>5.15611138758463</v>
      </c>
    </row>
    <row r="1244">
      <c r="A1244" t="inlineStr">
        <is>
          <t>Bhutan</t>
        </is>
      </c>
      <c r="B1244" t="inlineStr">
        <is>
          <t>BTN</t>
        </is>
      </c>
      <c r="C1244" t="n">
        <v>2008</v>
      </c>
      <c r="D1244" t="n">
        <v>8.32716049382713</v>
      </c>
    </row>
    <row r="1245">
      <c r="A1245" t="inlineStr">
        <is>
          <t>Bhutan</t>
        </is>
      </c>
      <c r="B1245" t="inlineStr">
        <is>
          <t>BTN</t>
        </is>
      </c>
      <c r="C1245" t="n">
        <v>2009</v>
      </c>
      <c r="D1245" t="n">
        <v>4.36112219119805</v>
      </c>
    </row>
    <row r="1246">
      <c r="A1246" t="inlineStr">
        <is>
          <t>Bhutan</t>
        </is>
      </c>
      <c r="B1246" t="inlineStr">
        <is>
          <t>BTN</t>
        </is>
      </c>
      <c r="C1246" t="n">
        <v>2010</v>
      </c>
      <c r="D1246" t="n">
        <v>7.03638316073019</v>
      </c>
    </row>
    <row r="1247">
      <c r="A1247" t="inlineStr">
        <is>
          <t>Bhutan</t>
        </is>
      </c>
      <c r="B1247" t="inlineStr">
        <is>
          <t>BTN</t>
        </is>
      </c>
      <c r="C1247" t="n">
        <v>2011</v>
      </c>
      <c r="D1247" t="n">
        <v>8.848985699468001</v>
      </c>
    </row>
    <row r="1248">
      <c r="A1248" t="inlineStr">
        <is>
          <t>Bhutan</t>
        </is>
      </c>
      <c r="B1248" t="inlineStr">
        <is>
          <t>BTN</t>
        </is>
      </c>
      <c r="C1248" t="n">
        <v>2012</v>
      </c>
      <c r="D1248" t="n">
        <v>10.919656944683</v>
      </c>
    </row>
    <row r="1249">
      <c r="A1249" t="inlineStr">
        <is>
          <t>Bhutan</t>
        </is>
      </c>
      <c r="B1249" t="inlineStr">
        <is>
          <t>BTN</t>
        </is>
      </c>
      <c r="C1249" t="n">
        <v>2013</v>
      </c>
      <c r="D1249" t="n">
        <v>8.776383452682129</v>
      </c>
    </row>
    <row r="1250">
      <c r="A1250" t="inlineStr">
        <is>
          <t>Bhutan</t>
        </is>
      </c>
      <c r="B1250" t="inlineStr">
        <is>
          <t>BTN</t>
        </is>
      </c>
      <c r="C1250" t="n">
        <v>2014</v>
      </c>
      <c r="D1250" t="n">
        <v>8.27106093949328</v>
      </c>
    </row>
    <row r="1251">
      <c r="A1251" t="inlineStr">
        <is>
          <t>Bhutan</t>
        </is>
      </c>
      <c r="B1251" t="inlineStr">
        <is>
          <t>BTN</t>
        </is>
      </c>
      <c r="C1251" t="n">
        <v>2015</v>
      </c>
      <c r="D1251" t="n">
        <v>4.54814395082205</v>
      </c>
    </row>
    <row r="1252">
      <c r="A1252" t="inlineStr">
        <is>
          <t>Bhutan</t>
        </is>
      </c>
      <c r="B1252" t="inlineStr">
        <is>
          <t>BTN</t>
        </is>
      </c>
      <c r="C1252" t="n">
        <v>2016</v>
      </c>
      <c r="D1252" t="n">
        <v>3.21988689395718</v>
      </c>
    </row>
    <row r="1253">
      <c r="A1253" t="inlineStr">
        <is>
          <t>Bhutan</t>
        </is>
      </c>
      <c r="B1253" t="inlineStr">
        <is>
          <t>BTN</t>
        </is>
      </c>
      <c r="C1253" t="n">
        <v>2017</v>
      </c>
      <c r="D1253" t="n">
        <v>4.95508366985129</v>
      </c>
    </row>
    <row r="1254">
      <c r="A1254" t="inlineStr">
        <is>
          <t>Bhutan</t>
        </is>
      </c>
      <c r="B1254" t="inlineStr">
        <is>
          <t>BTN</t>
        </is>
      </c>
      <c r="C1254" t="n">
        <v>2018</v>
      </c>
      <c r="D1254" t="n">
        <v>2.72396386183713</v>
      </c>
    </row>
    <row r="1255">
      <c r="A1255" t="inlineStr">
        <is>
          <t>Bhutan</t>
        </is>
      </c>
      <c r="B1255" t="inlineStr">
        <is>
          <t>BTN</t>
        </is>
      </c>
      <c r="C1255" t="n">
        <v>2019</v>
      </c>
      <c r="D1255" t="n">
        <v>2.72643037388832</v>
      </c>
    </row>
    <row r="1256">
      <c r="A1256" t="inlineStr">
        <is>
          <t>Bhutan</t>
        </is>
      </c>
      <c r="B1256" t="inlineStr">
        <is>
          <t>BTN</t>
        </is>
      </c>
      <c r="C1256" t="n">
        <v>2020</v>
      </c>
      <c r="D1256" t="n">
        <v>5.62936522632508</v>
      </c>
    </row>
    <row r="1257">
      <c r="A1257" t="inlineStr">
        <is>
          <t>Bhutan</t>
        </is>
      </c>
      <c r="B1257" t="inlineStr">
        <is>
          <t>BTN</t>
        </is>
      </c>
      <c r="C1257" t="n">
        <v>2021</v>
      </c>
      <c r="D1257" t="n">
        <v>7.3468144053353</v>
      </c>
    </row>
    <row r="1258">
      <c r="A1258" t="inlineStr">
        <is>
          <t>Bhutan</t>
        </is>
      </c>
      <c r="B1258" t="inlineStr">
        <is>
          <t>BTN</t>
        </is>
      </c>
      <c r="C1258" t="n">
        <v>2022</v>
      </c>
      <c r="D1258" t="n">
        <v>5.6391667139637</v>
      </c>
    </row>
    <row r="1259">
      <c r="A1259" t="inlineStr">
        <is>
          <t>Bhutan</t>
        </is>
      </c>
      <c r="B1259" t="inlineStr">
        <is>
          <t>BTN</t>
        </is>
      </c>
      <c r="C1259" t="n">
        <v>2023</v>
      </c>
      <c r="D1259" t="n">
        <v>4.22934419929251</v>
      </c>
    </row>
    <row r="1260">
      <c r="A1260" t="inlineStr">
        <is>
          <t>Bhutan</t>
        </is>
      </c>
      <c r="B1260" t="inlineStr">
        <is>
          <t>BTN</t>
        </is>
      </c>
      <c r="C1260" t="n">
        <v>2024</v>
      </c>
      <c r="D1260" t="n">
        <v>2.76131569624098</v>
      </c>
    </row>
    <row r="1261">
      <c r="A1261" t="inlineStr">
        <is>
          <t>Botswana</t>
        </is>
      </c>
      <c r="B1261" t="inlineStr">
        <is>
          <t>BWA</t>
        </is>
      </c>
      <c r="C1261" t="n">
        <v>1975</v>
      </c>
      <c r="D1261" t="n">
        <v>11.9747550240953</v>
      </c>
    </row>
    <row r="1262">
      <c r="A1262" t="inlineStr">
        <is>
          <t>Botswana</t>
        </is>
      </c>
      <c r="B1262" t="inlineStr">
        <is>
          <t>BWA</t>
        </is>
      </c>
      <c r="C1262" t="n">
        <v>1976</v>
      </c>
      <c r="D1262" t="n">
        <v>11.732423613642</v>
      </c>
    </row>
    <row r="1263">
      <c r="A1263" t="inlineStr">
        <is>
          <t>Botswana</t>
        </is>
      </c>
      <c r="B1263" t="inlineStr">
        <is>
          <t>BWA</t>
        </is>
      </c>
      <c r="C1263" t="n">
        <v>1977</v>
      </c>
      <c r="D1263" t="n">
        <v>13.1687242801079</v>
      </c>
    </row>
    <row r="1264">
      <c r="A1264" t="inlineStr">
        <is>
          <t>Botswana</t>
        </is>
      </c>
      <c r="B1264" t="inlineStr">
        <is>
          <t>BWA</t>
        </is>
      </c>
      <c r="C1264" t="n">
        <v>1978</v>
      </c>
      <c r="D1264" t="n">
        <v>9.04398827010362</v>
      </c>
    </row>
    <row r="1265">
      <c r="A1265" t="inlineStr">
        <is>
          <t>Botswana</t>
        </is>
      </c>
      <c r="B1265" t="inlineStr">
        <is>
          <t>BWA</t>
        </is>
      </c>
      <c r="C1265" t="n">
        <v>1979</v>
      </c>
      <c r="D1265" t="n">
        <v>11.7362306367885</v>
      </c>
    </row>
    <row r="1266">
      <c r="A1266" t="inlineStr">
        <is>
          <t>Botswana</t>
        </is>
      </c>
      <c r="B1266" t="inlineStr">
        <is>
          <t>BWA</t>
        </is>
      </c>
      <c r="C1266" t="n">
        <v>1980</v>
      </c>
      <c r="D1266" t="n">
        <v>13.6324251470895</v>
      </c>
    </row>
    <row r="1267">
      <c r="A1267" t="inlineStr">
        <is>
          <t>Botswana</t>
        </is>
      </c>
      <c r="B1267" t="inlineStr">
        <is>
          <t>BWA</t>
        </is>
      </c>
      <c r="C1267" t="n">
        <v>1981</v>
      </c>
      <c r="D1267" t="n">
        <v>16.4280267725712</v>
      </c>
    </row>
    <row r="1268">
      <c r="A1268" t="inlineStr">
        <is>
          <t>Botswana</t>
        </is>
      </c>
      <c r="B1268" t="inlineStr">
        <is>
          <t>BWA</t>
        </is>
      </c>
      <c r="C1268" t="n">
        <v>1982</v>
      </c>
      <c r="D1268" t="n">
        <v>11.1372064274689</v>
      </c>
    </row>
    <row r="1269">
      <c r="A1269" t="inlineStr">
        <is>
          <t>Botswana</t>
        </is>
      </c>
      <c r="B1269" t="inlineStr">
        <is>
          <t>BWA</t>
        </is>
      </c>
      <c r="C1269" t="n">
        <v>1983</v>
      </c>
      <c r="D1269" t="n">
        <v>10.4771438105237</v>
      </c>
    </row>
    <row r="1270">
      <c r="A1270" t="inlineStr">
        <is>
          <t>Botswana</t>
        </is>
      </c>
      <c r="B1270" t="inlineStr">
        <is>
          <t>BWA</t>
        </is>
      </c>
      <c r="C1270" t="n">
        <v>1984</v>
      </c>
      <c r="D1270" t="n">
        <v>8.577469042519059</v>
      </c>
    </row>
    <row r="1271">
      <c r="A1271" t="inlineStr">
        <is>
          <t>Botswana</t>
        </is>
      </c>
      <c r="B1271" t="inlineStr">
        <is>
          <t>BWA</t>
        </is>
      </c>
      <c r="C1271" t="n">
        <v>1985</v>
      </c>
      <c r="D1271" t="n">
        <v>8.09457579975941</v>
      </c>
    </row>
    <row r="1272">
      <c r="A1272" t="inlineStr">
        <is>
          <t>Botswana</t>
        </is>
      </c>
      <c r="B1272" t="inlineStr">
        <is>
          <t>BWA</t>
        </is>
      </c>
      <c r="C1272" t="n">
        <v>1986</v>
      </c>
      <c r="D1272" t="n">
        <v>10.0017155606022</v>
      </c>
    </row>
    <row r="1273">
      <c r="A1273" t="inlineStr">
        <is>
          <t>Botswana</t>
        </is>
      </c>
      <c r="B1273" t="inlineStr">
        <is>
          <t>BWA</t>
        </is>
      </c>
      <c r="C1273" t="n">
        <v>1987</v>
      </c>
      <c r="D1273" t="n">
        <v>9.80193387398675</v>
      </c>
    </row>
    <row r="1274">
      <c r="A1274" t="inlineStr">
        <is>
          <t>Botswana</t>
        </is>
      </c>
      <c r="B1274" t="inlineStr">
        <is>
          <t>BWA</t>
        </is>
      </c>
      <c r="C1274" t="n">
        <v>1988</v>
      </c>
      <c r="D1274" t="n">
        <v>8.351679568212189</v>
      </c>
    </row>
    <row r="1275">
      <c r="A1275" t="inlineStr">
        <is>
          <t>Botswana</t>
        </is>
      </c>
      <c r="B1275" t="inlineStr">
        <is>
          <t>BWA</t>
        </is>
      </c>
      <c r="C1275" t="n">
        <v>1989</v>
      </c>
      <c r="D1275" t="n">
        <v>11.5750147473285</v>
      </c>
    </row>
    <row r="1276">
      <c r="A1276" t="inlineStr">
        <is>
          <t>Botswana</t>
        </is>
      </c>
      <c r="B1276" t="inlineStr">
        <is>
          <t>BWA</t>
        </is>
      </c>
      <c r="C1276" t="n">
        <v>1990</v>
      </c>
      <c r="D1276" t="n">
        <v>11.3963461199556</v>
      </c>
    </row>
    <row r="1277">
      <c r="A1277" t="inlineStr">
        <is>
          <t>Botswana</t>
        </is>
      </c>
      <c r="B1277" t="inlineStr">
        <is>
          <t>BWA</t>
        </is>
      </c>
      <c r="C1277" t="n">
        <v>1991</v>
      </c>
      <c r="D1277" t="n">
        <v>11.7650160839535</v>
      </c>
    </row>
    <row r="1278">
      <c r="A1278" t="inlineStr">
        <is>
          <t>Botswana</t>
        </is>
      </c>
      <c r="B1278" t="inlineStr">
        <is>
          <t>BWA</t>
        </is>
      </c>
      <c r="C1278" t="n">
        <v>1992</v>
      </c>
      <c r="D1278" t="n">
        <v>16.1676123963339</v>
      </c>
    </row>
    <row r="1279">
      <c r="A1279" t="inlineStr">
        <is>
          <t>Botswana</t>
        </is>
      </c>
      <c r="B1279" t="inlineStr">
        <is>
          <t>BWA</t>
        </is>
      </c>
      <c r="C1279" t="n">
        <v>1993</v>
      </c>
      <c r="D1279" t="n">
        <v>14.3308033365888</v>
      </c>
    </row>
    <row r="1280">
      <c r="A1280" t="inlineStr">
        <is>
          <t>Botswana</t>
        </is>
      </c>
      <c r="B1280" t="inlineStr">
        <is>
          <t>BWA</t>
        </is>
      </c>
      <c r="C1280" t="n">
        <v>1994</v>
      </c>
      <c r="D1280" t="n">
        <v>10.5429209938218</v>
      </c>
    </row>
    <row r="1281">
      <c r="A1281" t="inlineStr">
        <is>
          <t>Botswana</t>
        </is>
      </c>
      <c r="B1281" t="inlineStr">
        <is>
          <t>BWA</t>
        </is>
      </c>
      <c r="C1281" t="n">
        <v>1995</v>
      </c>
      <c r="D1281" t="n">
        <v>10.512546081579</v>
      </c>
    </row>
    <row r="1282">
      <c r="A1282" t="inlineStr">
        <is>
          <t>Botswana</t>
        </is>
      </c>
      <c r="B1282" t="inlineStr">
        <is>
          <t>BWA</t>
        </is>
      </c>
      <c r="C1282" t="n">
        <v>1996</v>
      </c>
      <c r="D1282" t="n">
        <v>10.0828580652108</v>
      </c>
    </row>
    <row r="1283">
      <c r="A1283" t="inlineStr">
        <is>
          <t>Botswana</t>
        </is>
      </c>
      <c r="B1283" t="inlineStr">
        <is>
          <t>BWA</t>
        </is>
      </c>
      <c r="C1283" t="n">
        <v>1997</v>
      </c>
      <c r="D1283" t="n">
        <v>8.719931271477471</v>
      </c>
    </row>
    <row r="1284">
      <c r="A1284" t="inlineStr">
        <is>
          <t>Botswana</t>
        </is>
      </c>
      <c r="B1284" t="inlineStr">
        <is>
          <t>BWA</t>
        </is>
      </c>
      <c r="C1284" t="n">
        <v>1998</v>
      </c>
      <c r="D1284" t="n">
        <v>6.66139865665752</v>
      </c>
    </row>
    <row r="1285">
      <c r="A1285" t="inlineStr">
        <is>
          <t>Botswana</t>
        </is>
      </c>
      <c r="B1285" t="inlineStr">
        <is>
          <t>BWA</t>
        </is>
      </c>
      <c r="C1285" t="n">
        <v>1999</v>
      </c>
      <c r="D1285" t="n">
        <v>7.74929619202848</v>
      </c>
    </row>
    <row r="1286">
      <c r="A1286" t="inlineStr">
        <is>
          <t>Botswana</t>
        </is>
      </c>
      <c r="B1286" t="inlineStr">
        <is>
          <t>BWA</t>
        </is>
      </c>
      <c r="C1286" t="n">
        <v>2000</v>
      </c>
      <c r="D1286" t="n">
        <v>8.601485148514911</v>
      </c>
    </row>
    <row r="1287">
      <c r="A1287" t="inlineStr">
        <is>
          <t>Botswana</t>
        </is>
      </c>
      <c r="B1287" t="inlineStr">
        <is>
          <t>BWA</t>
        </is>
      </c>
      <c r="C1287" t="n">
        <v>2001</v>
      </c>
      <c r="D1287" t="n">
        <v>6.55903767014862</v>
      </c>
    </row>
    <row r="1288">
      <c r="A1288" t="inlineStr">
        <is>
          <t>Botswana</t>
        </is>
      </c>
      <c r="B1288" t="inlineStr">
        <is>
          <t>BWA</t>
        </is>
      </c>
      <c r="C1288" t="n">
        <v>2002</v>
      </c>
      <c r="D1288" t="n">
        <v>8.032796625274861</v>
      </c>
    </row>
    <row r="1289">
      <c r="A1289" t="inlineStr">
        <is>
          <t>Botswana</t>
        </is>
      </c>
      <c r="B1289" t="inlineStr">
        <is>
          <t>BWA</t>
        </is>
      </c>
      <c r="C1289" t="n">
        <v>2003</v>
      </c>
      <c r="D1289" t="n">
        <v>9.189902656327391</v>
      </c>
    </row>
    <row r="1290">
      <c r="A1290" t="inlineStr">
        <is>
          <t>Botswana</t>
        </is>
      </c>
      <c r="B1290" t="inlineStr">
        <is>
          <t>BWA</t>
        </is>
      </c>
      <c r="C1290" t="n">
        <v>2004</v>
      </c>
      <c r="D1290" t="n">
        <v>6.94570363654675</v>
      </c>
    </row>
    <row r="1291">
      <c r="A1291" t="inlineStr">
        <is>
          <t>Botswana</t>
        </is>
      </c>
      <c r="B1291" t="inlineStr">
        <is>
          <t>BWA</t>
        </is>
      </c>
      <c r="C1291" t="n">
        <v>2005</v>
      </c>
      <c r="D1291" t="n">
        <v>8.6102252854644</v>
      </c>
    </row>
    <row r="1292">
      <c r="A1292" t="inlineStr">
        <is>
          <t>Botswana</t>
        </is>
      </c>
      <c r="B1292" t="inlineStr">
        <is>
          <t>BWA</t>
        </is>
      </c>
      <c r="C1292" t="n">
        <v>2006</v>
      </c>
      <c r="D1292" t="n">
        <v>11.5552187914379</v>
      </c>
    </row>
    <row r="1293">
      <c r="A1293" t="inlineStr">
        <is>
          <t>Botswana</t>
        </is>
      </c>
      <c r="B1293" t="inlineStr">
        <is>
          <t>BWA</t>
        </is>
      </c>
      <c r="C1293" t="n">
        <v>2007</v>
      </c>
      <c r="D1293" t="n">
        <v>7.08099847172693</v>
      </c>
    </row>
    <row r="1294">
      <c r="A1294" t="inlineStr">
        <is>
          <t>Botswana</t>
        </is>
      </c>
      <c r="B1294" t="inlineStr">
        <is>
          <t>BWA</t>
        </is>
      </c>
      <c r="C1294" t="n">
        <v>2008</v>
      </c>
      <c r="D1294" t="n">
        <v>12.7021883920076</v>
      </c>
    </row>
    <row r="1295">
      <c r="A1295" t="inlineStr">
        <is>
          <t>Botswana</t>
        </is>
      </c>
      <c r="B1295" t="inlineStr">
        <is>
          <t>BWA</t>
        </is>
      </c>
      <c r="C1295" t="n">
        <v>2009</v>
      </c>
      <c r="D1295" t="n">
        <v>8.02729703109582</v>
      </c>
    </row>
    <row r="1296">
      <c r="A1296" t="inlineStr">
        <is>
          <t>Botswana</t>
        </is>
      </c>
      <c r="B1296" t="inlineStr">
        <is>
          <t>BWA</t>
        </is>
      </c>
      <c r="C1296" t="n">
        <v>2010</v>
      </c>
      <c r="D1296" t="n">
        <v>6.94887658743103</v>
      </c>
    </row>
    <row r="1297">
      <c r="A1297" t="inlineStr">
        <is>
          <t>Botswana</t>
        </is>
      </c>
      <c r="B1297" t="inlineStr">
        <is>
          <t>BWA</t>
        </is>
      </c>
      <c r="C1297" t="n">
        <v>2011</v>
      </c>
      <c r="D1297" t="n">
        <v>8.45987233408583</v>
      </c>
    </row>
    <row r="1298">
      <c r="A1298" t="inlineStr">
        <is>
          <t>Botswana</t>
        </is>
      </c>
      <c r="B1298" t="inlineStr">
        <is>
          <t>BWA</t>
        </is>
      </c>
      <c r="C1298" t="n">
        <v>2012</v>
      </c>
      <c r="D1298" t="n">
        <v>7.53690261091916</v>
      </c>
    </row>
    <row r="1299">
      <c r="A1299" t="inlineStr">
        <is>
          <t>Botswana</t>
        </is>
      </c>
      <c r="B1299" t="inlineStr">
        <is>
          <t>BWA</t>
        </is>
      </c>
      <c r="C1299" t="n">
        <v>2013</v>
      </c>
      <c r="D1299" t="n">
        <v>5.88460707056817</v>
      </c>
    </row>
    <row r="1300">
      <c r="A1300" t="inlineStr">
        <is>
          <t>Botswana</t>
        </is>
      </c>
      <c r="B1300" t="inlineStr">
        <is>
          <t>BWA</t>
        </is>
      </c>
      <c r="C1300" t="n">
        <v>2014</v>
      </c>
      <c r="D1300" t="n">
        <v>4.40225309243427</v>
      </c>
    </row>
    <row r="1301">
      <c r="A1301" t="inlineStr">
        <is>
          <t>Botswana</t>
        </is>
      </c>
      <c r="B1301" t="inlineStr">
        <is>
          <t>BWA</t>
        </is>
      </c>
      <c r="C1301" t="n">
        <v>2015</v>
      </c>
      <c r="D1301" t="n">
        <v>3.06203169580558</v>
      </c>
    </row>
    <row r="1302">
      <c r="A1302" t="inlineStr">
        <is>
          <t>Botswana</t>
        </is>
      </c>
      <c r="B1302" t="inlineStr">
        <is>
          <t>BWA</t>
        </is>
      </c>
      <c r="C1302" t="n">
        <v>2016</v>
      </c>
      <c r="D1302" t="n">
        <v>2.81495791361944</v>
      </c>
    </row>
    <row r="1303">
      <c r="A1303" t="inlineStr">
        <is>
          <t>Botswana</t>
        </is>
      </c>
      <c r="B1303" t="inlineStr">
        <is>
          <t>BWA</t>
        </is>
      </c>
      <c r="C1303" t="n">
        <v>2017</v>
      </c>
      <c r="D1303" t="n">
        <v>3.30828076768219</v>
      </c>
    </row>
    <row r="1304">
      <c r="A1304" t="inlineStr">
        <is>
          <t>Botswana</t>
        </is>
      </c>
      <c r="B1304" t="inlineStr">
        <is>
          <t>BWA</t>
        </is>
      </c>
      <c r="C1304" t="n">
        <v>2018</v>
      </c>
      <c r="D1304" t="n">
        <v>3.23801558947715</v>
      </c>
    </row>
    <row r="1305">
      <c r="A1305" t="inlineStr">
        <is>
          <t>Botswana</t>
        </is>
      </c>
      <c r="B1305" t="inlineStr">
        <is>
          <t>BWA</t>
        </is>
      </c>
      <c r="C1305" t="n">
        <v>2019</v>
      </c>
      <c r="D1305" t="n">
        <v>2.77286442863321</v>
      </c>
    </row>
    <row r="1306">
      <c r="A1306" t="inlineStr">
        <is>
          <t>Botswana</t>
        </is>
      </c>
      <c r="B1306" t="inlineStr">
        <is>
          <t>BWA</t>
        </is>
      </c>
      <c r="C1306" t="n">
        <v>2020</v>
      </c>
      <c r="D1306" t="n">
        <v>1.8903591682421</v>
      </c>
    </row>
    <row r="1307">
      <c r="A1307" t="inlineStr">
        <is>
          <t>Botswana</t>
        </is>
      </c>
      <c r="B1307" t="inlineStr">
        <is>
          <t>BWA</t>
        </is>
      </c>
      <c r="C1307" t="n">
        <v>2021</v>
      </c>
      <c r="D1307" t="n">
        <v>7.24097765588442</v>
      </c>
    </row>
    <row r="1308">
      <c r="A1308" t="inlineStr">
        <is>
          <t>Botswana</t>
        </is>
      </c>
      <c r="B1308" t="inlineStr">
        <is>
          <t>BWA</t>
        </is>
      </c>
      <c r="C1308" t="n">
        <v>2022</v>
      </c>
      <c r="D1308" t="n">
        <v>11.665567478802</v>
      </c>
    </row>
    <row r="1309">
      <c r="A1309" t="inlineStr">
        <is>
          <t>Botswana</t>
        </is>
      </c>
      <c r="B1309" t="inlineStr">
        <is>
          <t>BWA</t>
        </is>
      </c>
      <c r="C1309" t="n">
        <v>2023</v>
      </c>
      <c r="D1309" t="n">
        <v>5.0676154934383</v>
      </c>
    </row>
    <row r="1310">
      <c r="A1310" t="inlineStr">
        <is>
          <t>Botswana</t>
        </is>
      </c>
      <c r="B1310" t="inlineStr">
        <is>
          <t>BWA</t>
        </is>
      </c>
      <c r="C1310" t="n">
        <v>2024</v>
      </c>
      <c r="D1310" t="n">
        <v>2.81835131676251</v>
      </c>
    </row>
    <row r="1311">
      <c r="A1311" t="inlineStr">
        <is>
          <t>Central African Republic</t>
        </is>
      </c>
      <c r="B1311" t="inlineStr">
        <is>
          <t>CAF</t>
        </is>
      </c>
      <c r="C1311" t="n">
        <v>1981</v>
      </c>
      <c r="D1311" t="n">
        <v>-0.0333333333334091</v>
      </c>
    </row>
    <row r="1312">
      <c r="A1312" t="inlineStr">
        <is>
          <t>Central African Republic</t>
        </is>
      </c>
      <c r="B1312" t="inlineStr">
        <is>
          <t>CAF</t>
        </is>
      </c>
      <c r="C1312" t="n">
        <v>1982</v>
      </c>
      <c r="D1312" t="n">
        <v>13.2960986995663</v>
      </c>
    </row>
    <row r="1313">
      <c r="A1313" t="inlineStr">
        <is>
          <t>Central African Republic</t>
        </is>
      </c>
      <c r="B1313" t="inlineStr">
        <is>
          <t>CAF</t>
        </is>
      </c>
      <c r="C1313" t="n">
        <v>1983</v>
      </c>
      <c r="D1313" t="n">
        <v>14.6126112868811</v>
      </c>
    </row>
    <row r="1314">
      <c r="A1314" t="inlineStr">
        <is>
          <t>Central African Republic</t>
        </is>
      </c>
      <c r="B1314" t="inlineStr">
        <is>
          <t>CAF</t>
        </is>
      </c>
      <c r="C1314" t="n">
        <v>1984</v>
      </c>
      <c r="D1314" t="n">
        <v>2.54220966810047</v>
      </c>
    </row>
    <row r="1315">
      <c r="A1315" t="inlineStr">
        <is>
          <t>Central African Republic</t>
        </is>
      </c>
      <c r="B1315" t="inlineStr">
        <is>
          <t>CAF</t>
        </is>
      </c>
      <c r="C1315" t="n">
        <v>1985</v>
      </c>
      <c r="D1315" t="n">
        <v>10.4238402303886</v>
      </c>
    </row>
    <row r="1316">
      <c r="A1316" t="inlineStr">
        <is>
          <t>Central African Republic</t>
        </is>
      </c>
      <c r="B1316" t="inlineStr">
        <is>
          <t>CAF</t>
        </is>
      </c>
      <c r="C1316" t="n">
        <v>1986</v>
      </c>
      <c r="D1316" t="n">
        <v>2.24515251162269</v>
      </c>
    </row>
    <row r="1317">
      <c r="A1317" t="inlineStr">
        <is>
          <t>Central African Republic</t>
        </is>
      </c>
      <c r="B1317" t="inlineStr">
        <is>
          <t>CAF</t>
        </is>
      </c>
      <c r="C1317" t="n">
        <v>1987</v>
      </c>
      <c r="D1317" t="n">
        <v>-6.98680270599974</v>
      </c>
    </row>
    <row r="1318">
      <c r="A1318" t="inlineStr">
        <is>
          <t>Central African Republic</t>
        </is>
      </c>
      <c r="B1318" t="inlineStr">
        <is>
          <t>CAF</t>
        </is>
      </c>
      <c r="C1318" t="n">
        <v>1988</v>
      </c>
      <c r="D1318" t="n">
        <v>-3.96446882079366</v>
      </c>
    </row>
    <row r="1319">
      <c r="A1319" t="inlineStr">
        <is>
          <t>Central African Republic</t>
        </is>
      </c>
      <c r="B1319" t="inlineStr">
        <is>
          <t>CAF</t>
        </is>
      </c>
      <c r="C1319" t="n">
        <v>1989</v>
      </c>
      <c r="D1319" t="n">
        <v>0.689055807312738</v>
      </c>
    </row>
    <row r="1320">
      <c r="A1320" t="inlineStr">
        <is>
          <t>Central African Republic</t>
        </is>
      </c>
      <c r="B1320" t="inlineStr">
        <is>
          <t>CAF</t>
        </is>
      </c>
      <c r="C1320" t="n">
        <v>1990</v>
      </c>
      <c r="D1320" t="n">
        <v>-0.0123304562272102</v>
      </c>
    </row>
    <row r="1321">
      <c r="A1321" t="inlineStr">
        <is>
          <t>Central African Republic</t>
        </is>
      </c>
      <c r="B1321" t="inlineStr">
        <is>
          <t>CAF</t>
        </is>
      </c>
      <c r="C1321" t="n">
        <v>1991</v>
      </c>
      <c r="D1321" t="n">
        <v>-2.76236280675762</v>
      </c>
    </row>
    <row r="1322">
      <c r="A1322" t="inlineStr">
        <is>
          <t>Central African Republic</t>
        </is>
      </c>
      <c r="B1322" t="inlineStr">
        <is>
          <t>CAF</t>
        </is>
      </c>
      <c r="C1322" t="n">
        <v>1992</v>
      </c>
      <c r="D1322" t="n">
        <v>-1.03360811667777</v>
      </c>
    </row>
    <row r="1323">
      <c r="A1323" t="inlineStr">
        <is>
          <t>Central African Republic</t>
        </is>
      </c>
      <c r="B1323" t="inlineStr">
        <is>
          <t>CAF</t>
        </is>
      </c>
      <c r="C1323" t="n">
        <v>1993</v>
      </c>
      <c r="D1323" t="n">
        <v>-2.91535849298335</v>
      </c>
    </row>
    <row r="1324">
      <c r="A1324" t="inlineStr">
        <is>
          <t>Central African Republic</t>
        </is>
      </c>
      <c r="B1324" t="inlineStr">
        <is>
          <t>CAF</t>
        </is>
      </c>
      <c r="C1324" t="n">
        <v>1994</v>
      </c>
      <c r="D1324" t="n">
        <v>24.5710137275605</v>
      </c>
    </row>
    <row r="1325">
      <c r="A1325" t="inlineStr">
        <is>
          <t>Central African Republic</t>
        </is>
      </c>
      <c r="B1325" t="inlineStr">
        <is>
          <t>CAF</t>
        </is>
      </c>
      <c r="C1325" t="n">
        <v>1995</v>
      </c>
      <c r="D1325" t="n">
        <v>19.1894039735098</v>
      </c>
    </row>
    <row r="1326">
      <c r="A1326" t="inlineStr">
        <is>
          <t>Central African Republic</t>
        </is>
      </c>
      <c r="B1326" t="inlineStr">
        <is>
          <t>CAF</t>
        </is>
      </c>
      <c r="C1326" t="n">
        <v>1996</v>
      </c>
      <c r="D1326" t="n">
        <v>3.72494110325802</v>
      </c>
    </row>
    <row r="1327">
      <c r="A1327" t="inlineStr">
        <is>
          <t>Central African Republic</t>
        </is>
      </c>
      <c r="B1327" t="inlineStr">
        <is>
          <t>CAF</t>
        </is>
      </c>
      <c r="C1327" t="n">
        <v>1997</v>
      </c>
      <c r="D1327" t="n">
        <v>1.61131347760911</v>
      </c>
    </row>
    <row r="1328">
      <c r="A1328" t="inlineStr">
        <is>
          <t>Central African Republic</t>
        </is>
      </c>
      <c r="B1328" t="inlineStr">
        <is>
          <t>CAF</t>
        </is>
      </c>
      <c r="C1328" t="n">
        <v>1998</v>
      </c>
      <c r="D1328" t="n">
        <v>-1.8852009615791</v>
      </c>
    </row>
    <row r="1329">
      <c r="A1329" t="inlineStr">
        <is>
          <t>Central African Republic</t>
        </is>
      </c>
      <c r="B1329" t="inlineStr">
        <is>
          <t>CAF</t>
        </is>
      </c>
      <c r="C1329" t="n">
        <v>1999</v>
      </c>
      <c r="D1329" t="n">
        <v>-1.41420220082551</v>
      </c>
    </row>
    <row r="1330">
      <c r="A1330" t="inlineStr">
        <is>
          <t>Central African Republic</t>
        </is>
      </c>
      <c r="B1330" t="inlineStr">
        <is>
          <t>CAF</t>
        </is>
      </c>
      <c r="C1330" t="n">
        <v>2000</v>
      </c>
      <c r="D1330" t="n">
        <v>3.20340091563112</v>
      </c>
    </row>
    <row r="1331">
      <c r="A1331" t="inlineStr">
        <is>
          <t>Central African Republic</t>
        </is>
      </c>
      <c r="B1331" t="inlineStr">
        <is>
          <t>CAF</t>
        </is>
      </c>
      <c r="C1331" t="n">
        <v>2001</v>
      </c>
      <c r="D1331" t="n">
        <v>3.83486060237362</v>
      </c>
    </row>
    <row r="1332">
      <c r="A1332" t="inlineStr">
        <is>
          <t>Central African Republic</t>
        </is>
      </c>
      <c r="B1332" t="inlineStr">
        <is>
          <t>CAF</t>
        </is>
      </c>
      <c r="C1332" t="n">
        <v>2002</v>
      </c>
      <c r="D1332" t="n">
        <v>2.33181703516235</v>
      </c>
    </row>
    <row r="1333">
      <c r="A1333" t="inlineStr">
        <is>
          <t>Central African Republic</t>
        </is>
      </c>
      <c r="B1333" t="inlineStr">
        <is>
          <t>CAF</t>
        </is>
      </c>
      <c r="C1333" t="n">
        <v>2003</v>
      </c>
      <c r="D1333" t="n">
        <v>4.13470905150996</v>
      </c>
    </row>
    <row r="1334">
      <c r="A1334" t="inlineStr">
        <is>
          <t>Central African Republic</t>
        </is>
      </c>
      <c r="B1334" t="inlineStr">
        <is>
          <t>CAF</t>
        </is>
      </c>
      <c r="C1334" t="n">
        <v>2004</v>
      </c>
      <c r="D1334" t="n">
        <v>-2.06640601136303</v>
      </c>
    </row>
    <row r="1335">
      <c r="A1335" t="inlineStr">
        <is>
          <t>Central African Republic</t>
        </is>
      </c>
      <c r="B1335" t="inlineStr">
        <is>
          <t>CAF</t>
        </is>
      </c>
      <c r="C1335" t="n">
        <v>2005</v>
      </c>
      <c r="D1335" t="n">
        <v>2.88352073359022</v>
      </c>
    </row>
    <row r="1336">
      <c r="A1336" t="inlineStr">
        <is>
          <t>Central African Republic</t>
        </is>
      </c>
      <c r="B1336" t="inlineStr">
        <is>
          <t>CAF</t>
        </is>
      </c>
      <c r="C1336" t="n">
        <v>2006</v>
      </c>
      <c r="D1336" t="n">
        <v>6.69526465773354</v>
      </c>
    </row>
    <row r="1337">
      <c r="A1337" t="inlineStr">
        <is>
          <t>Central African Republic</t>
        </is>
      </c>
      <c r="B1337" t="inlineStr">
        <is>
          <t>CAF</t>
        </is>
      </c>
      <c r="C1337" t="n">
        <v>2007</v>
      </c>
      <c r="D1337" t="n">
        <v>0.95991761945711</v>
      </c>
    </row>
    <row r="1338">
      <c r="A1338" t="inlineStr">
        <is>
          <t>Central African Republic</t>
        </is>
      </c>
      <c r="B1338" t="inlineStr">
        <is>
          <t>CAF</t>
        </is>
      </c>
      <c r="C1338" t="n">
        <v>2008</v>
      </c>
      <c r="D1338" t="n">
        <v>9.25895099417076</v>
      </c>
    </row>
    <row r="1339">
      <c r="A1339" t="inlineStr">
        <is>
          <t>Central African Republic</t>
        </is>
      </c>
      <c r="B1339" t="inlineStr">
        <is>
          <t>CAF</t>
        </is>
      </c>
      <c r="C1339" t="n">
        <v>2009</v>
      </c>
      <c r="D1339" t="n">
        <v>3.52126227238643</v>
      </c>
    </row>
    <row r="1340">
      <c r="A1340" t="inlineStr">
        <is>
          <t>Central African Republic</t>
        </is>
      </c>
      <c r="B1340" t="inlineStr">
        <is>
          <t>CAF</t>
        </is>
      </c>
      <c r="C1340" t="n">
        <v>2010</v>
      </c>
      <c r="D1340" t="n">
        <v>1.49102370047802</v>
      </c>
    </row>
    <row r="1341">
      <c r="A1341" t="inlineStr">
        <is>
          <t>Central African Republic</t>
        </is>
      </c>
      <c r="B1341" t="inlineStr">
        <is>
          <t>CAF</t>
        </is>
      </c>
      <c r="C1341" t="n">
        <v>2011</v>
      </c>
      <c r="D1341" t="n">
        <v>1.1944757244985</v>
      </c>
    </row>
    <row r="1342">
      <c r="A1342" t="inlineStr">
        <is>
          <t>Central African Republic</t>
        </is>
      </c>
      <c r="B1342" t="inlineStr">
        <is>
          <t>CAF</t>
        </is>
      </c>
      <c r="C1342" t="n">
        <v>2012</v>
      </c>
      <c r="D1342" t="n">
        <v>5.47829594346117</v>
      </c>
    </row>
    <row r="1343">
      <c r="A1343" t="inlineStr">
        <is>
          <t>Central African Republic</t>
        </is>
      </c>
      <c r="B1343" t="inlineStr">
        <is>
          <t>CAF</t>
        </is>
      </c>
      <c r="C1343" t="n">
        <v>2013</v>
      </c>
      <c r="D1343" t="n">
        <v>6.98879341970198</v>
      </c>
    </row>
    <row r="1344">
      <c r="A1344" t="inlineStr">
        <is>
          <t>Central African Republic</t>
        </is>
      </c>
      <c r="B1344" t="inlineStr">
        <is>
          <t>CAF</t>
        </is>
      </c>
      <c r="C1344" t="n">
        <v>2014</v>
      </c>
      <c r="D1344" t="n">
        <v>14.898684179755</v>
      </c>
    </row>
    <row r="1345">
      <c r="A1345" t="inlineStr">
        <is>
          <t>Central African Republic</t>
        </is>
      </c>
      <c r="B1345" t="inlineStr">
        <is>
          <t>CAF</t>
        </is>
      </c>
      <c r="C1345" t="n">
        <v>2015</v>
      </c>
      <c r="D1345" t="n">
        <v>1.40297017136816</v>
      </c>
    </row>
    <row r="1346">
      <c r="A1346" t="inlineStr">
        <is>
          <t>Central African Republic</t>
        </is>
      </c>
      <c r="B1346" t="inlineStr">
        <is>
          <t>CAF</t>
        </is>
      </c>
      <c r="C1346" t="n">
        <v>2016</v>
      </c>
      <c r="D1346" t="n">
        <v>4.94543276106518</v>
      </c>
    </row>
    <row r="1347">
      <c r="A1347" t="inlineStr">
        <is>
          <t>Central African Republic</t>
        </is>
      </c>
      <c r="B1347" t="inlineStr">
        <is>
          <t>CAF</t>
        </is>
      </c>
      <c r="C1347" t="n">
        <v>2017</v>
      </c>
      <c r="D1347" t="n">
        <v>4.18072331871267</v>
      </c>
    </row>
    <row r="1348">
      <c r="A1348" t="inlineStr">
        <is>
          <t>Central African Republic</t>
        </is>
      </c>
      <c r="B1348" t="inlineStr">
        <is>
          <t>CAF</t>
        </is>
      </c>
      <c r="C1348" t="n">
        <v>2018</v>
      </c>
      <c r="D1348" t="n">
        <v>1.61215686991555</v>
      </c>
    </row>
    <row r="1349">
      <c r="A1349" t="inlineStr">
        <is>
          <t>Central African Republic</t>
        </is>
      </c>
      <c r="B1349" t="inlineStr">
        <is>
          <t>CAF</t>
        </is>
      </c>
      <c r="C1349" t="n">
        <v>2019</v>
      </c>
      <c r="D1349" t="n">
        <v>2.68537355266787</v>
      </c>
    </row>
    <row r="1350">
      <c r="A1350" t="inlineStr">
        <is>
          <t>Central African Republic</t>
        </is>
      </c>
      <c r="B1350" t="inlineStr">
        <is>
          <t>CAF</t>
        </is>
      </c>
      <c r="C1350" t="n">
        <v>2020</v>
      </c>
      <c r="D1350" t="n">
        <v>1.71015659523153</v>
      </c>
    </row>
    <row r="1351">
      <c r="A1351" t="inlineStr">
        <is>
          <t>Central African Republic</t>
        </is>
      </c>
      <c r="B1351" t="inlineStr">
        <is>
          <t>CAF</t>
        </is>
      </c>
      <c r="C1351" t="n">
        <v>2021</v>
      </c>
      <c r="D1351" t="n">
        <v>4.25936417542868</v>
      </c>
    </row>
    <row r="1352">
      <c r="A1352" t="inlineStr">
        <is>
          <t>Central African Republic</t>
        </is>
      </c>
      <c r="B1352" t="inlineStr">
        <is>
          <t>CAF</t>
        </is>
      </c>
      <c r="C1352" t="n">
        <v>2022</v>
      </c>
      <c r="D1352" t="n">
        <v>5.58316735183247</v>
      </c>
    </row>
    <row r="1353">
      <c r="A1353" t="inlineStr">
        <is>
          <t>Central African Republic</t>
        </is>
      </c>
      <c r="B1353" t="inlineStr">
        <is>
          <t>CAF</t>
        </is>
      </c>
      <c r="C1353" t="n">
        <v>2023</v>
      </c>
      <c r="D1353" t="n">
        <v>2.97913852618937</v>
      </c>
    </row>
    <row r="1354">
      <c r="A1354" t="inlineStr">
        <is>
          <t>Canada</t>
        </is>
      </c>
      <c r="B1354" t="inlineStr">
        <is>
          <t>CAN</t>
        </is>
      </c>
      <c r="C1354" t="n">
        <v>1960</v>
      </c>
      <c r="D1354" t="n">
        <v>1.35869565217392</v>
      </c>
    </row>
    <row r="1355">
      <c r="A1355" t="inlineStr">
        <is>
          <t>Canada</t>
        </is>
      </c>
      <c r="B1355" t="inlineStr">
        <is>
          <t>CAN</t>
        </is>
      </c>
      <c r="C1355" t="n">
        <v>1961</v>
      </c>
      <c r="D1355" t="n">
        <v>1.01876675603211</v>
      </c>
    </row>
    <row r="1356">
      <c r="A1356" t="inlineStr">
        <is>
          <t>Canada</t>
        </is>
      </c>
      <c r="B1356" t="inlineStr">
        <is>
          <t>CAN</t>
        </is>
      </c>
      <c r="C1356" t="n">
        <v>1962</v>
      </c>
      <c r="D1356" t="n">
        <v>1.06157112526535</v>
      </c>
    </row>
    <row r="1357">
      <c r="A1357" t="inlineStr">
        <is>
          <t>Canada</t>
        </is>
      </c>
      <c r="B1357" t="inlineStr">
        <is>
          <t>CAN</t>
        </is>
      </c>
      <c r="C1357" t="n">
        <v>1963</v>
      </c>
      <c r="D1357" t="n">
        <v>1.62815126050428</v>
      </c>
    </row>
    <row r="1358">
      <c r="A1358" t="inlineStr">
        <is>
          <t>Canada</t>
        </is>
      </c>
      <c r="B1358" t="inlineStr">
        <is>
          <t>CAN</t>
        </is>
      </c>
      <c r="C1358" t="n">
        <v>1964</v>
      </c>
      <c r="D1358" t="n">
        <v>1.91214470284237</v>
      </c>
    </row>
    <row r="1359">
      <c r="A1359" t="inlineStr">
        <is>
          <t>Canada</t>
        </is>
      </c>
      <c r="B1359" t="inlineStr">
        <is>
          <t>CAN</t>
        </is>
      </c>
      <c r="C1359" t="n">
        <v>1965</v>
      </c>
      <c r="D1359" t="n">
        <v>2.33265720081135</v>
      </c>
    </row>
    <row r="1360">
      <c r="A1360" t="inlineStr">
        <is>
          <t>Canada</t>
        </is>
      </c>
      <c r="B1360" t="inlineStr">
        <is>
          <t>CAN</t>
        </is>
      </c>
      <c r="C1360" t="n">
        <v>1966</v>
      </c>
      <c r="D1360" t="n">
        <v>3.81565906838453</v>
      </c>
    </row>
    <row r="1361">
      <c r="A1361" t="inlineStr">
        <is>
          <t>Canada</t>
        </is>
      </c>
      <c r="B1361" t="inlineStr">
        <is>
          <t>CAN</t>
        </is>
      </c>
      <c r="C1361" t="n">
        <v>1967</v>
      </c>
      <c r="D1361" t="n">
        <v>3.57995226730312</v>
      </c>
    </row>
    <row r="1362">
      <c r="A1362" t="inlineStr">
        <is>
          <t>Canada</t>
        </is>
      </c>
      <c r="B1362" t="inlineStr">
        <is>
          <t>CAN</t>
        </is>
      </c>
      <c r="C1362" t="n">
        <v>1968</v>
      </c>
      <c r="D1362" t="n">
        <v>4.05529953917047</v>
      </c>
    </row>
    <row r="1363">
      <c r="A1363" t="inlineStr">
        <is>
          <t>Canada</t>
        </is>
      </c>
      <c r="B1363" t="inlineStr">
        <is>
          <t>CAN</t>
        </is>
      </c>
      <c r="C1363" t="n">
        <v>1969</v>
      </c>
      <c r="D1363" t="n">
        <v>4.56155890168292</v>
      </c>
    </row>
    <row r="1364">
      <c r="A1364" t="inlineStr">
        <is>
          <t>Canada</t>
        </is>
      </c>
      <c r="B1364" t="inlineStr">
        <is>
          <t>CAN</t>
        </is>
      </c>
      <c r="C1364" t="n">
        <v>1970</v>
      </c>
      <c r="D1364" t="n">
        <v>3.34603981363832</v>
      </c>
    </row>
    <row r="1365">
      <c r="A1365" t="inlineStr">
        <is>
          <t>Canada</t>
        </is>
      </c>
      <c r="B1365" t="inlineStr">
        <is>
          <t>CAN</t>
        </is>
      </c>
      <c r="C1365" t="n">
        <v>1971</v>
      </c>
      <c r="D1365" t="n">
        <v>2.70491803278685</v>
      </c>
    </row>
    <row r="1366">
      <c r="A1366" t="inlineStr">
        <is>
          <t>Canada</t>
        </is>
      </c>
      <c r="B1366" t="inlineStr">
        <is>
          <t>CAN</t>
        </is>
      </c>
      <c r="C1366" t="n">
        <v>1972</v>
      </c>
      <c r="D1366" t="n">
        <v>4.98802873104551</v>
      </c>
    </row>
    <row r="1367">
      <c r="A1367" t="inlineStr">
        <is>
          <t>Canada</t>
        </is>
      </c>
      <c r="B1367" t="inlineStr">
        <is>
          <t>CAN</t>
        </is>
      </c>
      <c r="C1367" t="n">
        <v>1973</v>
      </c>
      <c r="D1367" t="n">
        <v>7.48764728240211</v>
      </c>
    </row>
    <row r="1368">
      <c r="A1368" t="inlineStr">
        <is>
          <t>Canada</t>
        </is>
      </c>
      <c r="B1368" t="inlineStr">
        <is>
          <t>CAN</t>
        </is>
      </c>
      <c r="C1368" t="n">
        <v>1974</v>
      </c>
      <c r="D1368" t="n">
        <v>10.997171145686</v>
      </c>
    </row>
    <row r="1369">
      <c r="A1369" t="inlineStr">
        <is>
          <t>Canada</t>
        </is>
      </c>
      <c r="B1369" t="inlineStr">
        <is>
          <t>CAN</t>
        </is>
      </c>
      <c r="C1369" t="n">
        <v>1975</v>
      </c>
      <c r="D1369" t="n">
        <v>10.672188595094</v>
      </c>
    </row>
    <row r="1370">
      <c r="A1370" t="inlineStr">
        <is>
          <t>Canada</t>
        </is>
      </c>
      <c r="B1370" t="inlineStr">
        <is>
          <t>CAN</t>
        </is>
      </c>
      <c r="C1370" t="n">
        <v>1976</v>
      </c>
      <c r="D1370" t="n">
        <v>7.54173862982148</v>
      </c>
    </row>
    <row r="1371">
      <c r="A1371" t="inlineStr">
        <is>
          <t>Canada</t>
        </is>
      </c>
      <c r="B1371" t="inlineStr">
        <is>
          <t>CAN</t>
        </is>
      </c>
      <c r="C1371" t="n">
        <v>1977</v>
      </c>
      <c r="D1371" t="n">
        <v>7.9764453961457</v>
      </c>
    </row>
    <row r="1372">
      <c r="A1372" t="inlineStr">
        <is>
          <t>Canada</t>
        </is>
      </c>
      <c r="B1372" t="inlineStr">
        <is>
          <t>CAN</t>
        </is>
      </c>
      <c r="C1372" t="n">
        <v>1978</v>
      </c>
      <c r="D1372" t="n">
        <v>8.97372335151214</v>
      </c>
    </row>
    <row r="1373">
      <c r="A1373" t="inlineStr">
        <is>
          <t>Canada</t>
        </is>
      </c>
      <c r="B1373" t="inlineStr">
        <is>
          <t>CAN</t>
        </is>
      </c>
      <c r="C1373" t="n">
        <v>1979</v>
      </c>
      <c r="D1373" t="n">
        <v>9.144676979071811</v>
      </c>
    </row>
    <row r="1374">
      <c r="A1374" t="inlineStr">
        <is>
          <t>Canada</t>
        </is>
      </c>
      <c r="B1374" t="inlineStr">
        <is>
          <t>CAN</t>
        </is>
      </c>
      <c r="C1374" t="n">
        <v>1980</v>
      </c>
      <c r="D1374" t="n">
        <v>10.1292205085453</v>
      </c>
    </row>
    <row r="1375">
      <c r="A1375" t="inlineStr">
        <is>
          <t>Canada</t>
        </is>
      </c>
      <c r="B1375" t="inlineStr">
        <is>
          <t>CAN</t>
        </is>
      </c>
      <c r="C1375" t="n">
        <v>1981</v>
      </c>
      <c r="D1375" t="n">
        <v>12.4716124148372</v>
      </c>
    </row>
    <row r="1376">
      <c r="A1376" t="inlineStr">
        <is>
          <t>Canada</t>
        </is>
      </c>
      <c r="B1376" t="inlineStr">
        <is>
          <t>CAN</t>
        </is>
      </c>
      <c r="C1376" t="n">
        <v>1982</v>
      </c>
      <c r="D1376" t="n">
        <v>10.7689718997139</v>
      </c>
    </row>
    <row r="1377">
      <c r="A1377" t="inlineStr">
        <is>
          <t>Canada</t>
        </is>
      </c>
      <c r="B1377" t="inlineStr">
        <is>
          <t>CAN</t>
        </is>
      </c>
      <c r="C1377" t="n">
        <v>1983</v>
      </c>
      <c r="D1377" t="n">
        <v>5.86358802977368</v>
      </c>
    </row>
    <row r="1378">
      <c r="A1378" t="inlineStr">
        <is>
          <t>Canada</t>
        </is>
      </c>
      <c r="B1378" t="inlineStr">
        <is>
          <t>CAN</t>
        </is>
      </c>
      <c r="C1378" t="n">
        <v>1984</v>
      </c>
      <c r="D1378" t="n">
        <v>4.30477830391737</v>
      </c>
    </row>
    <row r="1379">
      <c r="A1379" t="inlineStr">
        <is>
          <t>Canada</t>
        </is>
      </c>
      <c r="B1379" t="inlineStr">
        <is>
          <t>CAN</t>
        </is>
      </c>
      <c r="C1379" t="n">
        <v>1985</v>
      </c>
      <c r="D1379" t="n">
        <v>3.96203054065205</v>
      </c>
    </row>
    <row r="1380">
      <c r="A1380" t="inlineStr">
        <is>
          <t>Canada</t>
        </is>
      </c>
      <c r="B1380" t="inlineStr">
        <is>
          <t>CAN</t>
        </is>
      </c>
      <c r="C1380" t="n">
        <v>1986</v>
      </c>
      <c r="D1380" t="n">
        <v>4.19478629085621</v>
      </c>
    </row>
    <row r="1381">
      <c r="A1381" t="inlineStr">
        <is>
          <t>Canada</t>
        </is>
      </c>
      <c r="B1381" t="inlineStr">
        <is>
          <t>CAN</t>
        </is>
      </c>
      <c r="C1381" t="n">
        <v>1987</v>
      </c>
      <c r="D1381" t="n">
        <v>4.3561087122174</v>
      </c>
    </row>
    <row r="1382">
      <c r="A1382" t="inlineStr">
        <is>
          <t>Canada</t>
        </is>
      </c>
      <c r="B1382" t="inlineStr">
        <is>
          <t>CAN</t>
        </is>
      </c>
      <c r="C1382" t="n">
        <v>1988</v>
      </c>
      <c r="D1382" t="n">
        <v>4.02823414871611</v>
      </c>
    </row>
    <row r="1383">
      <c r="A1383" t="inlineStr">
        <is>
          <t>Canada</t>
        </is>
      </c>
      <c r="B1383" t="inlineStr">
        <is>
          <t>CAN</t>
        </is>
      </c>
      <c r="C1383" t="n">
        <v>1989</v>
      </c>
      <c r="D1383" t="n">
        <v>4.98362189985958</v>
      </c>
    </row>
    <row r="1384">
      <c r="A1384" t="inlineStr">
        <is>
          <t>Canada</t>
        </is>
      </c>
      <c r="B1384" t="inlineStr">
        <is>
          <t>CAN</t>
        </is>
      </c>
      <c r="C1384" t="n">
        <v>1990</v>
      </c>
      <c r="D1384" t="n">
        <v>4.78047693336304</v>
      </c>
    </row>
    <row r="1385">
      <c r="A1385" t="inlineStr">
        <is>
          <t>Canada</t>
        </is>
      </c>
      <c r="B1385" t="inlineStr">
        <is>
          <t>CAN</t>
        </is>
      </c>
      <c r="C1385" t="n">
        <v>1991</v>
      </c>
      <c r="D1385" t="n">
        <v>5.62586408593005</v>
      </c>
    </row>
    <row r="1386">
      <c r="A1386" t="inlineStr">
        <is>
          <t>Canada</t>
        </is>
      </c>
      <c r="B1386" t="inlineStr">
        <is>
          <t>CAN</t>
        </is>
      </c>
      <c r="C1386" t="n">
        <v>1992</v>
      </c>
      <c r="D1386" t="n">
        <v>1.49013290374545</v>
      </c>
    </row>
    <row r="1387">
      <c r="A1387" t="inlineStr">
        <is>
          <t>Canada</t>
        </is>
      </c>
      <c r="B1387" t="inlineStr">
        <is>
          <t>CAN</t>
        </is>
      </c>
      <c r="C1387" t="n">
        <v>1993</v>
      </c>
      <c r="D1387" t="n">
        <v>1.86507936507939</v>
      </c>
    </row>
    <row r="1388">
      <c r="A1388" t="inlineStr">
        <is>
          <t>Canada</t>
        </is>
      </c>
      <c r="B1388" t="inlineStr">
        <is>
          <t>CAN</t>
        </is>
      </c>
      <c r="C1388" t="n">
        <v>1994</v>
      </c>
      <c r="D1388" t="n">
        <v>0.165562913907291</v>
      </c>
    </row>
    <row r="1389">
      <c r="A1389" t="inlineStr">
        <is>
          <t>Canada</t>
        </is>
      </c>
      <c r="B1389" t="inlineStr">
        <is>
          <t>CAN</t>
        </is>
      </c>
      <c r="C1389" t="n">
        <v>1995</v>
      </c>
      <c r="D1389" t="n">
        <v>2.14876033057849</v>
      </c>
    </row>
    <row r="1390">
      <c r="A1390" t="inlineStr">
        <is>
          <t>Canada</t>
        </is>
      </c>
      <c r="B1390" t="inlineStr">
        <is>
          <t>CAN</t>
        </is>
      </c>
      <c r="C1390" t="n">
        <v>1996</v>
      </c>
      <c r="D1390" t="n">
        <v>1.57053112507138</v>
      </c>
    </row>
    <row r="1391">
      <c r="A1391" t="inlineStr">
        <is>
          <t>Canada</t>
        </is>
      </c>
      <c r="B1391" t="inlineStr">
        <is>
          <t>CAN</t>
        </is>
      </c>
      <c r="C1391" t="n">
        <v>1997</v>
      </c>
      <c r="D1391" t="n">
        <v>1.62121638084531</v>
      </c>
    </row>
    <row r="1392">
      <c r="A1392" t="inlineStr">
        <is>
          <t>Canada</t>
        </is>
      </c>
      <c r="B1392" t="inlineStr">
        <is>
          <t>CAN</t>
        </is>
      </c>
      <c r="C1392" t="n">
        <v>1998</v>
      </c>
      <c r="D1392" t="n">
        <v>0.9959424566580199</v>
      </c>
    </row>
    <row r="1393">
      <c r="A1393" t="inlineStr">
        <is>
          <t>Canada</t>
        </is>
      </c>
      <c r="B1393" t="inlineStr">
        <is>
          <t>CAN</t>
        </is>
      </c>
      <c r="C1393" t="n">
        <v>1999</v>
      </c>
      <c r="D1393" t="n">
        <v>1.73484295105918</v>
      </c>
    </row>
    <row r="1394">
      <c r="A1394" t="inlineStr">
        <is>
          <t>Canada</t>
        </is>
      </c>
      <c r="B1394" t="inlineStr">
        <is>
          <t>CAN</t>
        </is>
      </c>
      <c r="C1394" t="n">
        <v>2000</v>
      </c>
      <c r="D1394" t="n">
        <v>2.71943995691976</v>
      </c>
    </row>
    <row r="1395">
      <c r="A1395" t="inlineStr">
        <is>
          <t>Canada</t>
        </is>
      </c>
      <c r="B1395" t="inlineStr">
        <is>
          <t>CAN</t>
        </is>
      </c>
      <c r="C1395" t="n">
        <v>2001</v>
      </c>
      <c r="D1395" t="n">
        <v>2.52512013979906</v>
      </c>
    </row>
    <row r="1396">
      <c r="A1396" t="inlineStr">
        <is>
          <t>Canada</t>
        </is>
      </c>
      <c r="B1396" t="inlineStr">
        <is>
          <t>CAN</t>
        </is>
      </c>
      <c r="C1396" t="n">
        <v>2002</v>
      </c>
      <c r="D1396" t="n">
        <v>2.25839440940855</v>
      </c>
    </row>
    <row r="1397">
      <c r="A1397" t="inlineStr">
        <is>
          <t>Canada</t>
        </is>
      </c>
      <c r="B1397" t="inlineStr">
        <is>
          <t>CAN</t>
        </is>
      </c>
      <c r="C1397" t="n">
        <v>2003</v>
      </c>
      <c r="D1397" t="n">
        <v>2.75856321360112</v>
      </c>
    </row>
    <row r="1398">
      <c r="A1398" t="inlineStr">
        <is>
          <t>Canada</t>
        </is>
      </c>
      <c r="B1398" t="inlineStr">
        <is>
          <t>CAN</t>
        </is>
      </c>
      <c r="C1398" t="n">
        <v>2004</v>
      </c>
      <c r="D1398" t="n">
        <v>1.85725871857256</v>
      </c>
    </row>
    <row r="1399">
      <c r="A1399" t="inlineStr">
        <is>
          <t>Canada</t>
        </is>
      </c>
      <c r="B1399" t="inlineStr">
        <is>
          <t>CAN</t>
        </is>
      </c>
      <c r="C1399" t="n">
        <v>2005</v>
      </c>
      <c r="D1399" t="n">
        <v>2.21355203439767</v>
      </c>
    </row>
    <row r="1400">
      <c r="A1400" t="inlineStr">
        <is>
          <t>Canada</t>
        </is>
      </c>
      <c r="B1400" t="inlineStr">
        <is>
          <t>CAN</t>
        </is>
      </c>
      <c r="C1400" t="n">
        <v>2006</v>
      </c>
      <c r="D1400" t="n">
        <v>2.00202539534161</v>
      </c>
    </row>
    <row r="1401">
      <c r="A1401" t="inlineStr">
        <is>
          <t>Canada</t>
        </is>
      </c>
      <c r="B1401" t="inlineStr">
        <is>
          <t>CAN</t>
        </is>
      </c>
      <c r="C1401" t="n">
        <v>2007</v>
      </c>
      <c r="D1401" t="n">
        <v>2.13838399266837</v>
      </c>
    </row>
    <row r="1402">
      <c r="A1402" t="inlineStr">
        <is>
          <t>Canada</t>
        </is>
      </c>
      <c r="B1402" t="inlineStr">
        <is>
          <t>CAN</t>
        </is>
      </c>
      <c r="C1402" t="n">
        <v>2008</v>
      </c>
      <c r="D1402" t="n">
        <v>2.37027067444299</v>
      </c>
    </row>
    <row r="1403">
      <c r="A1403" t="inlineStr">
        <is>
          <t>Canada</t>
        </is>
      </c>
      <c r="B1403" t="inlineStr">
        <is>
          <t>CAN</t>
        </is>
      </c>
      <c r="C1403" t="n">
        <v>2009</v>
      </c>
      <c r="D1403" t="n">
        <v>0.299466803009299</v>
      </c>
    </row>
    <row r="1404">
      <c r="A1404" t="inlineStr">
        <is>
          <t>Canada</t>
        </is>
      </c>
      <c r="B1404" t="inlineStr">
        <is>
          <t>CAN</t>
        </is>
      </c>
      <c r="C1404" t="n">
        <v>2010</v>
      </c>
      <c r="D1404" t="n">
        <v>1.77687154092627</v>
      </c>
    </row>
    <row r="1405">
      <c r="A1405" t="inlineStr">
        <is>
          <t>Canada</t>
        </is>
      </c>
      <c r="B1405" t="inlineStr">
        <is>
          <t>CAN</t>
        </is>
      </c>
      <c r="C1405" t="n">
        <v>2011</v>
      </c>
      <c r="D1405" t="n">
        <v>2.91213508872351</v>
      </c>
    </row>
    <row r="1406">
      <c r="A1406" t="inlineStr">
        <is>
          <t>Canada</t>
        </is>
      </c>
      <c r="B1406" t="inlineStr">
        <is>
          <t>CAN</t>
        </is>
      </c>
      <c r="C1406" t="n">
        <v>2012</v>
      </c>
      <c r="D1406" t="n">
        <v>1.51567823124517</v>
      </c>
    </row>
    <row r="1407">
      <c r="A1407" t="inlineStr">
        <is>
          <t>Canada</t>
        </is>
      </c>
      <c r="B1407" t="inlineStr">
        <is>
          <t>CAN</t>
        </is>
      </c>
      <c r="C1407" t="n">
        <v>2013</v>
      </c>
      <c r="D1407" t="n">
        <v>0.938291897815317</v>
      </c>
    </row>
    <row r="1408">
      <c r="A1408" t="inlineStr">
        <is>
          <t>Canada</t>
        </is>
      </c>
      <c r="B1408" t="inlineStr">
        <is>
          <t>CAN</t>
        </is>
      </c>
      <c r="C1408" t="n">
        <v>2014</v>
      </c>
      <c r="D1408" t="n">
        <v>1.90663590717861</v>
      </c>
    </row>
    <row r="1409">
      <c r="A1409" t="inlineStr">
        <is>
          <t>Canada</t>
        </is>
      </c>
      <c r="B1409" t="inlineStr">
        <is>
          <t>CAN</t>
        </is>
      </c>
      <c r="C1409" t="n">
        <v>2015</v>
      </c>
      <c r="D1409" t="n">
        <v>1.12524136094277</v>
      </c>
    </row>
    <row r="1410">
      <c r="A1410" t="inlineStr">
        <is>
          <t>Canada</t>
        </is>
      </c>
      <c r="B1410" t="inlineStr">
        <is>
          <t>CAN</t>
        </is>
      </c>
      <c r="C1410" t="n">
        <v>2016</v>
      </c>
      <c r="D1410" t="n">
        <v>1.42875954701085</v>
      </c>
    </row>
    <row r="1411">
      <c r="A1411" t="inlineStr">
        <is>
          <t>Canada</t>
        </is>
      </c>
      <c r="B1411" t="inlineStr">
        <is>
          <t>CAN</t>
        </is>
      </c>
      <c r="C1411" t="n">
        <v>2017</v>
      </c>
      <c r="D1411" t="n">
        <v>1.59688412852977</v>
      </c>
    </row>
    <row r="1412">
      <c r="A1412" t="inlineStr">
        <is>
          <t>Canada</t>
        </is>
      </c>
      <c r="B1412" t="inlineStr">
        <is>
          <t>CAN</t>
        </is>
      </c>
      <c r="C1412" t="n">
        <v>2018</v>
      </c>
      <c r="D1412" t="n">
        <v>2.26822567248103</v>
      </c>
    </row>
    <row r="1413">
      <c r="A1413" t="inlineStr">
        <is>
          <t>Canada</t>
        </is>
      </c>
      <c r="B1413" t="inlineStr">
        <is>
          <t>CAN</t>
        </is>
      </c>
      <c r="C1413" t="n">
        <v>2019</v>
      </c>
      <c r="D1413" t="n">
        <v>1.94926902411593</v>
      </c>
    </row>
    <row r="1414">
      <c r="A1414" t="inlineStr">
        <is>
          <t>Canada</t>
        </is>
      </c>
      <c r="B1414" t="inlineStr">
        <is>
          <t>CAN</t>
        </is>
      </c>
      <c r="C1414" t="n">
        <v>2020</v>
      </c>
      <c r="D1414" t="n">
        <v>0.716999632307827</v>
      </c>
    </row>
    <row r="1415">
      <c r="A1415" t="inlineStr">
        <is>
          <t>Canada</t>
        </is>
      </c>
      <c r="B1415" t="inlineStr">
        <is>
          <t>CAN</t>
        </is>
      </c>
      <c r="C1415" t="n">
        <v>2021</v>
      </c>
      <c r="D1415" t="n">
        <v>3.39519318527528</v>
      </c>
    </row>
    <row r="1416">
      <c r="A1416" t="inlineStr">
        <is>
          <t>Canada</t>
        </is>
      </c>
      <c r="B1416" t="inlineStr">
        <is>
          <t>CAN</t>
        </is>
      </c>
      <c r="C1416" t="n">
        <v>2022</v>
      </c>
      <c r="D1416" t="n">
        <v>6.80280115341613</v>
      </c>
    </row>
    <row r="1417">
      <c r="A1417" t="inlineStr">
        <is>
          <t>Canada</t>
        </is>
      </c>
      <c r="B1417" t="inlineStr">
        <is>
          <t>CAN</t>
        </is>
      </c>
      <c r="C1417" t="n">
        <v>2023</v>
      </c>
      <c r="D1417" t="n">
        <v>3.87900159788426</v>
      </c>
    </row>
    <row r="1418">
      <c r="A1418" t="inlineStr">
        <is>
          <t>Canada</t>
        </is>
      </c>
      <c r="B1418" t="inlineStr">
        <is>
          <t>CAN</t>
        </is>
      </c>
      <c r="C1418" t="n">
        <v>2024</v>
      </c>
      <c r="D1418" t="n">
        <v>2.38158383281173</v>
      </c>
    </row>
    <row r="1419">
      <c r="A1419" t="inlineStr">
        <is>
          <t>Central Europe and the Baltics</t>
        </is>
      </c>
      <c r="B1419" t="inlineStr">
        <is>
          <t>CEB</t>
        </is>
      </c>
      <c r="C1419" t="n">
        <v>1991</v>
      </c>
      <c r="D1419" t="n">
        <v>118.527578905984</v>
      </c>
    </row>
    <row r="1420">
      <c r="A1420" t="inlineStr">
        <is>
          <t>Central Europe and the Baltics</t>
        </is>
      </c>
      <c r="B1420" t="inlineStr">
        <is>
          <t>CEB</t>
        </is>
      </c>
      <c r="C1420" t="n">
        <v>1992</v>
      </c>
      <c r="D1420" t="n">
        <v>150.615831956876</v>
      </c>
    </row>
    <row r="1421">
      <c r="A1421" t="inlineStr">
        <is>
          <t>Central Europe and the Baltics</t>
        </is>
      </c>
      <c r="B1421" t="inlineStr">
        <is>
          <t>CEB</t>
        </is>
      </c>
      <c r="C1421" t="n">
        <v>1993</v>
      </c>
      <c r="D1421" t="n">
        <v>72.8787913866333</v>
      </c>
    </row>
    <row r="1422">
      <c r="A1422" t="inlineStr">
        <is>
          <t>Central Europe and the Baltics</t>
        </is>
      </c>
      <c r="B1422" t="inlineStr">
        <is>
          <t>CEB</t>
        </is>
      </c>
      <c r="C1422" t="n">
        <v>1994</v>
      </c>
      <c r="D1422" t="n">
        <v>35.9247053929642</v>
      </c>
    </row>
    <row r="1423">
      <c r="A1423" t="inlineStr">
        <is>
          <t>Central Europe and the Baltics</t>
        </is>
      </c>
      <c r="B1423" t="inlineStr">
        <is>
          <t>CEB</t>
        </is>
      </c>
      <c r="C1423" t="n">
        <v>1995</v>
      </c>
      <c r="D1423" t="n">
        <v>27.951388563304</v>
      </c>
    </row>
    <row r="1424">
      <c r="A1424" t="inlineStr">
        <is>
          <t>Central Europe and the Baltics</t>
        </is>
      </c>
      <c r="B1424" t="inlineStr">
        <is>
          <t>CEB</t>
        </is>
      </c>
      <c r="C1424" t="n">
        <v>1996</v>
      </c>
      <c r="D1424" t="n">
        <v>19.7949669196707</v>
      </c>
    </row>
    <row r="1425">
      <c r="A1425" t="inlineStr">
        <is>
          <t>Central Europe and the Baltics</t>
        </is>
      </c>
      <c r="B1425" t="inlineStr">
        <is>
          <t>CEB</t>
        </is>
      </c>
      <c r="C1425" t="n">
        <v>1997</v>
      </c>
      <c r="D1425" t="n">
        <v>8.881048484658921</v>
      </c>
    </row>
    <row r="1426">
      <c r="A1426" t="inlineStr">
        <is>
          <t>Central Europe and the Baltics</t>
        </is>
      </c>
      <c r="B1426" t="inlineStr">
        <is>
          <t>CEB</t>
        </is>
      </c>
      <c r="C1426" t="n">
        <v>1998</v>
      </c>
      <c r="D1426" t="n">
        <v>8.20833333333298</v>
      </c>
    </row>
    <row r="1427">
      <c r="A1427" t="inlineStr">
        <is>
          <t>Central Europe and the Baltics</t>
        </is>
      </c>
      <c r="B1427" t="inlineStr">
        <is>
          <t>CEB</t>
        </is>
      </c>
      <c r="C1427" t="n">
        <v>1999</v>
      </c>
      <c r="D1427" t="n">
        <v>4.01913875598086</v>
      </c>
    </row>
    <row r="1428">
      <c r="A1428" t="inlineStr">
        <is>
          <t>Central Europe and the Baltics</t>
        </is>
      </c>
      <c r="B1428" t="inlineStr">
        <is>
          <t>CEB</t>
        </is>
      </c>
      <c r="C1428" t="n">
        <v>2000</v>
      </c>
      <c r="D1428" t="n">
        <v>8.91174418658769</v>
      </c>
    </row>
    <row r="1429">
      <c r="A1429" t="inlineStr">
        <is>
          <t>Central Europe and the Baltics</t>
        </is>
      </c>
      <c r="B1429" t="inlineStr">
        <is>
          <t>CEB</t>
        </is>
      </c>
      <c r="C1429" t="n">
        <v>2001</v>
      </c>
      <c r="D1429" t="n">
        <v>5.74827981651373</v>
      </c>
    </row>
    <row r="1430">
      <c r="A1430" t="inlineStr">
        <is>
          <t>Central Europe and the Baltics</t>
        </is>
      </c>
      <c r="B1430" t="inlineStr">
        <is>
          <t>CEB</t>
        </is>
      </c>
      <c r="C1430" t="n">
        <v>2002</v>
      </c>
      <c r="D1430" t="n">
        <v>3.12714222984608</v>
      </c>
    </row>
    <row r="1431">
      <c r="A1431" t="inlineStr">
        <is>
          <t>Central Europe and the Baltics</t>
        </is>
      </c>
      <c r="B1431" t="inlineStr">
        <is>
          <t>CEB</t>
        </is>
      </c>
      <c r="C1431" t="n">
        <v>2003</v>
      </c>
      <c r="D1431" t="n">
        <v>2.34864169582755</v>
      </c>
    </row>
    <row r="1432">
      <c r="A1432" t="inlineStr">
        <is>
          <t>Central Europe and the Baltics</t>
        </is>
      </c>
      <c r="B1432" t="inlineStr">
        <is>
          <t>CEB</t>
        </is>
      </c>
      <c r="C1432" t="n">
        <v>2004</v>
      </c>
      <c r="D1432" t="n">
        <v>3.59297594249509</v>
      </c>
    </row>
    <row r="1433">
      <c r="A1433" t="inlineStr">
        <is>
          <t>Central Europe and the Baltics</t>
        </is>
      </c>
      <c r="B1433" t="inlineStr">
        <is>
          <t>CEB</t>
        </is>
      </c>
      <c r="C1433" t="n">
        <v>2005</v>
      </c>
      <c r="D1433" t="n">
        <v>3.31717824448045</v>
      </c>
    </row>
    <row r="1434">
      <c r="A1434" t="inlineStr">
        <is>
          <t>Central Europe and the Baltics</t>
        </is>
      </c>
      <c r="B1434" t="inlineStr">
        <is>
          <t>CEB</t>
        </is>
      </c>
      <c r="C1434" t="n">
        <v>2006</v>
      </c>
      <c r="D1434" t="n">
        <v>3.93032603841001</v>
      </c>
    </row>
    <row r="1435">
      <c r="A1435" t="inlineStr">
        <is>
          <t>Central Europe and the Baltics</t>
        </is>
      </c>
      <c r="B1435" t="inlineStr">
        <is>
          <t>CEB</t>
        </is>
      </c>
      <c r="C1435" t="n">
        <v>2007</v>
      </c>
      <c r="D1435" t="n">
        <v>4.83732928313989</v>
      </c>
    </row>
    <row r="1436">
      <c r="A1436" t="inlineStr">
        <is>
          <t>Central Europe and the Baltics</t>
        </is>
      </c>
      <c r="B1436" t="inlineStr">
        <is>
          <t>CEB</t>
        </is>
      </c>
      <c r="C1436" t="n">
        <v>2008</v>
      </c>
      <c r="D1436" t="n">
        <v>6.35866380152373</v>
      </c>
    </row>
    <row r="1437">
      <c r="A1437" t="inlineStr">
        <is>
          <t>Central Europe and the Baltics</t>
        </is>
      </c>
      <c r="B1437" t="inlineStr">
        <is>
          <t>CEB</t>
        </is>
      </c>
      <c r="C1437" t="n">
        <v>2009</v>
      </c>
      <c r="D1437" t="n">
        <v>2.75320223914816</v>
      </c>
    </row>
    <row r="1438">
      <c r="A1438" t="inlineStr">
        <is>
          <t>Central Europe and the Baltics</t>
        </is>
      </c>
      <c r="B1438" t="inlineStr">
        <is>
          <t>CEB</t>
        </is>
      </c>
      <c r="C1438" t="n">
        <v>2010</v>
      </c>
      <c r="D1438" t="n">
        <v>1.80117022137134</v>
      </c>
    </row>
    <row r="1439">
      <c r="A1439" t="inlineStr">
        <is>
          <t>Central Europe and the Baltics</t>
        </is>
      </c>
      <c r="B1439" t="inlineStr">
        <is>
          <t>CEB</t>
        </is>
      </c>
      <c r="C1439" t="n">
        <v>2011</v>
      </c>
      <c r="D1439" t="n">
        <v>4.13027562645085</v>
      </c>
    </row>
    <row r="1440">
      <c r="A1440" t="inlineStr">
        <is>
          <t>Central Europe and the Baltics</t>
        </is>
      </c>
      <c r="B1440" t="inlineStr">
        <is>
          <t>CEB</t>
        </is>
      </c>
      <c r="C1440" t="n">
        <v>2012</v>
      </c>
      <c r="D1440" t="n">
        <v>3.33492267693442</v>
      </c>
    </row>
    <row r="1441">
      <c r="A1441" t="inlineStr">
        <is>
          <t>Central Europe and the Baltics</t>
        </is>
      </c>
      <c r="B1441" t="inlineStr">
        <is>
          <t>CEB</t>
        </is>
      </c>
      <c r="C1441" t="n">
        <v>2013</v>
      </c>
      <c r="D1441" t="n">
        <v>1.4382978723404</v>
      </c>
    </row>
    <row r="1442">
      <c r="A1442" t="inlineStr">
        <is>
          <t>Central Europe and the Baltics</t>
        </is>
      </c>
      <c r="B1442" t="inlineStr">
        <is>
          <t>CEB</t>
        </is>
      </c>
      <c r="C1442" t="n">
        <v>2014</v>
      </c>
      <c r="D1442" t="n">
        <v>0.0538213132399802</v>
      </c>
    </row>
    <row r="1443">
      <c r="A1443" t="inlineStr">
        <is>
          <t>Central Europe and the Baltics</t>
        </is>
      </c>
      <c r="B1443" t="inlineStr">
        <is>
          <t>CEB</t>
        </is>
      </c>
      <c r="C1443" t="n">
        <v>2015</v>
      </c>
      <c r="D1443" t="n">
        <v>-0.464499004644911</v>
      </c>
    </row>
    <row r="1444">
      <c r="A1444" t="inlineStr">
        <is>
          <t>Central Europe and the Baltics</t>
        </is>
      </c>
      <c r="B1444" t="inlineStr">
        <is>
          <t>CEB</t>
        </is>
      </c>
      <c r="C1444" t="n">
        <v>2016</v>
      </c>
      <c r="D1444" t="n">
        <v>-0.054999541670474</v>
      </c>
    </row>
    <row r="1445">
      <c r="A1445" t="inlineStr">
        <is>
          <t>Central Europe and the Baltics</t>
        </is>
      </c>
      <c r="B1445" t="inlineStr">
        <is>
          <t>CEB</t>
        </is>
      </c>
      <c r="C1445" t="n">
        <v>2017</v>
      </c>
      <c r="D1445" t="n">
        <v>2.0759355367385</v>
      </c>
    </row>
    <row r="1446">
      <c r="A1446" t="inlineStr">
        <is>
          <t>Central Europe and the Baltics</t>
        </is>
      </c>
      <c r="B1446" t="inlineStr">
        <is>
          <t>CEB</t>
        </is>
      </c>
      <c r="C1446" t="n">
        <v>2018</v>
      </c>
      <c r="D1446" t="n">
        <v>2.53445424186598</v>
      </c>
    </row>
    <row r="1447">
      <c r="A1447" t="inlineStr">
        <is>
          <t>Central Europe and the Baltics</t>
        </is>
      </c>
      <c r="B1447" t="inlineStr">
        <is>
          <t>CEB</t>
        </is>
      </c>
      <c r="C1447" t="n">
        <v>2019</v>
      </c>
      <c r="D1447" t="n">
        <v>2.66456133425431</v>
      </c>
    </row>
    <row r="1448">
      <c r="A1448" t="inlineStr">
        <is>
          <t>Central Europe and the Baltics</t>
        </is>
      </c>
      <c r="B1448" t="inlineStr">
        <is>
          <t>CEB</t>
        </is>
      </c>
      <c r="C1448" t="n">
        <v>2020</v>
      </c>
      <c r="D1448" t="n">
        <v>1.67244096855756</v>
      </c>
    </row>
    <row r="1449">
      <c r="A1449" t="inlineStr">
        <is>
          <t>Central Europe and the Baltics</t>
        </is>
      </c>
      <c r="B1449" t="inlineStr">
        <is>
          <t>CEB</t>
        </is>
      </c>
      <c r="C1449" t="n">
        <v>2021</v>
      </c>
      <c r="D1449" t="n">
        <v>3.83984491500146</v>
      </c>
    </row>
    <row r="1450">
      <c r="A1450" t="inlineStr">
        <is>
          <t>Central Europe and the Baltics</t>
        </is>
      </c>
      <c r="B1450" t="inlineStr">
        <is>
          <t>CEB</t>
        </is>
      </c>
      <c r="C1450" t="n">
        <v>2022</v>
      </c>
      <c r="D1450" t="n">
        <v>14.6081439492433</v>
      </c>
    </row>
    <row r="1451">
      <c r="A1451" t="inlineStr">
        <is>
          <t>Central Europe and the Baltics</t>
        </is>
      </c>
      <c r="B1451" t="inlineStr">
        <is>
          <t>CEB</t>
        </is>
      </c>
      <c r="C1451" t="n">
        <v>2023</v>
      </c>
      <c r="D1451" t="n">
        <v>9.442841400885641</v>
      </c>
    </row>
    <row r="1452">
      <c r="A1452" t="inlineStr">
        <is>
          <t>Switzerland</t>
        </is>
      </c>
      <c r="B1452" t="inlineStr">
        <is>
          <t>CHE</t>
        </is>
      </c>
      <c r="C1452" t="n">
        <v>1960</v>
      </c>
      <c r="D1452" t="n">
        <v>1.43879470321092</v>
      </c>
    </row>
    <row r="1453">
      <c r="A1453" t="inlineStr">
        <is>
          <t>Switzerland</t>
        </is>
      </c>
      <c r="B1453" t="inlineStr">
        <is>
          <t>CHE</t>
        </is>
      </c>
      <c r="C1453" t="n">
        <v>1961</v>
      </c>
      <c r="D1453" t="n">
        <v>1.84539787448658</v>
      </c>
    </row>
    <row r="1454">
      <c r="A1454" t="inlineStr">
        <is>
          <t>Switzerland</t>
        </is>
      </c>
      <c r="B1454" t="inlineStr">
        <is>
          <t>CHE</t>
        </is>
      </c>
      <c r="C1454" t="n">
        <v>1962</v>
      </c>
      <c r="D1454" t="n">
        <v>4.31599287754389</v>
      </c>
    </row>
    <row r="1455">
      <c r="A1455" t="inlineStr">
        <is>
          <t>Switzerland</t>
        </is>
      </c>
      <c r="B1455" t="inlineStr">
        <is>
          <t>CHE</t>
        </is>
      </c>
      <c r="C1455" t="n">
        <v>1963</v>
      </c>
      <c r="D1455" t="n">
        <v>3.44021288042955</v>
      </c>
    </row>
    <row r="1456">
      <c r="A1456" t="inlineStr">
        <is>
          <t>Switzerland</t>
        </is>
      </c>
      <c r="B1456" t="inlineStr">
        <is>
          <t>CHE</t>
        </is>
      </c>
      <c r="C1456" t="n">
        <v>1964</v>
      </c>
      <c r="D1456" t="n">
        <v>3.08055687101806</v>
      </c>
    </row>
    <row r="1457">
      <c r="A1457" t="inlineStr">
        <is>
          <t>Switzerland</t>
        </is>
      </c>
      <c r="B1457" t="inlineStr">
        <is>
          <t>CHE</t>
        </is>
      </c>
      <c r="C1457" t="n">
        <v>1965</v>
      </c>
      <c r="D1457" t="n">
        <v>3.4144786084618</v>
      </c>
    </row>
    <row r="1458">
      <c r="A1458" t="inlineStr">
        <is>
          <t>Switzerland</t>
        </is>
      </c>
      <c r="B1458" t="inlineStr">
        <is>
          <t>CHE</t>
        </is>
      </c>
      <c r="C1458" t="n">
        <v>1966</v>
      </c>
      <c r="D1458" t="n">
        <v>4.77597959563696</v>
      </c>
    </row>
    <row r="1459">
      <c r="A1459" t="inlineStr">
        <is>
          <t>Switzerland</t>
        </is>
      </c>
      <c r="B1459" t="inlineStr">
        <is>
          <t>CHE</t>
        </is>
      </c>
      <c r="C1459" t="n">
        <v>1967</v>
      </c>
      <c r="D1459" t="n">
        <v>4.00519621563871</v>
      </c>
    </row>
    <row r="1460">
      <c r="A1460" t="inlineStr">
        <is>
          <t>Switzerland</t>
        </is>
      </c>
      <c r="B1460" t="inlineStr">
        <is>
          <t>CHE</t>
        </is>
      </c>
      <c r="C1460" t="n">
        <v>1968</v>
      </c>
      <c r="D1460" t="n">
        <v>2.39582226957016</v>
      </c>
    </row>
    <row r="1461">
      <c r="A1461" t="inlineStr">
        <is>
          <t>Switzerland</t>
        </is>
      </c>
      <c r="B1461" t="inlineStr">
        <is>
          <t>CHE</t>
        </is>
      </c>
      <c r="C1461" t="n">
        <v>1969</v>
      </c>
      <c r="D1461" t="n">
        <v>2.48903598959377</v>
      </c>
    </row>
    <row r="1462">
      <c r="A1462" t="inlineStr">
        <is>
          <t>Switzerland</t>
        </is>
      </c>
      <c r="B1462" t="inlineStr">
        <is>
          <t>CHE</t>
        </is>
      </c>
      <c r="C1462" t="n">
        <v>1970</v>
      </c>
      <c r="D1462" t="n">
        <v>3.61598678629518</v>
      </c>
    </row>
    <row r="1463">
      <c r="A1463" t="inlineStr">
        <is>
          <t>Switzerland</t>
        </is>
      </c>
      <c r="B1463" t="inlineStr">
        <is>
          <t>CHE</t>
        </is>
      </c>
      <c r="C1463" t="n">
        <v>1971</v>
      </c>
      <c r="D1463" t="n">
        <v>6.57322111925795</v>
      </c>
    </row>
    <row r="1464">
      <c r="A1464" t="inlineStr">
        <is>
          <t>Switzerland</t>
        </is>
      </c>
      <c r="B1464" t="inlineStr">
        <is>
          <t>CHE</t>
        </is>
      </c>
      <c r="C1464" t="n">
        <v>1972</v>
      </c>
      <c r="D1464" t="n">
        <v>6.66000704160239</v>
      </c>
    </row>
    <row r="1465">
      <c r="A1465" t="inlineStr">
        <is>
          <t>Switzerland</t>
        </is>
      </c>
      <c r="B1465" t="inlineStr">
        <is>
          <t>CHE</t>
        </is>
      </c>
      <c r="C1465" t="n">
        <v>1973</v>
      </c>
      <c r="D1465" t="n">
        <v>8.754670330246389</v>
      </c>
    </row>
    <row r="1466">
      <c r="A1466" t="inlineStr">
        <is>
          <t>Switzerland</t>
        </is>
      </c>
      <c r="B1466" t="inlineStr">
        <is>
          <t>CHE</t>
        </is>
      </c>
      <c r="C1466" t="n">
        <v>1974</v>
      </c>
      <c r="D1466" t="n">
        <v>9.767414319130239</v>
      </c>
    </row>
    <row r="1467">
      <c r="A1467" t="inlineStr">
        <is>
          <t>Switzerland</t>
        </is>
      </c>
      <c r="B1467" t="inlineStr">
        <is>
          <t>CHE</t>
        </is>
      </c>
      <c r="C1467" t="n">
        <v>1975</v>
      </c>
      <c r="D1467" t="n">
        <v>6.6965952250783</v>
      </c>
    </row>
    <row r="1468">
      <c r="A1468" t="inlineStr">
        <is>
          <t>Switzerland</t>
        </is>
      </c>
      <c r="B1468" t="inlineStr">
        <is>
          <t>CHE</t>
        </is>
      </c>
      <c r="C1468" t="n">
        <v>1976</v>
      </c>
      <c r="D1468" t="n">
        <v>1.71547632285655</v>
      </c>
    </row>
    <row r="1469">
      <c r="A1469" t="inlineStr">
        <is>
          <t>Switzerland</t>
        </is>
      </c>
      <c r="B1469" t="inlineStr">
        <is>
          <t>CHE</t>
        </is>
      </c>
      <c r="C1469" t="n">
        <v>1977</v>
      </c>
      <c r="D1469" t="n">
        <v>1.29599916278321</v>
      </c>
    </row>
    <row r="1470">
      <c r="A1470" t="inlineStr">
        <is>
          <t>Switzerland</t>
        </is>
      </c>
      <c r="B1470" t="inlineStr">
        <is>
          <t>CHE</t>
        </is>
      </c>
      <c r="C1470" t="n">
        <v>1978</v>
      </c>
      <c r="D1470" t="n">
        <v>1.02879289487425</v>
      </c>
    </row>
    <row r="1471">
      <c r="A1471" t="inlineStr">
        <is>
          <t>Switzerland</t>
        </is>
      </c>
      <c r="B1471" t="inlineStr">
        <is>
          <t>CHE</t>
        </is>
      </c>
      <c r="C1471" t="n">
        <v>1979</v>
      </c>
      <c r="D1471" t="n">
        <v>3.64764010558785</v>
      </c>
    </row>
    <row r="1472">
      <c r="A1472" t="inlineStr">
        <is>
          <t>Switzerland</t>
        </is>
      </c>
      <c r="B1472" t="inlineStr">
        <is>
          <t>CHE</t>
        </is>
      </c>
      <c r="C1472" t="n">
        <v>1980</v>
      </c>
      <c r="D1472" t="n">
        <v>4.02250084839003</v>
      </c>
    </row>
    <row r="1473">
      <c r="A1473" t="inlineStr">
        <is>
          <t>Switzerland</t>
        </is>
      </c>
      <c r="B1473" t="inlineStr">
        <is>
          <t>CHE</t>
        </is>
      </c>
      <c r="C1473" t="n">
        <v>1981</v>
      </c>
      <c r="D1473" t="n">
        <v>6.49030964005719</v>
      </c>
    </row>
    <row r="1474">
      <c r="A1474" t="inlineStr">
        <is>
          <t>Switzerland</t>
        </is>
      </c>
      <c r="B1474" t="inlineStr">
        <is>
          <t>CHE</t>
        </is>
      </c>
      <c r="C1474" t="n">
        <v>1982</v>
      </c>
      <c r="D1474" t="n">
        <v>5.65510182392343</v>
      </c>
    </row>
    <row r="1475">
      <c r="A1475" t="inlineStr">
        <is>
          <t>Switzerland</t>
        </is>
      </c>
      <c r="B1475" t="inlineStr">
        <is>
          <t>CHE</t>
        </is>
      </c>
      <c r="C1475" t="n">
        <v>1983</v>
      </c>
      <c r="D1475" t="n">
        <v>2.94979443545723</v>
      </c>
    </row>
    <row r="1476">
      <c r="A1476" t="inlineStr">
        <is>
          <t>Switzerland</t>
        </is>
      </c>
      <c r="B1476" t="inlineStr">
        <is>
          <t>CHE</t>
        </is>
      </c>
      <c r="C1476" t="n">
        <v>1984</v>
      </c>
      <c r="D1476" t="n">
        <v>2.93145669136625</v>
      </c>
    </row>
    <row r="1477">
      <c r="A1477" t="inlineStr">
        <is>
          <t>Switzerland</t>
        </is>
      </c>
      <c r="B1477" t="inlineStr">
        <is>
          <t>CHE</t>
        </is>
      </c>
      <c r="C1477" t="n">
        <v>1985</v>
      </c>
      <c r="D1477" t="n">
        <v>3.43539935298269</v>
      </c>
    </row>
    <row r="1478">
      <c r="A1478" t="inlineStr">
        <is>
          <t>Switzerland</t>
        </is>
      </c>
      <c r="B1478" t="inlineStr">
        <is>
          <t>CHE</t>
        </is>
      </c>
      <c r="C1478" t="n">
        <v>1986</v>
      </c>
      <c r="D1478" t="n">
        <v>0.750309839410783</v>
      </c>
    </row>
    <row r="1479">
      <c r="A1479" t="inlineStr">
        <is>
          <t>Switzerland</t>
        </is>
      </c>
      <c r="B1479" t="inlineStr">
        <is>
          <t>CHE</t>
        </is>
      </c>
      <c r="C1479" t="n">
        <v>1987</v>
      </c>
      <c r="D1479" t="n">
        <v>1.44032188041722</v>
      </c>
    </row>
    <row r="1480">
      <c r="A1480" t="inlineStr">
        <is>
          <t>Switzerland</t>
        </is>
      </c>
      <c r="B1480" t="inlineStr">
        <is>
          <t>CHE</t>
        </is>
      </c>
      <c r="C1480" t="n">
        <v>1988</v>
      </c>
      <c r="D1480" t="n">
        <v>1.87246859731873</v>
      </c>
    </row>
    <row r="1481">
      <c r="A1481" t="inlineStr">
        <is>
          <t>Switzerland</t>
        </is>
      </c>
      <c r="B1481" t="inlineStr">
        <is>
          <t>CHE</t>
        </is>
      </c>
      <c r="C1481" t="n">
        <v>1989</v>
      </c>
      <c r="D1481" t="n">
        <v>3.15526979710908</v>
      </c>
    </row>
    <row r="1482">
      <c r="A1482" t="inlineStr">
        <is>
          <t>Switzerland</t>
        </is>
      </c>
      <c r="B1482" t="inlineStr">
        <is>
          <t>CHE</t>
        </is>
      </c>
      <c r="C1482" t="n">
        <v>1990</v>
      </c>
      <c r="D1482" t="n">
        <v>5.4039590921894</v>
      </c>
    </row>
    <row r="1483">
      <c r="A1483" t="inlineStr">
        <is>
          <t>Switzerland</t>
        </is>
      </c>
      <c r="B1483" t="inlineStr">
        <is>
          <t>CHE</t>
        </is>
      </c>
      <c r="C1483" t="n">
        <v>1991</v>
      </c>
      <c r="D1483" t="n">
        <v>5.8595966346867</v>
      </c>
    </row>
    <row r="1484">
      <c r="A1484" t="inlineStr">
        <is>
          <t>Switzerland</t>
        </is>
      </c>
      <c r="B1484" t="inlineStr">
        <is>
          <t>CHE</t>
        </is>
      </c>
      <c r="C1484" t="n">
        <v>1992</v>
      </c>
      <c r="D1484" t="n">
        <v>4.03703020778739</v>
      </c>
    </row>
    <row r="1485">
      <c r="A1485" t="inlineStr">
        <is>
          <t>Switzerland</t>
        </is>
      </c>
      <c r="B1485" t="inlineStr">
        <is>
          <t>CHE</t>
        </is>
      </c>
      <c r="C1485" t="n">
        <v>1993</v>
      </c>
      <c r="D1485" t="n">
        <v>3.29262180313611</v>
      </c>
    </row>
    <row r="1486">
      <c r="A1486" t="inlineStr">
        <is>
          <t>Switzerland</t>
        </is>
      </c>
      <c r="B1486" t="inlineStr">
        <is>
          <t>CHE</t>
        </is>
      </c>
      <c r="C1486" t="n">
        <v>1994</v>
      </c>
      <c r="D1486" t="n">
        <v>0.8521169951207</v>
      </c>
    </row>
    <row r="1487">
      <c r="A1487" t="inlineStr">
        <is>
          <t>Switzerland</t>
        </is>
      </c>
      <c r="B1487" t="inlineStr">
        <is>
          <t>CHE</t>
        </is>
      </c>
      <c r="C1487" t="n">
        <v>1995</v>
      </c>
      <c r="D1487" t="n">
        <v>1.79982776867144</v>
      </c>
    </row>
    <row r="1488">
      <c r="A1488" t="inlineStr">
        <is>
          <t>Switzerland</t>
        </is>
      </c>
      <c r="B1488" t="inlineStr">
        <is>
          <t>CHE</t>
        </is>
      </c>
      <c r="C1488" t="n">
        <v>1996</v>
      </c>
      <c r="D1488" t="n">
        <v>0.811634064628211</v>
      </c>
    </row>
    <row r="1489">
      <c r="A1489" t="inlineStr">
        <is>
          <t>Switzerland</t>
        </is>
      </c>
      <c r="B1489" t="inlineStr">
        <is>
          <t>CHE</t>
        </is>
      </c>
      <c r="C1489" t="n">
        <v>1997</v>
      </c>
      <c r="D1489" t="n">
        <v>0.520225422736652</v>
      </c>
    </row>
    <row r="1490">
      <c r="A1490" t="inlineStr">
        <is>
          <t>Switzerland</t>
        </is>
      </c>
      <c r="B1490" t="inlineStr">
        <is>
          <t>CHE</t>
        </is>
      </c>
      <c r="C1490" t="n">
        <v>1998</v>
      </c>
      <c r="D1490" t="n">
        <v>0.0179384378439098</v>
      </c>
    </row>
    <row r="1491">
      <c r="A1491" t="inlineStr">
        <is>
          <t>Switzerland</t>
        </is>
      </c>
      <c r="B1491" t="inlineStr">
        <is>
          <t>CHE</t>
        </is>
      </c>
      <c r="C1491" t="n">
        <v>1999</v>
      </c>
      <c r="D1491" t="n">
        <v>0.806444380959449</v>
      </c>
    </row>
    <row r="1492">
      <c r="A1492" t="inlineStr">
        <is>
          <t>Switzerland</t>
        </is>
      </c>
      <c r="B1492" t="inlineStr">
        <is>
          <t>CHE</t>
        </is>
      </c>
      <c r="C1492" t="n">
        <v>2000</v>
      </c>
      <c r="D1492" t="n">
        <v>1.5585291967901</v>
      </c>
    </row>
    <row r="1493">
      <c r="A1493" t="inlineStr">
        <is>
          <t>Switzerland</t>
        </is>
      </c>
      <c r="B1493" t="inlineStr">
        <is>
          <t>CHE</t>
        </is>
      </c>
      <c r="C1493" t="n">
        <v>2001</v>
      </c>
      <c r="D1493" t="n">
        <v>0.989020329832546</v>
      </c>
    </row>
    <row r="1494">
      <c r="A1494" t="inlineStr">
        <is>
          <t>Switzerland</t>
        </is>
      </c>
      <c r="B1494" t="inlineStr">
        <is>
          <t>CHE</t>
        </is>
      </c>
      <c r="C1494" t="n">
        <v>2002</v>
      </c>
      <c r="D1494" t="n">
        <v>0.642711506543278</v>
      </c>
    </row>
    <row r="1495">
      <c r="A1495" t="inlineStr">
        <is>
          <t>Switzerland</t>
        </is>
      </c>
      <c r="B1495" t="inlineStr">
        <is>
          <t>CHE</t>
        </is>
      </c>
      <c r="C1495" t="n">
        <v>2003</v>
      </c>
      <c r="D1495" t="n">
        <v>0.6382729308872011</v>
      </c>
    </row>
    <row r="1496">
      <c r="A1496" t="inlineStr">
        <is>
          <t>Switzerland</t>
        </is>
      </c>
      <c r="B1496" t="inlineStr">
        <is>
          <t>CHE</t>
        </is>
      </c>
      <c r="C1496" t="n">
        <v>2004</v>
      </c>
      <c r="D1496" t="n">
        <v>0.802908730955227</v>
      </c>
    </row>
    <row r="1497">
      <c r="A1497" t="inlineStr">
        <is>
          <t>Switzerland</t>
        </is>
      </c>
      <c r="B1497" t="inlineStr">
        <is>
          <t>CHE</t>
        </is>
      </c>
      <c r="C1497" t="n">
        <v>2005</v>
      </c>
      <c r="D1497" t="n">
        <v>1.17195420333703</v>
      </c>
    </row>
    <row r="1498">
      <c r="A1498" t="inlineStr">
        <is>
          <t>Switzerland</t>
        </is>
      </c>
      <c r="B1498" t="inlineStr">
        <is>
          <t>CHE</t>
        </is>
      </c>
      <c r="C1498" t="n">
        <v>2006</v>
      </c>
      <c r="D1498" t="n">
        <v>1.05950928324802</v>
      </c>
    </row>
    <row r="1499">
      <c r="A1499" t="inlineStr">
        <is>
          <t>Switzerland</t>
        </is>
      </c>
      <c r="B1499" t="inlineStr">
        <is>
          <t>CHE</t>
        </is>
      </c>
      <c r="C1499" t="n">
        <v>2007</v>
      </c>
      <c r="D1499" t="n">
        <v>0.732350603122248</v>
      </c>
    </row>
    <row r="1500">
      <c r="A1500" t="inlineStr">
        <is>
          <t>Switzerland</t>
        </is>
      </c>
      <c r="B1500" t="inlineStr">
        <is>
          <t>CHE</t>
        </is>
      </c>
      <c r="C1500" t="n">
        <v>2008</v>
      </c>
      <c r="D1500" t="n">
        <v>2.42604117060158</v>
      </c>
    </row>
    <row r="1501">
      <c r="A1501" t="inlineStr">
        <is>
          <t>Switzerland</t>
        </is>
      </c>
      <c r="B1501" t="inlineStr">
        <is>
          <t>CHE</t>
        </is>
      </c>
      <c r="C1501" t="n">
        <v>2009</v>
      </c>
      <c r="D1501" t="n">
        <v>-0.480481936423275</v>
      </c>
    </row>
    <row r="1502">
      <c r="A1502" t="inlineStr">
        <is>
          <t>Switzerland</t>
        </is>
      </c>
      <c r="B1502" t="inlineStr">
        <is>
          <t>CHE</t>
        </is>
      </c>
      <c r="C1502" t="n">
        <v>2010</v>
      </c>
      <c r="D1502" t="n">
        <v>0.688238707220026</v>
      </c>
    </row>
    <row r="1503">
      <c r="A1503" t="inlineStr">
        <is>
          <t>Switzerland</t>
        </is>
      </c>
      <c r="B1503" t="inlineStr">
        <is>
          <t>CHE</t>
        </is>
      </c>
      <c r="C1503" t="n">
        <v>2011</v>
      </c>
      <c r="D1503" t="n">
        <v>0.2313492076509</v>
      </c>
    </row>
    <row r="1504">
      <c r="A1504" t="inlineStr">
        <is>
          <t>Switzerland</t>
        </is>
      </c>
      <c r="B1504" t="inlineStr">
        <is>
          <t>CHE</t>
        </is>
      </c>
      <c r="C1504" t="n">
        <v>2012</v>
      </c>
      <c r="D1504" t="n">
        <v>-0.692552018105253</v>
      </c>
    </row>
    <row r="1505">
      <c r="A1505" t="inlineStr">
        <is>
          <t>Switzerland</t>
        </is>
      </c>
      <c r="B1505" t="inlineStr">
        <is>
          <t>CHE</t>
        </is>
      </c>
      <c r="C1505" t="n">
        <v>2013</v>
      </c>
      <c r="D1505" t="n">
        <v>-0.217323155115693</v>
      </c>
    </row>
    <row r="1506">
      <c r="A1506" t="inlineStr">
        <is>
          <t>Switzerland</t>
        </is>
      </c>
      <c r="B1506" t="inlineStr">
        <is>
          <t>CHE</t>
        </is>
      </c>
      <c r="C1506" t="n">
        <v>2014</v>
      </c>
      <c r="D1506" t="n">
        <v>-0.0132025387514939</v>
      </c>
    </row>
    <row r="1507">
      <c r="A1507" t="inlineStr">
        <is>
          <t>Switzerland</t>
        </is>
      </c>
      <c r="B1507" t="inlineStr">
        <is>
          <t>CHE</t>
        </is>
      </c>
      <c r="C1507" t="n">
        <v>2015</v>
      </c>
      <c r="D1507" t="n">
        <v>-1.14390867228183</v>
      </c>
    </row>
    <row r="1508">
      <c r="A1508" t="inlineStr">
        <is>
          <t>Switzerland</t>
        </is>
      </c>
      <c r="B1508" t="inlineStr">
        <is>
          <t>CHE</t>
        </is>
      </c>
      <c r="C1508" t="n">
        <v>2016</v>
      </c>
      <c r="D1508" t="n">
        <v>-0.434618664285835</v>
      </c>
    </row>
    <row r="1509">
      <c r="A1509" t="inlineStr">
        <is>
          <t>Switzerland</t>
        </is>
      </c>
      <c r="B1509" t="inlineStr">
        <is>
          <t>CHE</t>
        </is>
      </c>
      <c r="C1509" t="n">
        <v>2017</v>
      </c>
      <c r="D1509" t="n">
        <v>0.5337878398258969</v>
      </c>
    </row>
    <row r="1510">
      <c r="A1510" t="inlineStr">
        <is>
          <t>Switzerland</t>
        </is>
      </c>
      <c r="B1510" t="inlineStr">
        <is>
          <t>CHE</t>
        </is>
      </c>
      <c r="C1510" t="n">
        <v>2018</v>
      </c>
      <c r="D1510" t="n">
        <v>0.9363354641135631</v>
      </c>
    </row>
    <row r="1511">
      <c r="A1511" t="inlineStr">
        <is>
          <t>Switzerland</t>
        </is>
      </c>
      <c r="B1511" t="inlineStr">
        <is>
          <t>CHE</t>
        </is>
      </c>
      <c r="C1511" t="n">
        <v>2019</v>
      </c>
      <c r="D1511" t="n">
        <v>0.362886179940614</v>
      </c>
    </row>
    <row r="1512">
      <c r="A1512" t="inlineStr">
        <is>
          <t>Switzerland</t>
        </is>
      </c>
      <c r="B1512" t="inlineStr">
        <is>
          <t>CHE</t>
        </is>
      </c>
      <c r="C1512" t="n">
        <v>2020</v>
      </c>
      <c r="D1512" t="n">
        <v>-0.725874933313384</v>
      </c>
    </row>
    <row r="1513">
      <c r="A1513" t="inlineStr">
        <is>
          <t>Switzerland</t>
        </is>
      </c>
      <c r="B1513" t="inlineStr">
        <is>
          <t>CHE</t>
        </is>
      </c>
      <c r="C1513" t="n">
        <v>2021</v>
      </c>
      <c r="D1513" t="n">
        <v>0.581814168489856</v>
      </c>
    </row>
    <row r="1514">
      <c r="A1514" t="inlineStr">
        <is>
          <t>Switzerland</t>
        </is>
      </c>
      <c r="B1514" t="inlineStr">
        <is>
          <t>CHE</t>
        </is>
      </c>
      <c r="C1514" t="n">
        <v>2022</v>
      </c>
      <c r="D1514" t="n">
        <v>2.83502798644463</v>
      </c>
    </row>
    <row r="1515">
      <c r="A1515" t="inlineStr">
        <is>
          <t>Switzerland</t>
        </is>
      </c>
      <c r="B1515" t="inlineStr">
        <is>
          <t>CHE</t>
        </is>
      </c>
      <c r="C1515" t="n">
        <v>2023</v>
      </c>
      <c r="D1515" t="n">
        <v>2.13540088016377</v>
      </c>
    </row>
    <row r="1516">
      <c r="A1516" t="inlineStr">
        <is>
          <t>Switzerland</t>
        </is>
      </c>
      <c r="B1516" t="inlineStr">
        <is>
          <t>CHE</t>
        </is>
      </c>
      <c r="C1516" t="n">
        <v>2024</v>
      </c>
      <c r="D1516" t="n">
        <v>1.06234041976595</v>
      </c>
    </row>
    <row r="1517">
      <c r="A1517" t="inlineStr">
        <is>
          <t>Chile</t>
        </is>
      </c>
      <c r="B1517" t="inlineStr">
        <is>
          <t>CHL</t>
        </is>
      </c>
      <c r="C1517" t="n">
        <v>1971</v>
      </c>
      <c r="D1517" t="n">
        <v>20.0522312040536</v>
      </c>
    </row>
    <row r="1518">
      <c r="A1518" t="inlineStr">
        <is>
          <t>Chile</t>
        </is>
      </c>
      <c r="B1518" t="inlineStr">
        <is>
          <t>CHL</t>
        </is>
      </c>
      <c r="C1518" t="n">
        <v>1972</v>
      </c>
      <c r="D1518" t="n">
        <v>77.7957404755204</v>
      </c>
    </row>
    <row r="1519">
      <c r="A1519" t="inlineStr">
        <is>
          <t>Chile</t>
        </is>
      </c>
      <c r="B1519" t="inlineStr">
        <is>
          <t>CHL</t>
        </is>
      </c>
      <c r="C1519" t="n">
        <v>1973</v>
      </c>
      <c r="D1519" t="n">
        <v>352.810986573029</v>
      </c>
    </row>
    <row r="1520">
      <c r="A1520" t="inlineStr">
        <is>
          <t>Chile</t>
        </is>
      </c>
      <c r="B1520" t="inlineStr">
        <is>
          <t>CHL</t>
        </is>
      </c>
      <c r="C1520" t="n">
        <v>1974</v>
      </c>
      <c r="D1520" t="n">
        <v>504.738541215978</v>
      </c>
    </row>
    <row r="1521">
      <c r="A1521" t="inlineStr">
        <is>
          <t>Chile</t>
        </is>
      </c>
      <c r="B1521" t="inlineStr">
        <is>
          <t>CHL</t>
        </is>
      </c>
      <c r="C1521" t="n">
        <v>1975</v>
      </c>
      <c r="D1521" t="n">
        <v>374.735274232635</v>
      </c>
    </row>
    <row r="1522">
      <c r="A1522" t="inlineStr">
        <is>
          <t>Chile</t>
        </is>
      </c>
      <c r="B1522" t="inlineStr">
        <is>
          <t>CHL</t>
        </is>
      </c>
      <c r="C1522" t="n">
        <v>1976</v>
      </c>
      <c r="D1522" t="n">
        <v>211.924302225904</v>
      </c>
    </row>
    <row r="1523">
      <c r="A1523" t="inlineStr">
        <is>
          <t>Chile</t>
        </is>
      </c>
      <c r="B1523" t="inlineStr">
        <is>
          <t>CHL</t>
        </is>
      </c>
      <c r="C1523" t="n">
        <v>1977</v>
      </c>
      <c r="D1523" t="n">
        <v>91.9541325565104</v>
      </c>
    </row>
    <row r="1524">
      <c r="A1524" t="inlineStr">
        <is>
          <t>Chile</t>
        </is>
      </c>
      <c r="B1524" t="inlineStr">
        <is>
          <t>CHL</t>
        </is>
      </c>
      <c r="C1524" t="n">
        <v>1978</v>
      </c>
      <c r="D1524" t="n">
        <v>40.0872246313854</v>
      </c>
    </row>
    <row r="1525">
      <c r="A1525" t="inlineStr">
        <is>
          <t>Chile</t>
        </is>
      </c>
      <c r="B1525" t="inlineStr">
        <is>
          <t>CHL</t>
        </is>
      </c>
      <c r="C1525" t="n">
        <v>1979</v>
      </c>
      <c r="D1525" t="n">
        <v>33.3892190102252</v>
      </c>
    </row>
    <row r="1526">
      <c r="A1526" t="inlineStr">
        <is>
          <t>Chile</t>
        </is>
      </c>
      <c r="B1526" t="inlineStr">
        <is>
          <t>CHL</t>
        </is>
      </c>
      <c r="C1526" t="n">
        <v>1980</v>
      </c>
      <c r="D1526" t="n">
        <v>35.1383405330485</v>
      </c>
    </row>
    <row r="1527">
      <c r="A1527" t="inlineStr">
        <is>
          <t>Chile</t>
        </is>
      </c>
      <c r="B1527" t="inlineStr">
        <is>
          <t>CHL</t>
        </is>
      </c>
      <c r="C1527" t="n">
        <v>1981</v>
      </c>
      <c r="D1527" t="n">
        <v>19.6868327084319</v>
      </c>
    </row>
    <row r="1528">
      <c r="A1528" t="inlineStr">
        <is>
          <t>Chile</t>
        </is>
      </c>
      <c r="B1528" t="inlineStr">
        <is>
          <t>CHL</t>
        </is>
      </c>
      <c r="C1528" t="n">
        <v>1982</v>
      </c>
      <c r="D1528" t="n">
        <v>9.941026930418319</v>
      </c>
    </row>
    <row r="1529">
      <c r="A1529" t="inlineStr">
        <is>
          <t>Chile</t>
        </is>
      </c>
      <c r="B1529" t="inlineStr">
        <is>
          <t>CHL</t>
        </is>
      </c>
      <c r="C1529" t="n">
        <v>1983</v>
      </c>
      <c r="D1529" t="n">
        <v>27.2571946726204</v>
      </c>
    </row>
    <row r="1530">
      <c r="A1530" t="inlineStr">
        <is>
          <t>Chile</t>
        </is>
      </c>
      <c r="B1530" t="inlineStr">
        <is>
          <t>CHL</t>
        </is>
      </c>
      <c r="C1530" t="n">
        <v>1984</v>
      </c>
      <c r="D1530" t="n">
        <v>19.8602056602626</v>
      </c>
    </row>
    <row r="1531">
      <c r="A1531" t="inlineStr">
        <is>
          <t>Chile</t>
        </is>
      </c>
      <c r="B1531" t="inlineStr">
        <is>
          <t>CHL</t>
        </is>
      </c>
      <c r="C1531" t="n">
        <v>1985</v>
      </c>
      <c r="D1531" t="n">
        <v>30.7034989096151</v>
      </c>
    </row>
    <row r="1532">
      <c r="A1532" t="inlineStr">
        <is>
          <t>Chile</t>
        </is>
      </c>
      <c r="B1532" t="inlineStr">
        <is>
          <t>CHL</t>
        </is>
      </c>
      <c r="C1532" t="n">
        <v>1986</v>
      </c>
      <c r="D1532" t="n">
        <v>19.4768379232582</v>
      </c>
    </row>
    <row r="1533">
      <c r="A1533" t="inlineStr">
        <is>
          <t>Chile</t>
        </is>
      </c>
      <c r="B1533" t="inlineStr">
        <is>
          <t>CHL</t>
        </is>
      </c>
      <c r="C1533" t="n">
        <v>1987</v>
      </c>
      <c r="D1533" t="n">
        <v>19.8808457201905</v>
      </c>
    </row>
    <row r="1534">
      <c r="A1534" t="inlineStr">
        <is>
          <t>Chile</t>
        </is>
      </c>
      <c r="B1534" t="inlineStr">
        <is>
          <t>CHL</t>
        </is>
      </c>
      <c r="C1534" t="n">
        <v>1988</v>
      </c>
      <c r="D1534" t="n">
        <v>14.684351250082</v>
      </c>
    </row>
    <row r="1535">
      <c r="A1535" t="inlineStr">
        <is>
          <t>Chile</t>
        </is>
      </c>
      <c r="B1535" t="inlineStr">
        <is>
          <t>CHL</t>
        </is>
      </c>
      <c r="C1535" t="n">
        <v>1989</v>
      </c>
      <c r="D1535" t="n">
        <v>17.0279367308962</v>
      </c>
    </row>
    <row r="1536">
      <c r="A1536" t="inlineStr">
        <is>
          <t>Chile</t>
        </is>
      </c>
      <c r="B1536" t="inlineStr">
        <is>
          <t>CHL</t>
        </is>
      </c>
      <c r="C1536" t="n">
        <v>1990</v>
      </c>
      <c r="D1536" t="n">
        <v>26.0364811362364</v>
      </c>
    </row>
    <row r="1537">
      <c r="A1537" t="inlineStr">
        <is>
          <t>Chile</t>
        </is>
      </c>
      <c r="B1537" t="inlineStr">
        <is>
          <t>CHL</t>
        </is>
      </c>
      <c r="C1537" t="n">
        <v>1991</v>
      </c>
      <c r="D1537" t="n">
        <v>21.7844124277757</v>
      </c>
    </row>
    <row r="1538">
      <c r="A1538" t="inlineStr">
        <is>
          <t>Chile</t>
        </is>
      </c>
      <c r="B1538" t="inlineStr">
        <is>
          <t>CHL</t>
        </is>
      </c>
      <c r="C1538" t="n">
        <v>1992</v>
      </c>
      <c r="D1538" t="n">
        <v>15.4258064688928</v>
      </c>
    </row>
    <row r="1539">
      <c r="A1539" t="inlineStr">
        <is>
          <t>Chile</t>
        </is>
      </c>
      <c r="B1539" t="inlineStr">
        <is>
          <t>CHL</t>
        </is>
      </c>
      <c r="C1539" t="n">
        <v>1993</v>
      </c>
      <c r="D1539" t="n">
        <v>12.7277669490964</v>
      </c>
    </row>
    <row r="1540">
      <c r="A1540" t="inlineStr">
        <is>
          <t>Chile</t>
        </is>
      </c>
      <c r="B1540" t="inlineStr">
        <is>
          <t>CHL</t>
        </is>
      </c>
      <c r="C1540" t="n">
        <v>1994</v>
      </c>
      <c r="D1540" t="n">
        <v>11.4431196444973</v>
      </c>
    </row>
    <row r="1541">
      <c r="A1541" t="inlineStr">
        <is>
          <t>Chile</t>
        </is>
      </c>
      <c r="B1541" t="inlineStr">
        <is>
          <t>CHL</t>
        </is>
      </c>
      <c r="C1541" t="n">
        <v>1995</v>
      </c>
      <c r="D1541" t="n">
        <v>8.232630341161141</v>
      </c>
    </row>
    <row r="1542">
      <c r="A1542" t="inlineStr">
        <is>
          <t>Chile</t>
        </is>
      </c>
      <c r="B1542" t="inlineStr">
        <is>
          <t>CHL</t>
        </is>
      </c>
      <c r="C1542" t="n">
        <v>1996</v>
      </c>
      <c r="D1542" t="n">
        <v>7.35911781788767</v>
      </c>
    </row>
    <row r="1543">
      <c r="A1543" t="inlineStr">
        <is>
          <t>Chile</t>
        </is>
      </c>
      <c r="B1543" t="inlineStr">
        <is>
          <t>CHL</t>
        </is>
      </c>
      <c r="C1543" t="n">
        <v>1997</v>
      </c>
      <c r="D1543" t="n">
        <v>6.13386464357927</v>
      </c>
    </row>
    <row r="1544">
      <c r="A1544" t="inlineStr">
        <is>
          <t>Chile</t>
        </is>
      </c>
      <c r="B1544" t="inlineStr">
        <is>
          <t>CHL</t>
        </is>
      </c>
      <c r="C1544" t="n">
        <v>1998</v>
      </c>
      <c r="D1544" t="n">
        <v>5.11024954517559</v>
      </c>
    </row>
    <row r="1545">
      <c r="A1545" t="inlineStr">
        <is>
          <t>Chile</t>
        </is>
      </c>
      <c r="B1545" t="inlineStr">
        <is>
          <t>CHL</t>
        </is>
      </c>
      <c r="C1545" t="n">
        <v>1999</v>
      </c>
      <c r="D1545" t="n">
        <v>3.33687917526023</v>
      </c>
    </row>
    <row r="1546">
      <c r="A1546" t="inlineStr">
        <is>
          <t>Chile</t>
        </is>
      </c>
      <c r="B1546" t="inlineStr">
        <is>
          <t>CHL</t>
        </is>
      </c>
      <c r="C1546" t="n">
        <v>2000</v>
      </c>
      <c r="D1546" t="n">
        <v>3.84327295706565</v>
      </c>
    </row>
    <row r="1547">
      <c r="A1547" t="inlineStr">
        <is>
          <t>Chile</t>
        </is>
      </c>
      <c r="B1547" t="inlineStr">
        <is>
          <t>CHL</t>
        </is>
      </c>
      <c r="C1547" t="n">
        <v>2001</v>
      </c>
      <c r="D1547" t="n">
        <v>3.56910053001467</v>
      </c>
    </row>
    <row r="1548">
      <c r="A1548" t="inlineStr">
        <is>
          <t>Chile</t>
        </is>
      </c>
      <c r="B1548" t="inlineStr">
        <is>
          <t>CHL</t>
        </is>
      </c>
      <c r="C1548" t="n">
        <v>2002</v>
      </c>
      <c r="D1548" t="n">
        <v>2.48939816650705</v>
      </c>
    </row>
    <row r="1549">
      <c r="A1549" t="inlineStr">
        <is>
          <t>Chile</t>
        </is>
      </c>
      <c r="B1549" t="inlineStr">
        <is>
          <t>CHL</t>
        </is>
      </c>
      <c r="C1549" t="n">
        <v>2003</v>
      </c>
      <c r="D1549" t="n">
        <v>2.8101787574361</v>
      </c>
    </row>
    <row r="1550">
      <c r="A1550" t="inlineStr">
        <is>
          <t>Chile</t>
        </is>
      </c>
      <c r="B1550" t="inlineStr">
        <is>
          <t>CHL</t>
        </is>
      </c>
      <c r="C1550" t="n">
        <v>2004</v>
      </c>
      <c r="D1550" t="n">
        <v>1.05473871403517</v>
      </c>
    </row>
    <row r="1551">
      <c r="A1551" t="inlineStr">
        <is>
          <t>Chile</t>
        </is>
      </c>
      <c r="B1551" t="inlineStr">
        <is>
          <t>CHL</t>
        </is>
      </c>
      <c r="C1551" t="n">
        <v>2005</v>
      </c>
      <c r="D1551" t="n">
        <v>3.05257621387849</v>
      </c>
    </row>
    <row r="1552">
      <c r="A1552" t="inlineStr">
        <is>
          <t>Chile</t>
        </is>
      </c>
      <c r="B1552" t="inlineStr">
        <is>
          <t>CHL</t>
        </is>
      </c>
      <c r="C1552" t="n">
        <v>2006</v>
      </c>
      <c r="D1552" t="n">
        <v>3.39201733699405</v>
      </c>
    </row>
    <row r="1553">
      <c r="A1553" t="inlineStr">
        <is>
          <t>Chile</t>
        </is>
      </c>
      <c r="B1553" t="inlineStr">
        <is>
          <t>CHL</t>
        </is>
      </c>
      <c r="C1553" t="n">
        <v>2007</v>
      </c>
      <c r="D1553" t="n">
        <v>4.40779938398044</v>
      </c>
    </row>
    <row r="1554">
      <c r="A1554" t="inlineStr">
        <is>
          <t>Chile</t>
        </is>
      </c>
      <c r="B1554" t="inlineStr">
        <is>
          <t>CHL</t>
        </is>
      </c>
      <c r="C1554" t="n">
        <v>2008</v>
      </c>
      <c r="D1554" t="n">
        <v>8.71626873039607</v>
      </c>
    </row>
    <row r="1555">
      <c r="A1555" t="inlineStr">
        <is>
          <t>Chile</t>
        </is>
      </c>
      <c r="B1555" t="inlineStr">
        <is>
          <t>CHL</t>
        </is>
      </c>
      <c r="C1555" t="n">
        <v>2009</v>
      </c>
      <c r="D1555" t="n">
        <v>0.353045178360937</v>
      </c>
    </row>
    <row r="1556">
      <c r="A1556" t="inlineStr">
        <is>
          <t>Chile</t>
        </is>
      </c>
      <c r="B1556" t="inlineStr">
        <is>
          <t>CHL</t>
        </is>
      </c>
      <c r="C1556" t="n">
        <v>2010</v>
      </c>
      <c r="D1556" t="n">
        <v>1.41071107954321</v>
      </c>
    </row>
    <row r="1557">
      <c r="A1557" t="inlineStr">
        <is>
          <t>Chile</t>
        </is>
      </c>
      <c r="B1557" t="inlineStr">
        <is>
          <t>CHL</t>
        </is>
      </c>
      <c r="C1557" t="n">
        <v>2011</v>
      </c>
      <c r="D1557" t="n">
        <v>3.34121694259302</v>
      </c>
    </row>
    <row r="1558">
      <c r="A1558" t="inlineStr">
        <is>
          <t>Chile</t>
        </is>
      </c>
      <c r="B1558" t="inlineStr">
        <is>
          <t>CHL</t>
        </is>
      </c>
      <c r="C1558" t="n">
        <v>2012</v>
      </c>
      <c r="D1558" t="n">
        <v>3.00744840213047</v>
      </c>
    </row>
    <row r="1559">
      <c r="A1559" t="inlineStr">
        <is>
          <t>Chile</t>
        </is>
      </c>
      <c r="B1559" t="inlineStr">
        <is>
          <t>CHL</t>
        </is>
      </c>
      <c r="C1559" t="n">
        <v>2013</v>
      </c>
      <c r="D1559" t="n">
        <v>1.7895555398459</v>
      </c>
    </row>
    <row r="1560">
      <c r="A1560" t="inlineStr">
        <is>
          <t>Chile</t>
        </is>
      </c>
      <c r="B1560" t="inlineStr">
        <is>
          <t>CHL</t>
        </is>
      </c>
      <c r="C1560" t="n">
        <v>2014</v>
      </c>
      <c r="D1560" t="n">
        <v>4.71867527854672</v>
      </c>
    </row>
    <row r="1561">
      <c r="A1561" t="inlineStr">
        <is>
          <t>Chile</t>
        </is>
      </c>
      <c r="B1561" t="inlineStr">
        <is>
          <t>CHL</t>
        </is>
      </c>
      <c r="C1561" t="n">
        <v>2015</v>
      </c>
      <c r="D1561" t="n">
        <v>4.34877353217044</v>
      </c>
    </row>
    <row r="1562">
      <c r="A1562" t="inlineStr">
        <is>
          <t>Chile</t>
        </is>
      </c>
      <c r="B1562" t="inlineStr">
        <is>
          <t>CHL</t>
        </is>
      </c>
      <c r="C1562" t="n">
        <v>2016</v>
      </c>
      <c r="D1562" t="n">
        <v>3.78619355893118</v>
      </c>
    </row>
    <row r="1563">
      <c r="A1563" t="inlineStr">
        <is>
          <t>Chile</t>
        </is>
      </c>
      <c r="B1563" t="inlineStr">
        <is>
          <t>CHL</t>
        </is>
      </c>
      <c r="C1563" t="n">
        <v>2017</v>
      </c>
      <c r="D1563" t="n">
        <v>2.18271846868519</v>
      </c>
    </row>
    <row r="1564">
      <c r="A1564" t="inlineStr">
        <is>
          <t>Chile</t>
        </is>
      </c>
      <c r="B1564" t="inlineStr">
        <is>
          <t>CHL</t>
        </is>
      </c>
      <c r="C1564" t="n">
        <v>2018</v>
      </c>
      <c r="D1564" t="n">
        <v>2.43488981353057</v>
      </c>
    </row>
    <row r="1565">
      <c r="A1565" t="inlineStr">
        <is>
          <t>Chile</t>
        </is>
      </c>
      <c r="B1565" t="inlineStr">
        <is>
          <t>CHL</t>
        </is>
      </c>
      <c r="C1565" t="n">
        <v>2019</v>
      </c>
      <c r="D1565" t="n">
        <v>2.55754475703327</v>
      </c>
    </row>
    <row r="1566">
      <c r="A1566" t="inlineStr">
        <is>
          <t>Chile</t>
        </is>
      </c>
      <c r="B1566" t="inlineStr">
        <is>
          <t>CHL</t>
        </is>
      </c>
      <c r="C1566" t="n">
        <v>2020</v>
      </c>
      <c r="D1566" t="n">
        <v>3.04549084804326</v>
      </c>
    </row>
    <row r="1567">
      <c r="A1567" t="inlineStr">
        <is>
          <t>Chile</t>
        </is>
      </c>
      <c r="B1567" t="inlineStr">
        <is>
          <t>CHL</t>
        </is>
      </c>
      <c r="C1567" t="n">
        <v>2021</v>
      </c>
      <c r="D1567" t="n">
        <v>4.52456838259144</v>
      </c>
    </row>
    <row r="1568">
      <c r="A1568" t="inlineStr">
        <is>
          <t>Chile</t>
        </is>
      </c>
      <c r="B1568" t="inlineStr">
        <is>
          <t>CHL</t>
        </is>
      </c>
      <c r="C1568" t="n">
        <v>2022</v>
      </c>
      <c r="D1568" t="n">
        <v>11.643866711056</v>
      </c>
    </row>
    <row r="1569">
      <c r="A1569" t="inlineStr">
        <is>
          <t>Chile</t>
        </is>
      </c>
      <c r="B1569" t="inlineStr">
        <is>
          <t>CHL</t>
        </is>
      </c>
      <c r="C1569" t="n">
        <v>2023</v>
      </c>
      <c r="D1569" t="n">
        <v>7.58168251407962</v>
      </c>
    </row>
    <row r="1570">
      <c r="A1570" t="inlineStr">
        <is>
          <t>Chile</t>
        </is>
      </c>
      <c r="B1570" t="inlineStr">
        <is>
          <t>CHL</t>
        </is>
      </c>
      <c r="C1570" t="n">
        <v>2024</v>
      </c>
      <c r="D1570" t="n">
        <v>4.29763891572524</v>
      </c>
    </row>
    <row r="1571">
      <c r="A1571" t="inlineStr">
        <is>
          <t>China</t>
        </is>
      </c>
      <c r="B1571" t="inlineStr">
        <is>
          <t>CHN</t>
        </is>
      </c>
      <c r="C1571" t="n">
        <v>1987</v>
      </c>
      <c r="D1571" t="n">
        <v>7.23383553065609</v>
      </c>
    </row>
    <row r="1572">
      <c r="A1572" t="inlineStr">
        <is>
          <t>China</t>
        </is>
      </c>
      <c r="B1572" t="inlineStr">
        <is>
          <t>CHN</t>
        </is>
      </c>
      <c r="C1572" t="n">
        <v>1988</v>
      </c>
      <c r="D1572" t="n">
        <v>18.8118179448753</v>
      </c>
    </row>
    <row r="1573">
      <c r="A1573" t="inlineStr">
        <is>
          <t>China</t>
        </is>
      </c>
      <c r="B1573" t="inlineStr">
        <is>
          <t>CHN</t>
        </is>
      </c>
      <c r="C1573" t="n">
        <v>1989</v>
      </c>
      <c r="D1573" t="n">
        <v>18.2456383621648</v>
      </c>
    </row>
    <row r="1574">
      <c r="A1574" t="inlineStr">
        <is>
          <t>China</t>
        </is>
      </c>
      <c r="B1574" t="inlineStr">
        <is>
          <t>CHN</t>
        </is>
      </c>
      <c r="C1574" t="n">
        <v>1990</v>
      </c>
      <c r="D1574" t="n">
        <v>3.05229012075233</v>
      </c>
    </row>
    <row r="1575">
      <c r="A1575" t="inlineStr">
        <is>
          <t>China</t>
        </is>
      </c>
      <c r="B1575" t="inlineStr">
        <is>
          <t>CHN</t>
        </is>
      </c>
      <c r="C1575" t="n">
        <v>1991</v>
      </c>
      <c r="D1575" t="n">
        <v>3.55668565220452</v>
      </c>
    </row>
    <row r="1576">
      <c r="A1576" t="inlineStr">
        <is>
          <t>China</t>
        </is>
      </c>
      <c r="B1576" t="inlineStr">
        <is>
          <t>CHN</t>
        </is>
      </c>
      <c r="C1576" t="n">
        <v>1992</v>
      </c>
      <c r="D1576" t="n">
        <v>6.35398134024869</v>
      </c>
    </row>
    <row r="1577">
      <c r="A1577" t="inlineStr">
        <is>
          <t>China</t>
        </is>
      </c>
      <c r="B1577" t="inlineStr">
        <is>
          <t>CHN</t>
        </is>
      </c>
      <c r="C1577" t="n">
        <v>1993</v>
      </c>
      <c r="D1577" t="n">
        <v>14.6100786356602</v>
      </c>
    </row>
    <row r="1578">
      <c r="A1578" t="inlineStr">
        <is>
          <t>China</t>
        </is>
      </c>
      <c r="B1578" t="inlineStr">
        <is>
          <t>CHN</t>
        </is>
      </c>
      <c r="C1578" t="n">
        <v>1994</v>
      </c>
      <c r="D1578" t="n">
        <v>24.2569897243361</v>
      </c>
    </row>
    <row r="1579">
      <c r="A1579" t="inlineStr">
        <is>
          <t>China</t>
        </is>
      </c>
      <c r="B1579" t="inlineStr">
        <is>
          <t>CHN</t>
        </is>
      </c>
      <c r="C1579" t="n">
        <v>1995</v>
      </c>
      <c r="D1579" t="n">
        <v>16.7912251650916</v>
      </c>
    </row>
    <row r="1580">
      <c r="A1580" t="inlineStr">
        <is>
          <t>China</t>
        </is>
      </c>
      <c r="B1580" t="inlineStr">
        <is>
          <t>CHN</t>
        </is>
      </c>
      <c r="C1580" t="n">
        <v>1996</v>
      </c>
      <c r="D1580" t="n">
        <v>8.313160288939089</v>
      </c>
    </row>
    <row r="1581">
      <c r="A1581" t="inlineStr">
        <is>
          <t>China</t>
        </is>
      </c>
      <c r="B1581" t="inlineStr">
        <is>
          <t>CHN</t>
        </is>
      </c>
      <c r="C1581" t="n">
        <v>1997</v>
      </c>
      <c r="D1581" t="n">
        <v>2.78646505531882</v>
      </c>
    </row>
    <row r="1582">
      <c r="A1582" t="inlineStr">
        <is>
          <t>China</t>
        </is>
      </c>
      <c r="B1582" t="inlineStr">
        <is>
          <t>CHN</t>
        </is>
      </c>
      <c r="C1582" t="n">
        <v>1998</v>
      </c>
      <c r="D1582" t="n">
        <v>-0.773186011549318</v>
      </c>
    </row>
    <row r="1583">
      <c r="A1583" t="inlineStr">
        <is>
          <t>China</t>
        </is>
      </c>
      <c r="B1583" t="inlineStr">
        <is>
          <t>CHN</t>
        </is>
      </c>
      <c r="C1583" t="n">
        <v>1999</v>
      </c>
      <c r="D1583" t="n">
        <v>-1.40147268276465</v>
      </c>
    </row>
    <row r="1584">
      <c r="A1584" t="inlineStr">
        <is>
          <t>China</t>
        </is>
      </c>
      <c r="B1584" t="inlineStr">
        <is>
          <t>CHN</t>
        </is>
      </c>
      <c r="C1584" t="n">
        <v>2000</v>
      </c>
      <c r="D1584" t="n">
        <v>0.347811226864587</v>
      </c>
    </row>
    <row r="1585">
      <c r="A1585" t="inlineStr">
        <is>
          <t>China</t>
        </is>
      </c>
      <c r="B1585" t="inlineStr">
        <is>
          <t>CHN</t>
        </is>
      </c>
      <c r="C1585" t="n">
        <v>2001</v>
      </c>
      <c r="D1585" t="n">
        <v>0.719125609120114</v>
      </c>
    </row>
    <row r="1586">
      <c r="A1586" t="inlineStr">
        <is>
          <t>China</t>
        </is>
      </c>
      <c r="B1586" t="inlineStr">
        <is>
          <t>CHN</t>
        </is>
      </c>
      <c r="C1586" t="n">
        <v>2002</v>
      </c>
      <c r="D1586" t="n">
        <v>-0.731970902350244</v>
      </c>
    </row>
    <row r="1587">
      <c r="A1587" t="inlineStr">
        <is>
          <t>China</t>
        </is>
      </c>
      <c r="B1587" t="inlineStr">
        <is>
          <t>CHN</t>
        </is>
      </c>
      <c r="C1587" t="n">
        <v>2003</v>
      </c>
      <c r="D1587" t="n">
        <v>1.12760348729637</v>
      </c>
    </row>
    <row r="1588">
      <c r="A1588" t="inlineStr">
        <is>
          <t>China</t>
        </is>
      </c>
      <c r="B1588" t="inlineStr">
        <is>
          <t>CHN</t>
        </is>
      </c>
      <c r="C1588" t="n">
        <v>2004</v>
      </c>
      <c r="D1588" t="n">
        <v>3.82463743108159</v>
      </c>
    </row>
    <row r="1589">
      <c r="A1589" t="inlineStr">
        <is>
          <t>China</t>
        </is>
      </c>
      <c r="B1589" t="inlineStr">
        <is>
          <t>CHN</t>
        </is>
      </c>
      <c r="C1589" t="n">
        <v>2005</v>
      </c>
      <c r="D1589" t="n">
        <v>1.77641407667571</v>
      </c>
    </row>
    <row r="1590">
      <c r="A1590" t="inlineStr">
        <is>
          <t>China</t>
        </is>
      </c>
      <c r="B1590" t="inlineStr">
        <is>
          <t>CHN</t>
        </is>
      </c>
      <c r="C1590" t="n">
        <v>2006</v>
      </c>
      <c r="D1590" t="n">
        <v>1.6494309945586</v>
      </c>
    </row>
    <row r="1591">
      <c r="A1591" t="inlineStr">
        <is>
          <t>China</t>
        </is>
      </c>
      <c r="B1591" t="inlineStr">
        <is>
          <t>CHN</t>
        </is>
      </c>
      <c r="C1591" t="n">
        <v>2007</v>
      </c>
      <c r="D1591" t="n">
        <v>4.81676767378834</v>
      </c>
    </row>
    <row r="1592">
      <c r="A1592" t="inlineStr">
        <is>
          <t>China</t>
        </is>
      </c>
      <c r="B1592" t="inlineStr">
        <is>
          <t>CHN</t>
        </is>
      </c>
      <c r="C1592" t="n">
        <v>2008</v>
      </c>
      <c r="D1592" t="n">
        <v>5.92525137041092</v>
      </c>
    </row>
    <row r="1593">
      <c r="A1593" t="inlineStr">
        <is>
          <t>China</t>
        </is>
      </c>
      <c r="B1593" t="inlineStr">
        <is>
          <t>CHN</t>
        </is>
      </c>
      <c r="C1593" t="n">
        <v>2009</v>
      </c>
      <c r="D1593" t="n">
        <v>-0.728165250932898</v>
      </c>
    </row>
    <row r="1594">
      <c r="A1594" t="inlineStr">
        <is>
          <t>China</t>
        </is>
      </c>
      <c r="B1594" t="inlineStr">
        <is>
          <t>CHN</t>
        </is>
      </c>
      <c r="C1594" t="n">
        <v>2010</v>
      </c>
      <c r="D1594" t="n">
        <v>3.17532475269199</v>
      </c>
    </row>
    <row r="1595">
      <c r="A1595" t="inlineStr">
        <is>
          <t>China</t>
        </is>
      </c>
      <c r="B1595" t="inlineStr">
        <is>
          <t>CHN</t>
        </is>
      </c>
      <c r="C1595" t="n">
        <v>2011</v>
      </c>
      <c r="D1595" t="n">
        <v>5.55389892257493</v>
      </c>
    </row>
    <row r="1596">
      <c r="A1596" t="inlineStr">
        <is>
          <t>China</t>
        </is>
      </c>
      <c r="B1596" t="inlineStr">
        <is>
          <t>CHN</t>
        </is>
      </c>
      <c r="C1596" t="n">
        <v>2012</v>
      </c>
      <c r="D1596" t="n">
        <v>2.61952432645541</v>
      </c>
    </row>
    <row r="1597">
      <c r="A1597" t="inlineStr">
        <is>
          <t>China</t>
        </is>
      </c>
      <c r="B1597" t="inlineStr">
        <is>
          <t>CHN</t>
        </is>
      </c>
      <c r="C1597" t="n">
        <v>2013</v>
      </c>
      <c r="D1597" t="n">
        <v>2.62105001748115</v>
      </c>
    </row>
    <row r="1598">
      <c r="A1598" t="inlineStr">
        <is>
          <t>China</t>
        </is>
      </c>
      <c r="B1598" t="inlineStr">
        <is>
          <t>CHN</t>
        </is>
      </c>
      <c r="C1598" t="n">
        <v>2014</v>
      </c>
      <c r="D1598" t="n">
        <v>1.92164162788521</v>
      </c>
    </row>
    <row r="1599">
      <c r="A1599" t="inlineStr">
        <is>
          <t>China</t>
        </is>
      </c>
      <c r="B1599" t="inlineStr">
        <is>
          <t>CHN</t>
        </is>
      </c>
      <c r="C1599" t="n">
        <v>2015</v>
      </c>
      <c r="D1599" t="n">
        <v>1.43702380935655</v>
      </c>
    </row>
    <row r="1600">
      <c r="A1600" t="inlineStr">
        <is>
          <t>China</t>
        </is>
      </c>
      <c r="B1600" t="inlineStr">
        <is>
          <t>CHN</t>
        </is>
      </c>
      <c r="C1600" t="n">
        <v>2016</v>
      </c>
      <c r="D1600" t="n">
        <v>2.00000182191943</v>
      </c>
    </row>
    <row r="1601">
      <c r="A1601" t="inlineStr">
        <is>
          <t>China</t>
        </is>
      </c>
      <c r="B1601" t="inlineStr">
        <is>
          <t>CHN</t>
        </is>
      </c>
      <c r="C1601" t="n">
        <v>2017</v>
      </c>
      <c r="D1601" t="n">
        <v>1.59313600071436</v>
      </c>
    </row>
    <row r="1602">
      <c r="A1602" t="inlineStr">
        <is>
          <t>China</t>
        </is>
      </c>
      <c r="B1602" t="inlineStr">
        <is>
          <t>CHN</t>
        </is>
      </c>
      <c r="C1602" t="n">
        <v>2018</v>
      </c>
      <c r="D1602" t="n">
        <v>2.07479039965576</v>
      </c>
    </row>
    <row r="1603">
      <c r="A1603" t="inlineStr">
        <is>
          <t>China</t>
        </is>
      </c>
      <c r="B1603" t="inlineStr">
        <is>
          <t>CHN</t>
        </is>
      </c>
      <c r="C1603" t="n">
        <v>2019</v>
      </c>
      <c r="D1603" t="n">
        <v>2.89923416358227</v>
      </c>
    </row>
    <row r="1604">
      <c r="A1604" t="inlineStr">
        <is>
          <t>China</t>
        </is>
      </c>
      <c r="B1604" t="inlineStr">
        <is>
          <t>CHN</t>
        </is>
      </c>
      <c r="C1604" t="n">
        <v>2020</v>
      </c>
      <c r="D1604" t="n">
        <v>2.41942189457782</v>
      </c>
    </row>
    <row r="1605">
      <c r="A1605" t="inlineStr">
        <is>
          <t>China</t>
        </is>
      </c>
      <c r="B1605" t="inlineStr">
        <is>
          <t>CHN</t>
        </is>
      </c>
      <c r="C1605" t="n">
        <v>2021</v>
      </c>
      <c r="D1605" t="n">
        <v>0.981015135544882</v>
      </c>
    </row>
    <row r="1606">
      <c r="A1606" t="inlineStr">
        <is>
          <t>China</t>
        </is>
      </c>
      <c r="B1606" t="inlineStr">
        <is>
          <t>CHN</t>
        </is>
      </c>
      <c r="C1606" t="n">
        <v>2022</v>
      </c>
      <c r="D1606" t="n">
        <v>1.97357555739051</v>
      </c>
    </row>
    <row r="1607">
      <c r="A1607" t="inlineStr">
        <is>
          <t>China</t>
        </is>
      </c>
      <c r="B1607" t="inlineStr">
        <is>
          <t>CHN</t>
        </is>
      </c>
      <c r="C1607" t="n">
        <v>2023</v>
      </c>
      <c r="D1607" t="n">
        <v>0.234836828893051</v>
      </c>
    </row>
    <row r="1608">
      <c r="A1608" t="inlineStr">
        <is>
          <t>China</t>
        </is>
      </c>
      <c r="B1608" t="inlineStr">
        <is>
          <t>CHN</t>
        </is>
      </c>
      <c r="C1608" t="n">
        <v>2024</v>
      </c>
      <c r="D1608" t="n">
        <v>0.218128938439177</v>
      </c>
    </row>
    <row r="1609">
      <c r="A1609" t="inlineStr">
        <is>
          <t>Cote d'Ivoire</t>
        </is>
      </c>
      <c r="B1609" t="inlineStr">
        <is>
          <t>CIV</t>
        </is>
      </c>
      <c r="C1609" t="n">
        <v>1961</v>
      </c>
      <c r="D1609" t="n">
        <v>11.616492146899</v>
      </c>
    </row>
    <row r="1610">
      <c r="A1610" t="inlineStr">
        <is>
          <t>Cote d'Ivoire</t>
        </is>
      </c>
      <c r="B1610" t="inlineStr">
        <is>
          <t>CIV</t>
        </is>
      </c>
      <c r="C1610" t="n">
        <v>1962</v>
      </c>
      <c r="D1610" t="n">
        <v>-1.3412489012053</v>
      </c>
    </row>
    <row r="1611">
      <c r="A1611" t="inlineStr">
        <is>
          <t>Cote d'Ivoire</t>
        </is>
      </c>
      <c r="B1611" t="inlineStr">
        <is>
          <t>CIV</t>
        </is>
      </c>
      <c r="C1611" t="n">
        <v>1963</v>
      </c>
      <c r="D1611" t="n">
        <v>0.943466310460215</v>
      </c>
    </row>
    <row r="1612">
      <c r="A1612" t="inlineStr">
        <is>
          <t>Cote d'Ivoire</t>
        </is>
      </c>
      <c r="B1612" t="inlineStr">
        <is>
          <t>CIV</t>
        </is>
      </c>
      <c r="C1612" t="n">
        <v>1964</v>
      </c>
      <c r="D1612" t="n">
        <v>0.618192522743668</v>
      </c>
    </row>
    <row r="1613">
      <c r="A1613" t="inlineStr">
        <is>
          <t>Cote d'Ivoire</t>
        </is>
      </c>
      <c r="B1613" t="inlineStr">
        <is>
          <t>CIV</t>
        </is>
      </c>
      <c r="C1613" t="n">
        <v>1965</v>
      </c>
      <c r="D1613" t="n">
        <v>2.61117612633012</v>
      </c>
    </row>
    <row r="1614">
      <c r="A1614" t="inlineStr">
        <is>
          <t>Cote d'Ivoire</t>
        </is>
      </c>
      <c r="B1614" t="inlineStr">
        <is>
          <t>CIV</t>
        </is>
      </c>
      <c r="C1614" t="n">
        <v>1966</v>
      </c>
      <c r="D1614" t="n">
        <v>4.19131798405668</v>
      </c>
    </row>
    <row r="1615">
      <c r="A1615" t="inlineStr">
        <is>
          <t>Cote d'Ivoire</t>
        </is>
      </c>
      <c r="B1615" t="inlineStr">
        <is>
          <t>CIV</t>
        </is>
      </c>
      <c r="C1615" t="n">
        <v>1967</v>
      </c>
      <c r="D1615" t="n">
        <v>2.29185195349457</v>
      </c>
    </row>
    <row r="1616">
      <c r="A1616" t="inlineStr">
        <is>
          <t>Cote d'Ivoire</t>
        </is>
      </c>
      <c r="B1616" t="inlineStr">
        <is>
          <t>CIV</t>
        </is>
      </c>
      <c r="C1616" t="n">
        <v>1968</v>
      </c>
      <c r="D1616" t="n">
        <v>5.35045478867878</v>
      </c>
    </row>
    <row r="1617">
      <c r="A1617" t="inlineStr">
        <is>
          <t>Cote d'Ivoire</t>
        </is>
      </c>
      <c r="B1617" t="inlineStr">
        <is>
          <t>CIV</t>
        </is>
      </c>
      <c r="C1617" t="n">
        <v>1969</v>
      </c>
      <c r="D1617" t="n">
        <v>4.45022854223325</v>
      </c>
    </row>
    <row r="1618">
      <c r="A1618" t="inlineStr">
        <is>
          <t>Cote d'Ivoire</t>
        </is>
      </c>
      <c r="B1618" t="inlineStr">
        <is>
          <t>CIV</t>
        </is>
      </c>
      <c r="C1618" t="n">
        <v>1970</v>
      </c>
      <c r="D1618" t="n">
        <v>8.205190543107211</v>
      </c>
    </row>
    <row r="1619">
      <c r="A1619" t="inlineStr">
        <is>
          <t>Cote d'Ivoire</t>
        </is>
      </c>
      <c r="B1619" t="inlineStr">
        <is>
          <t>CIV</t>
        </is>
      </c>
      <c r="C1619" t="n">
        <v>1971</v>
      </c>
      <c r="D1619" t="n">
        <v>-0.443745436275733</v>
      </c>
    </row>
    <row r="1620">
      <c r="A1620" t="inlineStr">
        <is>
          <t>Cote d'Ivoire</t>
        </is>
      </c>
      <c r="B1620" t="inlineStr">
        <is>
          <t>CIV</t>
        </is>
      </c>
      <c r="C1620" t="n">
        <v>1972</v>
      </c>
      <c r="D1620" t="n">
        <v>0.310313698883898</v>
      </c>
    </row>
    <row r="1621">
      <c r="A1621" t="inlineStr">
        <is>
          <t>Cote d'Ivoire</t>
        </is>
      </c>
      <c r="B1621" t="inlineStr">
        <is>
          <t>CIV</t>
        </is>
      </c>
      <c r="C1621" t="n">
        <v>1973</v>
      </c>
      <c r="D1621" t="n">
        <v>11.1029866698229</v>
      </c>
    </row>
    <row r="1622">
      <c r="A1622" t="inlineStr">
        <is>
          <t>Cote d'Ivoire</t>
        </is>
      </c>
      <c r="B1622" t="inlineStr">
        <is>
          <t>CIV</t>
        </is>
      </c>
      <c r="C1622" t="n">
        <v>1974</v>
      </c>
      <c r="D1622" t="n">
        <v>17.3593884470648</v>
      </c>
    </row>
    <row r="1623">
      <c r="A1623" t="inlineStr">
        <is>
          <t>Cote d'Ivoire</t>
        </is>
      </c>
      <c r="B1623" t="inlineStr">
        <is>
          <t>CIV</t>
        </is>
      </c>
      <c r="C1623" t="n">
        <v>1975</v>
      </c>
      <c r="D1623" t="n">
        <v>11.4442239670114</v>
      </c>
    </row>
    <row r="1624">
      <c r="A1624" t="inlineStr">
        <is>
          <t>Cote d'Ivoire</t>
        </is>
      </c>
      <c r="B1624" t="inlineStr">
        <is>
          <t>CIV</t>
        </is>
      </c>
      <c r="C1624" t="n">
        <v>1976</v>
      </c>
      <c r="D1624" t="n">
        <v>12.0766402169566</v>
      </c>
    </row>
    <row r="1625">
      <c r="A1625" t="inlineStr">
        <is>
          <t>Cote d'Ivoire</t>
        </is>
      </c>
      <c r="B1625" t="inlineStr">
        <is>
          <t>CIV</t>
        </is>
      </c>
      <c r="C1625" t="n">
        <v>1977</v>
      </c>
      <c r="D1625" t="n">
        <v>27.4218615091475</v>
      </c>
    </row>
    <row r="1626">
      <c r="A1626" t="inlineStr">
        <is>
          <t>Cote d'Ivoire</t>
        </is>
      </c>
      <c r="B1626" t="inlineStr">
        <is>
          <t>CIV</t>
        </is>
      </c>
      <c r="C1626" t="n">
        <v>1978</v>
      </c>
      <c r="D1626" t="n">
        <v>13.2429868545927</v>
      </c>
    </row>
    <row r="1627">
      <c r="A1627" t="inlineStr">
        <is>
          <t>Cote d'Ivoire</t>
        </is>
      </c>
      <c r="B1627" t="inlineStr">
        <is>
          <t>CIV</t>
        </is>
      </c>
      <c r="C1627" t="n">
        <v>1979</v>
      </c>
      <c r="D1627" t="n">
        <v>16.3423565736252</v>
      </c>
    </row>
    <row r="1628">
      <c r="A1628" t="inlineStr">
        <is>
          <t>Cote d'Ivoire</t>
        </is>
      </c>
      <c r="B1628" t="inlineStr">
        <is>
          <t>CIV</t>
        </is>
      </c>
      <c r="C1628" t="n">
        <v>1980</v>
      </c>
      <c r="D1628" t="n">
        <v>14.7009812997866</v>
      </c>
    </row>
    <row r="1629">
      <c r="A1629" t="inlineStr">
        <is>
          <t>Cote d'Ivoire</t>
        </is>
      </c>
      <c r="B1629" t="inlineStr">
        <is>
          <t>CIV</t>
        </is>
      </c>
      <c r="C1629" t="n">
        <v>1981</v>
      </c>
      <c r="D1629" t="n">
        <v>8.799210833087731</v>
      </c>
    </row>
    <row r="1630">
      <c r="A1630" t="inlineStr">
        <is>
          <t>Cote d'Ivoire</t>
        </is>
      </c>
      <c r="B1630" t="inlineStr">
        <is>
          <t>CIV</t>
        </is>
      </c>
      <c r="C1630" t="n">
        <v>1982</v>
      </c>
      <c r="D1630" t="n">
        <v>7.5831258964215</v>
      </c>
    </row>
    <row r="1631">
      <c r="A1631" t="inlineStr">
        <is>
          <t>Cote d'Ivoire</t>
        </is>
      </c>
      <c r="B1631" t="inlineStr">
        <is>
          <t>CIV</t>
        </is>
      </c>
      <c r="C1631" t="n">
        <v>1983</v>
      </c>
      <c r="D1631" t="n">
        <v>5.64042843342129</v>
      </c>
    </row>
    <row r="1632">
      <c r="A1632" t="inlineStr">
        <is>
          <t>Cote d'Ivoire</t>
        </is>
      </c>
      <c r="B1632" t="inlineStr">
        <is>
          <t>CIV</t>
        </is>
      </c>
      <c r="C1632" t="n">
        <v>1984</v>
      </c>
      <c r="D1632" t="n">
        <v>4.28476110361871</v>
      </c>
    </row>
    <row r="1633">
      <c r="A1633" t="inlineStr">
        <is>
          <t>Cote d'Ivoire</t>
        </is>
      </c>
      <c r="B1633" t="inlineStr">
        <is>
          <t>CIV</t>
        </is>
      </c>
      <c r="C1633" t="n">
        <v>1985</v>
      </c>
      <c r="D1633" t="n">
        <v>1.86380327150625</v>
      </c>
    </row>
    <row r="1634">
      <c r="A1634" t="inlineStr">
        <is>
          <t>Cote d'Ivoire</t>
        </is>
      </c>
      <c r="B1634" t="inlineStr">
        <is>
          <t>CIV</t>
        </is>
      </c>
      <c r="C1634" t="n">
        <v>1986</v>
      </c>
      <c r="D1634" t="n">
        <v>9.68295473116515</v>
      </c>
    </row>
    <row r="1635">
      <c r="A1635" t="inlineStr">
        <is>
          <t>Cote d'Ivoire</t>
        </is>
      </c>
      <c r="B1635" t="inlineStr">
        <is>
          <t>CIV</t>
        </is>
      </c>
      <c r="C1635" t="n">
        <v>1987</v>
      </c>
      <c r="D1635" t="n">
        <v>6.94330626536571</v>
      </c>
    </row>
    <row r="1636">
      <c r="A1636" t="inlineStr">
        <is>
          <t>Cote d'Ivoire</t>
        </is>
      </c>
      <c r="B1636" t="inlineStr">
        <is>
          <t>CIV</t>
        </is>
      </c>
      <c r="C1636" t="n">
        <v>1988</v>
      </c>
      <c r="D1636" t="n">
        <v>6.93068617206518</v>
      </c>
    </row>
    <row r="1637">
      <c r="A1637" t="inlineStr">
        <is>
          <t>Cote d'Ivoire</t>
        </is>
      </c>
      <c r="B1637" t="inlineStr">
        <is>
          <t>CIV</t>
        </is>
      </c>
      <c r="C1637" t="n">
        <v>1989</v>
      </c>
      <c r="D1637" t="n">
        <v>1.04951823790384</v>
      </c>
    </row>
    <row r="1638">
      <c r="A1638" t="inlineStr">
        <is>
          <t>Cote d'Ivoire</t>
        </is>
      </c>
      <c r="B1638" t="inlineStr">
        <is>
          <t>CIV</t>
        </is>
      </c>
      <c r="C1638" t="n">
        <v>1990</v>
      </c>
      <c r="D1638" t="n">
        <v>-0.805879698278037</v>
      </c>
    </row>
    <row r="1639">
      <c r="A1639" t="inlineStr">
        <is>
          <t>Cote d'Ivoire</t>
        </is>
      </c>
      <c r="B1639" t="inlineStr">
        <is>
          <t>CIV</t>
        </is>
      </c>
      <c r="C1639" t="n">
        <v>1991</v>
      </c>
      <c r="D1639" t="n">
        <v>1.68334849863477</v>
      </c>
    </row>
    <row r="1640">
      <c r="A1640" t="inlineStr">
        <is>
          <t>Cote d'Ivoire</t>
        </is>
      </c>
      <c r="B1640" t="inlineStr">
        <is>
          <t>CIV</t>
        </is>
      </c>
      <c r="C1640" t="n">
        <v>1992</v>
      </c>
      <c r="D1640" t="n">
        <v>4.2313838286997</v>
      </c>
    </row>
    <row r="1641">
      <c r="A1641" t="inlineStr">
        <is>
          <t>Cote d'Ivoire</t>
        </is>
      </c>
      <c r="B1641" t="inlineStr">
        <is>
          <t>CIV</t>
        </is>
      </c>
      <c r="C1641" t="n">
        <v>1993</v>
      </c>
      <c r="D1641" t="n">
        <v>2.16471453976754</v>
      </c>
    </row>
    <row r="1642">
      <c r="A1642" t="inlineStr">
        <is>
          <t>Cote d'Ivoire</t>
        </is>
      </c>
      <c r="B1642" t="inlineStr">
        <is>
          <t>CIV</t>
        </is>
      </c>
      <c r="C1642" t="n">
        <v>1994</v>
      </c>
      <c r="D1642" t="n">
        <v>26.0815719947161</v>
      </c>
    </row>
    <row r="1643">
      <c r="A1643" t="inlineStr">
        <is>
          <t>Cote d'Ivoire</t>
        </is>
      </c>
      <c r="B1643" t="inlineStr">
        <is>
          <t>CIV</t>
        </is>
      </c>
      <c r="C1643" t="n">
        <v>1995</v>
      </c>
      <c r="D1643" t="n">
        <v>14.2950690851945</v>
      </c>
    </row>
    <row r="1644">
      <c r="A1644" t="inlineStr">
        <is>
          <t>Cote d'Ivoire</t>
        </is>
      </c>
      <c r="B1644" t="inlineStr">
        <is>
          <t>CIV</t>
        </is>
      </c>
      <c r="C1644" t="n">
        <v>1996</v>
      </c>
      <c r="D1644" t="n">
        <v>2.48080669187551</v>
      </c>
    </row>
    <row r="1645">
      <c r="A1645" t="inlineStr">
        <is>
          <t>Cote d'Ivoire</t>
        </is>
      </c>
      <c r="B1645" t="inlineStr">
        <is>
          <t>CIV</t>
        </is>
      </c>
      <c r="C1645" t="n">
        <v>1997</v>
      </c>
      <c r="D1645" t="n">
        <v>4.02083333333304</v>
      </c>
    </row>
    <row r="1646">
      <c r="A1646" t="inlineStr">
        <is>
          <t>Cote d'Ivoire</t>
        </is>
      </c>
      <c r="B1646" t="inlineStr">
        <is>
          <t>CIV</t>
        </is>
      </c>
      <c r="C1646" t="n">
        <v>1998</v>
      </c>
      <c r="D1646" t="n">
        <v>4.61144759515383</v>
      </c>
    </row>
    <row r="1647">
      <c r="A1647" t="inlineStr">
        <is>
          <t>Cote d'Ivoire</t>
        </is>
      </c>
      <c r="B1647" t="inlineStr">
        <is>
          <t>CIV</t>
        </is>
      </c>
      <c r="C1647" t="n">
        <v>1999</v>
      </c>
      <c r="D1647" t="n">
        <v>0.7023758059559601</v>
      </c>
    </row>
    <row r="1648">
      <c r="A1648" t="inlineStr">
        <is>
          <t>Cote d'Ivoire</t>
        </is>
      </c>
      <c r="B1648" t="inlineStr">
        <is>
          <t>CIV</t>
        </is>
      </c>
      <c r="C1648" t="n">
        <v>2000</v>
      </c>
      <c r="D1648" t="n">
        <v>2.53077516737987</v>
      </c>
    </row>
    <row r="1649">
      <c r="A1649" t="inlineStr">
        <is>
          <t>Cote d'Ivoire</t>
        </is>
      </c>
      <c r="B1649" t="inlineStr">
        <is>
          <t>CIV</t>
        </is>
      </c>
      <c r="C1649" t="n">
        <v>2001</v>
      </c>
      <c r="D1649" t="n">
        <v>4.36152914007262</v>
      </c>
    </row>
    <row r="1650">
      <c r="A1650" t="inlineStr">
        <is>
          <t>Cote d'Ivoire</t>
        </is>
      </c>
      <c r="B1650" t="inlineStr">
        <is>
          <t>CIV</t>
        </is>
      </c>
      <c r="C1650" t="n">
        <v>2002</v>
      </c>
      <c r="D1650" t="n">
        <v>3.0772648515743</v>
      </c>
    </row>
    <row r="1651">
      <c r="A1651" t="inlineStr">
        <is>
          <t>Cote d'Ivoire</t>
        </is>
      </c>
      <c r="B1651" t="inlineStr">
        <is>
          <t>CIV</t>
        </is>
      </c>
      <c r="C1651" t="n">
        <v>2003</v>
      </c>
      <c r="D1651" t="n">
        <v>3.29680746974211</v>
      </c>
    </row>
    <row r="1652">
      <c r="A1652" t="inlineStr">
        <is>
          <t>Cote d'Ivoire</t>
        </is>
      </c>
      <c r="B1652" t="inlineStr">
        <is>
          <t>CIV</t>
        </is>
      </c>
      <c r="C1652" t="n">
        <v>2004</v>
      </c>
      <c r="D1652" t="n">
        <v>1.45798835600739</v>
      </c>
    </row>
    <row r="1653">
      <c r="A1653" t="inlineStr">
        <is>
          <t>Cote d'Ivoire</t>
        </is>
      </c>
      <c r="B1653" t="inlineStr">
        <is>
          <t>CIV</t>
        </is>
      </c>
      <c r="C1653" t="n">
        <v>2005</v>
      </c>
      <c r="D1653" t="n">
        <v>3.88583039886476</v>
      </c>
    </row>
    <row r="1654">
      <c r="A1654" t="inlineStr">
        <is>
          <t>Cote d'Ivoire</t>
        </is>
      </c>
      <c r="B1654" t="inlineStr">
        <is>
          <t>CIV</t>
        </is>
      </c>
      <c r="C1654" t="n">
        <v>2006</v>
      </c>
      <c r="D1654" t="n">
        <v>2.46719148596918</v>
      </c>
    </row>
    <row r="1655">
      <c r="A1655" t="inlineStr">
        <is>
          <t>Cote d'Ivoire</t>
        </is>
      </c>
      <c r="B1655" t="inlineStr">
        <is>
          <t>CIV</t>
        </is>
      </c>
      <c r="C1655" t="n">
        <v>2007</v>
      </c>
      <c r="D1655" t="n">
        <v>1.89200629349597</v>
      </c>
    </row>
    <row r="1656">
      <c r="A1656" t="inlineStr">
        <is>
          <t>Cote d'Ivoire</t>
        </is>
      </c>
      <c r="B1656" t="inlineStr">
        <is>
          <t>CIV</t>
        </is>
      </c>
      <c r="C1656" t="n">
        <v>2008</v>
      </c>
      <c r="D1656" t="n">
        <v>6.30852769152581</v>
      </c>
    </row>
    <row r="1657">
      <c r="A1657" t="inlineStr">
        <is>
          <t>Cote d'Ivoire</t>
        </is>
      </c>
      <c r="B1657" t="inlineStr">
        <is>
          <t>CIV</t>
        </is>
      </c>
      <c r="C1657" t="n">
        <v>2009</v>
      </c>
      <c r="D1657" t="n">
        <v>1.01950457731133</v>
      </c>
    </row>
    <row r="1658">
      <c r="A1658" t="inlineStr">
        <is>
          <t>Cote d'Ivoire</t>
        </is>
      </c>
      <c r="B1658" t="inlineStr">
        <is>
          <t>CIV</t>
        </is>
      </c>
      <c r="C1658" t="n">
        <v>2010</v>
      </c>
      <c r="D1658" t="n">
        <v>1.22645612135479</v>
      </c>
    </row>
    <row r="1659">
      <c r="A1659" t="inlineStr">
        <is>
          <t>Cote d'Ivoire</t>
        </is>
      </c>
      <c r="B1659" t="inlineStr">
        <is>
          <t>CIV</t>
        </is>
      </c>
      <c r="C1659" t="n">
        <v>2011</v>
      </c>
      <c r="D1659" t="n">
        <v>4.9124339505246</v>
      </c>
    </row>
    <row r="1660">
      <c r="A1660" t="inlineStr">
        <is>
          <t>Cote d'Ivoire</t>
        </is>
      </c>
      <c r="B1660" t="inlineStr">
        <is>
          <t>CIV</t>
        </is>
      </c>
      <c r="C1660" t="n">
        <v>2012</v>
      </c>
      <c r="D1660" t="n">
        <v>1.30451119915597</v>
      </c>
    </row>
    <row r="1661">
      <c r="A1661" t="inlineStr">
        <is>
          <t>Cote d'Ivoire</t>
        </is>
      </c>
      <c r="B1661" t="inlineStr">
        <is>
          <t>CIV</t>
        </is>
      </c>
      <c r="C1661" t="n">
        <v>2013</v>
      </c>
      <c r="D1661" t="n">
        <v>2.58117037252936</v>
      </c>
    </row>
    <row r="1662">
      <c r="A1662" t="inlineStr">
        <is>
          <t>Cote d'Ivoire</t>
        </is>
      </c>
      <c r="B1662" t="inlineStr">
        <is>
          <t>CIV</t>
        </is>
      </c>
      <c r="C1662" t="n">
        <v>2014</v>
      </c>
      <c r="D1662" t="n">
        <v>0.448682076766141</v>
      </c>
    </row>
    <row r="1663">
      <c r="A1663" t="inlineStr">
        <is>
          <t>Cote d'Ivoire</t>
        </is>
      </c>
      <c r="B1663" t="inlineStr">
        <is>
          <t>CIV</t>
        </is>
      </c>
      <c r="C1663" t="n">
        <v>2015</v>
      </c>
      <c r="D1663" t="n">
        <v>1.25149954781477</v>
      </c>
    </row>
    <row r="1664">
      <c r="A1664" t="inlineStr">
        <is>
          <t>Cote d'Ivoire</t>
        </is>
      </c>
      <c r="B1664" t="inlineStr">
        <is>
          <t>CIV</t>
        </is>
      </c>
      <c r="C1664" t="n">
        <v>2016</v>
      </c>
      <c r="D1664" t="n">
        <v>0.723178457513217</v>
      </c>
    </row>
    <row r="1665">
      <c r="A1665" t="inlineStr">
        <is>
          <t>Cote d'Ivoire</t>
        </is>
      </c>
      <c r="B1665" t="inlineStr">
        <is>
          <t>CIV</t>
        </is>
      </c>
      <c r="C1665" t="n">
        <v>2017</v>
      </c>
      <c r="D1665" t="n">
        <v>0.685881065304603</v>
      </c>
    </row>
    <row r="1666">
      <c r="A1666" t="inlineStr">
        <is>
          <t>Cote d'Ivoire</t>
        </is>
      </c>
      <c r="B1666" t="inlineStr">
        <is>
          <t>CIV</t>
        </is>
      </c>
      <c r="C1666" t="n">
        <v>2018</v>
      </c>
      <c r="D1666" t="n">
        <v>0.359409031380677</v>
      </c>
    </row>
    <row r="1667">
      <c r="A1667" t="inlineStr">
        <is>
          <t>Cote d'Ivoire</t>
        </is>
      </c>
      <c r="B1667" t="inlineStr">
        <is>
          <t>CIV</t>
        </is>
      </c>
      <c r="C1667" t="n">
        <v>2019</v>
      </c>
      <c r="D1667" t="n">
        <v>-1.10686343994188</v>
      </c>
    </row>
    <row r="1668">
      <c r="A1668" t="inlineStr">
        <is>
          <t>Cote d'Ivoire</t>
        </is>
      </c>
      <c r="B1668" t="inlineStr">
        <is>
          <t>CIV</t>
        </is>
      </c>
      <c r="C1668" t="n">
        <v>2020</v>
      </c>
      <c r="D1668" t="n">
        <v>2.42500656821815</v>
      </c>
    </row>
    <row r="1669">
      <c r="A1669" t="inlineStr">
        <is>
          <t>Cote d'Ivoire</t>
        </is>
      </c>
      <c r="B1669" t="inlineStr">
        <is>
          <t>CIV</t>
        </is>
      </c>
      <c r="C1669" t="n">
        <v>2021</v>
      </c>
      <c r="D1669" t="n">
        <v>4.09195189692863</v>
      </c>
    </row>
    <row r="1670">
      <c r="A1670" t="inlineStr">
        <is>
          <t>Cote d'Ivoire</t>
        </is>
      </c>
      <c r="B1670" t="inlineStr">
        <is>
          <t>CIV</t>
        </is>
      </c>
      <c r="C1670" t="n">
        <v>2022</v>
      </c>
      <c r="D1670" t="n">
        <v>5.27616724262846</v>
      </c>
    </row>
    <row r="1671">
      <c r="A1671" t="inlineStr">
        <is>
          <t>Cote d'Ivoire</t>
        </is>
      </c>
      <c r="B1671" t="inlineStr">
        <is>
          <t>CIV</t>
        </is>
      </c>
      <c r="C1671" t="n">
        <v>2023</v>
      </c>
      <c r="D1671" t="n">
        <v>4.38711707003279</v>
      </c>
    </row>
    <row r="1672">
      <c r="A1672" t="inlineStr">
        <is>
          <t>Cote d'Ivoire</t>
        </is>
      </c>
      <c r="B1672" t="inlineStr">
        <is>
          <t>CIV</t>
        </is>
      </c>
      <c r="C1672" t="n">
        <v>2024</v>
      </c>
      <c r="D1672" t="n">
        <v>3.46637314660165</v>
      </c>
    </row>
    <row r="1673">
      <c r="A1673" t="inlineStr">
        <is>
          <t>Cameroon</t>
        </is>
      </c>
      <c r="B1673" t="inlineStr">
        <is>
          <t>CMR</t>
        </is>
      </c>
      <c r="C1673" t="n">
        <v>1969</v>
      </c>
      <c r="D1673" t="n">
        <v>-1.1015911872741</v>
      </c>
    </row>
    <row r="1674">
      <c r="A1674" t="inlineStr">
        <is>
          <t>Cameroon</t>
        </is>
      </c>
      <c r="B1674" t="inlineStr">
        <is>
          <t>CMR</t>
        </is>
      </c>
      <c r="C1674" t="n">
        <v>1970</v>
      </c>
      <c r="D1674" t="n">
        <v>5.8580858085174</v>
      </c>
    </row>
    <row r="1675">
      <c r="A1675" t="inlineStr">
        <is>
          <t>Cameroon</t>
        </is>
      </c>
      <c r="B1675" t="inlineStr">
        <is>
          <t>CMR</t>
        </is>
      </c>
      <c r="C1675" t="n">
        <v>1971</v>
      </c>
      <c r="D1675" t="n">
        <v>4.01402961809857</v>
      </c>
    </row>
    <row r="1676">
      <c r="A1676" t="inlineStr">
        <is>
          <t>Cameroon</t>
        </is>
      </c>
      <c r="B1676" t="inlineStr">
        <is>
          <t>CMR</t>
        </is>
      </c>
      <c r="C1676" t="n">
        <v>1972</v>
      </c>
      <c r="D1676" t="n">
        <v>8.092918695796209</v>
      </c>
    </row>
    <row r="1677">
      <c r="A1677" t="inlineStr">
        <is>
          <t>Cameroon</t>
        </is>
      </c>
      <c r="B1677" t="inlineStr">
        <is>
          <t>CMR</t>
        </is>
      </c>
      <c r="C1677" t="n">
        <v>1973</v>
      </c>
      <c r="D1677" t="n">
        <v>10.3847487003839</v>
      </c>
    </row>
    <row r="1678">
      <c r="A1678" t="inlineStr">
        <is>
          <t>Cameroon</t>
        </is>
      </c>
      <c r="B1678" t="inlineStr">
        <is>
          <t>CMR</t>
        </is>
      </c>
      <c r="C1678" t="n">
        <v>1974</v>
      </c>
      <c r="D1678" t="n">
        <v>17.2329334923306</v>
      </c>
    </row>
    <row r="1679">
      <c r="A1679" t="inlineStr">
        <is>
          <t>Cameroon</t>
        </is>
      </c>
      <c r="B1679" t="inlineStr">
        <is>
          <t>CMR</t>
        </is>
      </c>
      <c r="C1679" t="n">
        <v>1975</v>
      </c>
      <c r="D1679" t="n">
        <v>13.5533294051262</v>
      </c>
    </row>
    <row r="1680">
      <c r="A1680" t="inlineStr">
        <is>
          <t>Cameroon</t>
        </is>
      </c>
      <c r="B1680" t="inlineStr">
        <is>
          <t>CMR</t>
        </is>
      </c>
      <c r="C1680" t="n">
        <v>1976</v>
      </c>
      <c r="D1680" t="n">
        <v>9.930650563697251</v>
      </c>
    </row>
    <row r="1681">
      <c r="A1681" t="inlineStr">
        <is>
          <t>Cameroon</t>
        </is>
      </c>
      <c r="B1681" t="inlineStr">
        <is>
          <t>CMR</t>
        </is>
      </c>
      <c r="C1681" t="n">
        <v>1977</v>
      </c>
      <c r="D1681" t="n">
        <v>14.6983091581554</v>
      </c>
    </row>
    <row r="1682">
      <c r="A1682" t="inlineStr">
        <is>
          <t>Cameroon</t>
        </is>
      </c>
      <c r="B1682" t="inlineStr">
        <is>
          <t>CMR</t>
        </is>
      </c>
      <c r="C1682" t="n">
        <v>1978</v>
      </c>
      <c r="D1682" t="n">
        <v>12.4630523441787</v>
      </c>
    </row>
    <row r="1683">
      <c r="A1683" t="inlineStr">
        <is>
          <t>Cameroon</t>
        </is>
      </c>
      <c r="B1683" t="inlineStr">
        <is>
          <t>CMR</t>
        </is>
      </c>
      <c r="C1683" t="n">
        <v>1979</v>
      </c>
      <c r="D1683" t="n">
        <v>6.58061081902716</v>
      </c>
    </row>
    <row r="1684">
      <c r="A1684" t="inlineStr">
        <is>
          <t>Cameroon</t>
        </is>
      </c>
      <c r="B1684" t="inlineStr">
        <is>
          <t>CMR</t>
        </is>
      </c>
      <c r="C1684" t="n">
        <v>1980</v>
      </c>
      <c r="D1684" t="n">
        <v>9.55175427642866</v>
      </c>
    </row>
    <row r="1685">
      <c r="A1685" t="inlineStr">
        <is>
          <t>Cameroon</t>
        </is>
      </c>
      <c r="B1685" t="inlineStr">
        <is>
          <t>CMR</t>
        </is>
      </c>
      <c r="C1685" t="n">
        <v>1981</v>
      </c>
      <c r="D1685" t="n">
        <v>10.7275000000004</v>
      </c>
    </row>
    <row r="1686">
      <c r="A1686" t="inlineStr">
        <is>
          <t>Cameroon</t>
        </is>
      </c>
      <c r="B1686" t="inlineStr">
        <is>
          <t>CMR</t>
        </is>
      </c>
      <c r="C1686" t="n">
        <v>1982</v>
      </c>
      <c r="D1686" t="n">
        <v>13.2570198610704</v>
      </c>
    </row>
    <row r="1687">
      <c r="A1687" t="inlineStr">
        <is>
          <t>Cameroon</t>
        </is>
      </c>
      <c r="B1687" t="inlineStr">
        <is>
          <t>CMR</t>
        </is>
      </c>
      <c r="C1687" t="n">
        <v>1983</v>
      </c>
      <c r="D1687" t="n">
        <v>16.6312264100787</v>
      </c>
    </row>
    <row r="1688">
      <c r="A1688" t="inlineStr">
        <is>
          <t>Cameroon</t>
        </is>
      </c>
      <c r="B1688" t="inlineStr">
        <is>
          <t>CMR</t>
        </is>
      </c>
      <c r="C1688" t="n">
        <v>1984</v>
      </c>
      <c r="D1688" t="n">
        <v>11.3733220902937</v>
      </c>
    </row>
    <row r="1689">
      <c r="A1689" t="inlineStr">
        <is>
          <t>Cameroon</t>
        </is>
      </c>
      <c r="B1689" t="inlineStr">
        <is>
          <t>CMR</t>
        </is>
      </c>
      <c r="C1689" t="n">
        <v>1985</v>
      </c>
      <c r="D1689" t="n">
        <v>8.50837434391595</v>
      </c>
    </row>
    <row r="1690">
      <c r="A1690" t="inlineStr">
        <is>
          <t>Cameroon</t>
        </is>
      </c>
      <c r="B1690" t="inlineStr">
        <is>
          <t>CMR</t>
        </is>
      </c>
      <c r="C1690" t="n">
        <v>1986</v>
      </c>
      <c r="D1690" t="n">
        <v>7.77002498703532</v>
      </c>
    </row>
    <row r="1691">
      <c r="A1691" t="inlineStr">
        <is>
          <t>Cameroon</t>
        </is>
      </c>
      <c r="B1691" t="inlineStr">
        <is>
          <t>CMR</t>
        </is>
      </c>
      <c r="C1691" t="n">
        <v>1987</v>
      </c>
      <c r="D1691" t="n">
        <v>13.140499844701</v>
      </c>
    </row>
    <row r="1692">
      <c r="A1692" t="inlineStr">
        <is>
          <t>Cameroon</t>
        </is>
      </c>
      <c r="B1692" t="inlineStr">
        <is>
          <t>CMR</t>
        </is>
      </c>
      <c r="C1692" t="n">
        <v>1988</v>
      </c>
      <c r="D1692" t="n">
        <v>1.6823326077121</v>
      </c>
    </row>
    <row r="1693">
      <c r="A1693" t="inlineStr">
        <is>
          <t>Cameroon</t>
        </is>
      </c>
      <c r="B1693" t="inlineStr">
        <is>
          <t>CMR</t>
        </is>
      </c>
      <c r="C1693" t="n">
        <v>1989</v>
      </c>
      <c r="D1693" t="n">
        <v>-1.66552589550544</v>
      </c>
    </row>
    <row r="1694">
      <c r="A1694" t="inlineStr">
        <is>
          <t>Cameroon</t>
        </is>
      </c>
      <c r="B1694" t="inlineStr">
        <is>
          <t>CMR</t>
        </is>
      </c>
      <c r="C1694" t="n">
        <v>1990</v>
      </c>
      <c r="D1694" t="n">
        <v>1.09938128383608</v>
      </c>
    </row>
    <row r="1695">
      <c r="A1695" t="inlineStr">
        <is>
          <t>Cameroon</t>
        </is>
      </c>
      <c r="B1695" t="inlineStr">
        <is>
          <t>CMR</t>
        </is>
      </c>
      <c r="C1695" t="n">
        <v>1991</v>
      </c>
      <c r="D1695" t="n">
        <v>0.0600513305003455</v>
      </c>
    </row>
    <row r="1696">
      <c r="A1696" t="inlineStr">
        <is>
          <t>Cameroon</t>
        </is>
      </c>
      <c r="B1696" t="inlineStr">
        <is>
          <t>CMR</t>
        </is>
      </c>
      <c r="C1696" t="n">
        <v>1992</v>
      </c>
      <c r="D1696" t="n">
        <v>-0.0160550458717418</v>
      </c>
    </row>
    <row r="1697">
      <c r="A1697" t="inlineStr">
        <is>
          <t>Cameroon</t>
        </is>
      </c>
      <c r="B1697" t="inlineStr">
        <is>
          <t>CMR</t>
        </is>
      </c>
      <c r="C1697" t="n">
        <v>1993</v>
      </c>
      <c r="D1697" t="n">
        <v>-3.20655456915868</v>
      </c>
    </row>
    <row r="1698">
      <c r="A1698" t="inlineStr">
        <is>
          <t>Cameroon</t>
        </is>
      </c>
      <c r="B1698" t="inlineStr">
        <is>
          <t>CMR</t>
        </is>
      </c>
      <c r="C1698" t="n">
        <v>1994</v>
      </c>
      <c r="D1698" t="n">
        <v>35.0944618459464</v>
      </c>
    </row>
    <row r="1699">
      <c r="A1699" t="inlineStr">
        <is>
          <t>Cameroon</t>
        </is>
      </c>
      <c r="B1699" t="inlineStr">
        <is>
          <t>CMR</t>
        </is>
      </c>
      <c r="C1699" t="n">
        <v>1995</v>
      </c>
      <c r="D1699" t="n">
        <v>9.069690719215091</v>
      </c>
    </row>
    <row r="1700">
      <c r="A1700" t="inlineStr">
        <is>
          <t>Cameroon</t>
        </is>
      </c>
      <c r="B1700" t="inlineStr">
        <is>
          <t>CMR</t>
        </is>
      </c>
      <c r="C1700" t="n">
        <v>1996</v>
      </c>
      <c r="D1700" t="n">
        <v>3.92406372749798</v>
      </c>
    </row>
    <row r="1701">
      <c r="A1701" t="inlineStr">
        <is>
          <t>Cameroon</t>
        </is>
      </c>
      <c r="B1701" t="inlineStr">
        <is>
          <t>CMR</t>
        </is>
      </c>
      <c r="C1701" t="n">
        <v>1997</v>
      </c>
      <c r="D1701" t="n">
        <v>4.78623881860376</v>
      </c>
    </row>
    <row r="1702">
      <c r="A1702" t="inlineStr">
        <is>
          <t>Cameroon</t>
        </is>
      </c>
      <c r="B1702" t="inlineStr">
        <is>
          <t>CMR</t>
        </is>
      </c>
      <c r="C1702" t="n">
        <v>1998</v>
      </c>
      <c r="D1702" t="n">
        <v>3.17075185386907</v>
      </c>
    </row>
    <row r="1703">
      <c r="A1703" t="inlineStr">
        <is>
          <t>Cameroon</t>
        </is>
      </c>
      <c r="B1703" t="inlineStr">
        <is>
          <t>CMR</t>
        </is>
      </c>
      <c r="C1703" t="n">
        <v>1999</v>
      </c>
      <c r="D1703" t="n">
        <v>1.87174500672008</v>
      </c>
    </row>
    <row r="1704">
      <c r="A1704" t="inlineStr">
        <is>
          <t>Cameroon</t>
        </is>
      </c>
      <c r="B1704" t="inlineStr">
        <is>
          <t>CMR</t>
        </is>
      </c>
      <c r="C1704" t="n">
        <v>2000</v>
      </c>
      <c r="D1704" t="n">
        <v>1.22719012976132</v>
      </c>
    </row>
    <row r="1705">
      <c r="A1705" t="inlineStr">
        <is>
          <t>Cameroon</t>
        </is>
      </c>
      <c r="B1705" t="inlineStr">
        <is>
          <t>CMR</t>
        </is>
      </c>
      <c r="C1705" t="n">
        <v>2001</v>
      </c>
      <c r="D1705" t="n">
        <v>4.41977245881146</v>
      </c>
    </row>
    <row r="1706">
      <c r="A1706" t="inlineStr">
        <is>
          <t>Cameroon</t>
        </is>
      </c>
      <c r="B1706" t="inlineStr">
        <is>
          <t>CMR</t>
        </is>
      </c>
      <c r="C1706" t="n">
        <v>2002</v>
      </c>
      <c r="D1706" t="n">
        <v>2.83442260128067</v>
      </c>
    </row>
    <row r="1707">
      <c r="A1707" t="inlineStr">
        <is>
          <t>Cameroon</t>
        </is>
      </c>
      <c r="B1707" t="inlineStr">
        <is>
          <t>CMR</t>
        </is>
      </c>
      <c r="C1707" t="n">
        <v>2003</v>
      </c>
      <c r="D1707" t="n">
        <v>0.6231635573743159</v>
      </c>
    </row>
    <row r="1708">
      <c r="A1708" t="inlineStr">
        <is>
          <t>Cameroon</t>
        </is>
      </c>
      <c r="B1708" t="inlineStr">
        <is>
          <t>CMR</t>
        </is>
      </c>
      <c r="C1708" t="n">
        <v>2004</v>
      </c>
      <c r="D1708" t="n">
        <v>0.233647380067584</v>
      </c>
    </row>
    <row r="1709">
      <c r="A1709" t="inlineStr">
        <is>
          <t>Cameroon</t>
        </is>
      </c>
      <c r="B1709" t="inlineStr">
        <is>
          <t>CMR</t>
        </is>
      </c>
      <c r="C1709" t="n">
        <v>2005</v>
      </c>
      <c r="D1709" t="n">
        <v>2.01353950175986</v>
      </c>
    </row>
    <row r="1710">
      <c r="A1710" t="inlineStr">
        <is>
          <t>Cameroon</t>
        </is>
      </c>
      <c r="B1710" t="inlineStr">
        <is>
          <t>CMR</t>
        </is>
      </c>
      <c r="C1710" t="n">
        <v>2006</v>
      </c>
      <c r="D1710" t="n">
        <v>5.11757816019469</v>
      </c>
    </row>
    <row r="1711">
      <c r="A1711" t="inlineStr">
        <is>
          <t>Cameroon</t>
        </is>
      </c>
      <c r="B1711" t="inlineStr">
        <is>
          <t>CMR</t>
        </is>
      </c>
      <c r="C1711" t="n">
        <v>2007</v>
      </c>
      <c r="D1711" t="n">
        <v>0.921402245650095</v>
      </c>
    </row>
    <row r="1712">
      <c r="A1712" t="inlineStr">
        <is>
          <t>Cameroon</t>
        </is>
      </c>
      <c r="B1712" t="inlineStr">
        <is>
          <t>CMR</t>
        </is>
      </c>
      <c r="C1712" t="n">
        <v>2008</v>
      </c>
      <c r="D1712" t="n">
        <v>5.33780627627498</v>
      </c>
    </row>
    <row r="1713">
      <c r="A1713" t="inlineStr">
        <is>
          <t>Cameroon</t>
        </is>
      </c>
      <c r="B1713" t="inlineStr">
        <is>
          <t>CMR</t>
        </is>
      </c>
      <c r="C1713" t="n">
        <v>2009</v>
      </c>
      <c r="D1713" t="n">
        <v>3.04361847939999</v>
      </c>
    </row>
    <row r="1714">
      <c r="A1714" t="inlineStr">
        <is>
          <t>Cameroon</t>
        </is>
      </c>
      <c r="B1714" t="inlineStr">
        <is>
          <t>CMR</t>
        </is>
      </c>
      <c r="C1714" t="n">
        <v>2010</v>
      </c>
      <c r="D1714" t="n">
        <v>1.27538046242338</v>
      </c>
    </row>
    <row r="1715">
      <c r="A1715" t="inlineStr">
        <is>
          <t>Cameroon</t>
        </is>
      </c>
      <c r="B1715" t="inlineStr">
        <is>
          <t>CMR</t>
        </is>
      </c>
      <c r="C1715" t="n">
        <v>2011</v>
      </c>
      <c r="D1715" t="n">
        <v>2.93969946305091</v>
      </c>
    </row>
    <row r="1716">
      <c r="A1716" t="inlineStr">
        <is>
          <t>Cameroon</t>
        </is>
      </c>
      <c r="B1716" t="inlineStr">
        <is>
          <t>CMR</t>
        </is>
      </c>
      <c r="C1716" t="n">
        <v>2012</v>
      </c>
      <c r="D1716" t="n">
        <v>2.73529677529539</v>
      </c>
    </row>
    <row r="1717">
      <c r="A1717" t="inlineStr">
        <is>
          <t>Cameroon</t>
        </is>
      </c>
      <c r="B1717" t="inlineStr">
        <is>
          <t>CMR</t>
        </is>
      </c>
      <c r="C1717" t="n">
        <v>2013</v>
      </c>
      <c r="D1717" t="n">
        <v>2.05034718001741</v>
      </c>
    </row>
    <row r="1718">
      <c r="A1718" t="inlineStr">
        <is>
          <t>Cameroon</t>
        </is>
      </c>
      <c r="B1718" t="inlineStr">
        <is>
          <t>CMR</t>
        </is>
      </c>
      <c r="C1718" t="n">
        <v>2014</v>
      </c>
      <c r="D1718" t="n">
        <v>1.85489850366777</v>
      </c>
    </row>
    <row r="1719">
      <c r="A1719" t="inlineStr">
        <is>
          <t>Cameroon</t>
        </is>
      </c>
      <c r="B1719" t="inlineStr">
        <is>
          <t>CMR</t>
        </is>
      </c>
      <c r="C1719" t="n">
        <v>2015</v>
      </c>
      <c r="D1719" t="n">
        <v>2.676235314199</v>
      </c>
    </row>
    <row r="1720">
      <c r="A1720" t="inlineStr">
        <is>
          <t>Cameroon</t>
        </is>
      </c>
      <c r="B1720" t="inlineStr">
        <is>
          <t>CMR</t>
        </is>
      </c>
      <c r="C1720" t="n">
        <v>2016</v>
      </c>
      <c r="D1720" t="n">
        <v>0.874190383288856</v>
      </c>
    </row>
    <row r="1721">
      <c r="A1721" t="inlineStr">
        <is>
          <t>Cameroon</t>
        </is>
      </c>
      <c r="B1721" t="inlineStr">
        <is>
          <t>CMR</t>
        </is>
      </c>
      <c r="C1721" t="n">
        <v>2017</v>
      </c>
      <c r="D1721" t="n">
        <v>0.64040914988195</v>
      </c>
    </row>
    <row r="1722">
      <c r="A1722" t="inlineStr">
        <is>
          <t>Cameroon</t>
        </is>
      </c>
      <c r="B1722" t="inlineStr">
        <is>
          <t>CMR</t>
        </is>
      </c>
      <c r="C1722" t="n">
        <v>2018</v>
      </c>
      <c r="D1722" t="n">
        <v>1.0688581131292</v>
      </c>
    </row>
    <row r="1723">
      <c r="A1723" t="inlineStr">
        <is>
          <t>Cameroon</t>
        </is>
      </c>
      <c r="B1723" t="inlineStr">
        <is>
          <t>CMR</t>
        </is>
      </c>
      <c r="C1723" t="n">
        <v>2019</v>
      </c>
      <c r="D1723" t="n">
        <v>2.45280214062732</v>
      </c>
    </row>
    <row r="1724">
      <c r="A1724" t="inlineStr">
        <is>
          <t>Cameroon</t>
        </is>
      </c>
      <c r="B1724" t="inlineStr">
        <is>
          <t>CMR</t>
        </is>
      </c>
      <c r="C1724" t="n">
        <v>2020</v>
      </c>
      <c r="D1724" t="n">
        <v>2.43760882182236</v>
      </c>
    </row>
    <row r="1725">
      <c r="A1725" t="inlineStr">
        <is>
          <t>Cameroon</t>
        </is>
      </c>
      <c r="B1725" t="inlineStr">
        <is>
          <t>CMR</t>
        </is>
      </c>
      <c r="C1725" t="n">
        <v>2021</v>
      </c>
      <c r="D1725" t="n">
        <v>2.27185762503637</v>
      </c>
    </row>
    <row r="1726">
      <c r="A1726" t="inlineStr">
        <is>
          <t>Cameroon</t>
        </is>
      </c>
      <c r="B1726" t="inlineStr">
        <is>
          <t>CMR</t>
        </is>
      </c>
      <c r="C1726" t="n">
        <v>2022</v>
      </c>
      <c r="D1726" t="n">
        <v>6.24767713343861</v>
      </c>
    </row>
    <row r="1727">
      <c r="A1727" t="inlineStr">
        <is>
          <t>Cameroon</t>
        </is>
      </c>
      <c r="B1727" t="inlineStr">
        <is>
          <t>CMR</t>
        </is>
      </c>
      <c r="C1727" t="n">
        <v>2023</v>
      </c>
      <c r="D1727" t="n">
        <v>7.38281384280984</v>
      </c>
    </row>
    <row r="1728">
      <c r="A1728" t="inlineStr">
        <is>
          <t>Congo, Dem. Rep.</t>
        </is>
      </c>
      <c r="B1728" t="inlineStr">
        <is>
          <t>COD</t>
        </is>
      </c>
      <c r="C1728" t="n">
        <v>1964</v>
      </c>
      <c r="D1728" t="n">
        <v>35.4210649777883</v>
      </c>
    </row>
    <row r="1729">
      <c r="A1729" t="inlineStr">
        <is>
          <t>Congo, Dem. Rep.</t>
        </is>
      </c>
      <c r="B1729" t="inlineStr">
        <is>
          <t>COD</t>
        </is>
      </c>
      <c r="C1729" t="n">
        <v>1965</v>
      </c>
      <c r="D1729" t="n">
        <v>-2.72698027762915</v>
      </c>
    </row>
    <row r="1730">
      <c r="A1730" t="inlineStr">
        <is>
          <t>Congo, Dem. Rep.</t>
        </is>
      </c>
      <c r="B1730" t="inlineStr">
        <is>
          <t>COD</t>
        </is>
      </c>
      <c r="C1730" t="n">
        <v>1966</v>
      </c>
      <c r="D1730" t="n">
        <v>15.7801012491141</v>
      </c>
    </row>
    <row r="1731">
      <c r="A1731" t="inlineStr">
        <is>
          <t>Congo, Dem. Rep.</t>
        </is>
      </c>
      <c r="B1731" t="inlineStr">
        <is>
          <t>COD</t>
        </is>
      </c>
      <c r="C1731" t="n">
        <v>1967</v>
      </c>
      <c r="D1731" t="n">
        <v>36.9265248728318</v>
      </c>
    </row>
    <row r="1732">
      <c r="A1732" t="inlineStr">
        <is>
          <t>Congo, Dem. Rep.</t>
        </is>
      </c>
      <c r="B1732" t="inlineStr">
        <is>
          <t>COD</t>
        </is>
      </c>
      <c r="C1732" t="n">
        <v>1968</v>
      </c>
      <c r="D1732" t="n">
        <v>53.3216727107739</v>
      </c>
    </row>
    <row r="1733">
      <c r="A1733" t="inlineStr">
        <is>
          <t>Congo, Dem. Rep.</t>
        </is>
      </c>
      <c r="B1733" t="inlineStr">
        <is>
          <t>COD</t>
        </is>
      </c>
      <c r="C1733" t="n">
        <v>1969</v>
      </c>
      <c r="D1733" t="n">
        <v>6.17619573522314</v>
      </c>
    </row>
    <row r="1734">
      <c r="A1734" t="inlineStr">
        <is>
          <t>Congo, Dem. Rep.</t>
        </is>
      </c>
      <c r="B1734" t="inlineStr">
        <is>
          <t>COD</t>
        </is>
      </c>
      <c r="C1734" t="n">
        <v>1970</v>
      </c>
      <c r="D1734" t="n">
        <v>8.02528404548487</v>
      </c>
    </row>
    <row r="1735">
      <c r="A1735" t="inlineStr">
        <is>
          <t>Congo, Dem. Rep.</t>
        </is>
      </c>
      <c r="B1735" t="inlineStr">
        <is>
          <t>COD</t>
        </is>
      </c>
      <c r="C1735" t="n">
        <v>1971</v>
      </c>
      <c r="D1735" t="n">
        <v>5.77734982596516</v>
      </c>
    </row>
    <row r="1736">
      <c r="A1736" t="inlineStr">
        <is>
          <t>Congo, Dem. Rep.</t>
        </is>
      </c>
      <c r="B1736" t="inlineStr">
        <is>
          <t>COD</t>
        </is>
      </c>
      <c r="C1736" t="n">
        <v>1972</v>
      </c>
      <c r="D1736" t="n">
        <v>15.8042153907951</v>
      </c>
    </row>
    <row r="1737">
      <c r="A1737" t="inlineStr">
        <is>
          <t>Congo, Dem. Rep.</t>
        </is>
      </c>
      <c r="B1737" t="inlineStr">
        <is>
          <t>COD</t>
        </is>
      </c>
      <c r="C1737" t="n">
        <v>1973</v>
      </c>
      <c r="D1737" t="n">
        <v>15.6427621238194</v>
      </c>
    </row>
    <row r="1738">
      <c r="A1738" t="inlineStr">
        <is>
          <t>Congo, Dem. Rep.</t>
        </is>
      </c>
      <c r="B1738" t="inlineStr">
        <is>
          <t>COD</t>
        </is>
      </c>
      <c r="C1738" t="n">
        <v>1974</v>
      </c>
      <c r="D1738" t="n">
        <v>29.4692810459945</v>
      </c>
    </row>
    <row r="1739">
      <c r="A1739" t="inlineStr">
        <is>
          <t>Congo, Dem. Rep.</t>
        </is>
      </c>
      <c r="B1739" t="inlineStr">
        <is>
          <t>COD</t>
        </is>
      </c>
      <c r="C1739" t="n">
        <v>1975</v>
      </c>
      <c r="D1739" t="n">
        <v>28.6579701952268</v>
      </c>
    </row>
    <row r="1740">
      <c r="A1740" t="inlineStr">
        <is>
          <t>Congo, Dem. Rep.</t>
        </is>
      </c>
      <c r="B1740" t="inlineStr">
        <is>
          <t>COD</t>
        </is>
      </c>
      <c r="C1740" t="n">
        <v>1976</v>
      </c>
      <c r="D1740" t="n">
        <v>80.38595907541399</v>
      </c>
    </row>
    <row r="1741">
      <c r="A1741" t="inlineStr">
        <is>
          <t>Congo, Dem. Rep.</t>
        </is>
      </c>
      <c r="B1741" t="inlineStr">
        <is>
          <t>COD</t>
        </is>
      </c>
      <c r="C1741" t="n">
        <v>1977</v>
      </c>
      <c r="D1741" t="n">
        <v>68.94770819899971</v>
      </c>
    </row>
    <row r="1742">
      <c r="A1742" t="inlineStr">
        <is>
          <t>Congo, Dem. Rep.</t>
        </is>
      </c>
      <c r="B1742" t="inlineStr">
        <is>
          <t>COD</t>
        </is>
      </c>
      <c r="C1742" t="n">
        <v>1978</v>
      </c>
      <c r="D1742" t="n">
        <v>48.7690376115202</v>
      </c>
    </row>
    <row r="1743">
      <c r="A1743" t="inlineStr">
        <is>
          <t>Congo, Dem. Rep.</t>
        </is>
      </c>
      <c r="B1743" t="inlineStr">
        <is>
          <t>COD</t>
        </is>
      </c>
      <c r="C1743" t="n">
        <v>1979</v>
      </c>
      <c r="D1743" t="n">
        <v>101.051260411497</v>
      </c>
    </row>
    <row r="1744">
      <c r="A1744" t="inlineStr">
        <is>
          <t>Congo, Dem. Rep.</t>
        </is>
      </c>
      <c r="B1744" t="inlineStr">
        <is>
          <t>COD</t>
        </is>
      </c>
      <c r="C1744" t="n">
        <v>1980</v>
      </c>
      <c r="D1744" t="n">
        <v>46.6259068303308</v>
      </c>
    </row>
    <row r="1745">
      <c r="A1745" t="inlineStr">
        <is>
          <t>Congo, Dem. Rep.</t>
        </is>
      </c>
      <c r="B1745" t="inlineStr">
        <is>
          <t>COD</t>
        </is>
      </c>
      <c r="C1745" t="n">
        <v>1981</v>
      </c>
      <c r="D1745" t="n">
        <v>35.4082648744294</v>
      </c>
    </row>
    <row r="1746">
      <c r="A1746" t="inlineStr">
        <is>
          <t>Congo, Dem. Rep.</t>
        </is>
      </c>
      <c r="B1746" t="inlineStr">
        <is>
          <t>COD</t>
        </is>
      </c>
      <c r="C1746" t="n">
        <v>1982</v>
      </c>
      <c r="D1746" t="n">
        <v>36.6996975740914</v>
      </c>
    </row>
    <row r="1747">
      <c r="A1747" t="inlineStr">
        <is>
          <t>Congo, Dem. Rep.</t>
        </is>
      </c>
      <c r="B1747" t="inlineStr">
        <is>
          <t>COD</t>
        </is>
      </c>
      <c r="C1747" t="n">
        <v>1983</v>
      </c>
      <c r="D1747" t="n">
        <v>76.5266976662658</v>
      </c>
    </row>
    <row r="1748">
      <c r="A1748" t="inlineStr">
        <is>
          <t>Congo, Dem. Rep.</t>
        </is>
      </c>
      <c r="B1748" t="inlineStr">
        <is>
          <t>COD</t>
        </is>
      </c>
      <c r="C1748" t="n">
        <v>1984</v>
      </c>
      <c r="D1748" t="n">
        <v>52.2270113573208</v>
      </c>
    </row>
    <row r="1749">
      <c r="A1749" t="inlineStr">
        <is>
          <t>Congo, Dem. Rep.</t>
        </is>
      </c>
      <c r="B1749" t="inlineStr">
        <is>
          <t>COD</t>
        </is>
      </c>
      <c r="C1749" t="n">
        <v>1985</v>
      </c>
      <c r="D1749" t="n">
        <v>23.820784521335</v>
      </c>
    </row>
    <row r="1750">
      <c r="A1750" t="inlineStr">
        <is>
          <t>Congo, Dem. Rep.</t>
        </is>
      </c>
      <c r="B1750" t="inlineStr">
        <is>
          <t>COD</t>
        </is>
      </c>
      <c r="C1750" t="n">
        <v>1986</v>
      </c>
      <c r="D1750" t="n">
        <v>44.4</v>
      </c>
    </row>
    <row r="1751">
      <c r="A1751" t="inlineStr">
        <is>
          <t>Congo, Dem. Rep.</t>
        </is>
      </c>
      <c r="B1751" t="inlineStr">
        <is>
          <t>COD</t>
        </is>
      </c>
      <c r="C1751" t="n">
        <v>1987</v>
      </c>
      <c r="D1751" t="n">
        <v>78.6703601108033</v>
      </c>
    </row>
    <row r="1752">
      <c r="A1752" t="inlineStr">
        <is>
          <t>Congo, Dem. Rep.</t>
        </is>
      </c>
      <c r="B1752" t="inlineStr">
        <is>
          <t>COD</t>
        </is>
      </c>
      <c r="C1752" t="n">
        <v>1988</v>
      </c>
      <c r="D1752" t="n">
        <v>71.0917312661503</v>
      </c>
    </row>
    <row r="1753">
      <c r="A1753" t="inlineStr">
        <is>
          <t>Congo, Dem. Rep.</t>
        </is>
      </c>
      <c r="B1753" t="inlineStr">
        <is>
          <t>COD</t>
        </is>
      </c>
      <c r="C1753" t="n">
        <v>1989</v>
      </c>
      <c r="D1753" t="n">
        <v>104.06522942826</v>
      </c>
    </row>
    <row r="1754">
      <c r="A1754" t="inlineStr">
        <is>
          <t>Congo, Dem. Rep.</t>
        </is>
      </c>
      <c r="B1754" t="inlineStr">
        <is>
          <t>COD</t>
        </is>
      </c>
      <c r="C1754" t="n">
        <v>1990</v>
      </c>
      <c r="D1754" t="n">
        <v>81.295404814004</v>
      </c>
    </row>
    <row r="1755">
      <c r="A1755" t="inlineStr">
        <is>
          <t>Congo, Dem. Rep.</t>
        </is>
      </c>
      <c r="B1755" t="inlineStr">
        <is>
          <t>COD</t>
        </is>
      </c>
      <c r="C1755" t="n">
        <v>1991</v>
      </c>
      <c r="D1755" t="n">
        <v>2154.43682711341</v>
      </c>
    </row>
    <row r="1756">
      <c r="A1756" t="inlineStr">
        <is>
          <t>Congo, Dem. Rep.</t>
        </is>
      </c>
      <c r="B1756" t="inlineStr">
        <is>
          <t>COD</t>
        </is>
      </c>
      <c r="C1756" t="n">
        <v>1992</v>
      </c>
      <c r="D1756" t="n">
        <v>4129.16985661558</v>
      </c>
    </row>
    <row r="1757">
      <c r="A1757" t="inlineStr">
        <is>
          <t>Congo, Dem. Rep.</t>
        </is>
      </c>
      <c r="B1757" t="inlineStr">
        <is>
          <t>COD</t>
        </is>
      </c>
      <c r="C1757" t="n">
        <v>1993</v>
      </c>
      <c r="D1757" t="n">
        <v>1986.90476190476</v>
      </c>
    </row>
    <row r="1758">
      <c r="A1758" t="inlineStr">
        <is>
          <t>Congo, Dem. Rep.</t>
        </is>
      </c>
      <c r="B1758" t="inlineStr">
        <is>
          <t>COD</t>
        </is>
      </c>
      <c r="C1758" t="n">
        <v>1994</v>
      </c>
      <c r="D1758" t="n">
        <v>23773.1317741016</v>
      </c>
    </row>
    <row r="1759">
      <c r="A1759" t="inlineStr">
        <is>
          <t>Congo, Dem. Rep.</t>
        </is>
      </c>
      <c r="B1759" t="inlineStr">
        <is>
          <t>COD</t>
        </is>
      </c>
      <c r="C1759" t="n">
        <v>1995</v>
      </c>
      <c r="D1759" t="n">
        <v>541.908883239027</v>
      </c>
    </row>
    <row r="1760">
      <c r="A1760" t="inlineStr">
        <is>
          <t>Congo, Dem. Rep.</t>
        </is>
      </c>
      <c r="B1760" t="inlineStr">
        <is>
          <t>COD</t>
        </is>
      </c>
      <c r="C1760" t="n">
        <v>1996</v>
      </c>
      <c r="D1760" t="n">
        <v>492.441850235414</v>
      </c>
    </row>
    <row r="1761">
      <c r="A1761" t="inlineStr">
        <is>
          <t>Congo, Dem. Rep.</t>
        </is>
      </c>
      <c r="B1761" t="inlineStr">
        <is>
          <t>COD</t>
        </is>
      </c>
      <c r="C1761" t="n">
        <v>1997</v>
      </c>
      <c r="D1761" t="n">
        <v>198.516707416463</v>
      </c>
    </row>
    <row r="1762">
      <c r="A1762" t="inlineStr">
        <is>
          <t>Congo, Dem. Rep.</t>
        </is>
      </c>
      <c r="B1762" t="inlineStr">
        <is>
          <t>COD</t>
        </is>
      </c>
      <c r="C1762" t="n">
        <v>1998</v>
      </c>
      <c r="D1762" t="n">
        <v>29.1488069236652</v>
      </c>
    </row>
    <row r="1763">
      <c r="A1763" t="inlineStr">
        <is>
          <t>Congo, Dem. Rep.</t>
        </is>
      </c>
      <c r="B1763" t="inlineStr">
        <is>
          <t>COD</t>
        </is>
      </c>
      <c r="C1763" t="n">
        <v>1999</v>
      </c>
      <c r="D1763" t="n">
        <v>284.894975914087</v>
      </c>
    </row>
    <row r="1764">
      <c r="A1764" t="inlineStr">
        <is>
          <t>Congo, Dem. Rep.</t>
        </is>
      </c>
      <c r="B1764" t="inlineStr">
        <is>
          <t>COD</t>
        </is>
      </c>
      <c r="C1764" t="n">
        <v>2000</v>
      </c>
      <c r="D1764" t="n">
        <v>513.906843747535</v>
      </c>
    </row>
    <row r="1765">
      <c r="A1765" t="inlineStr">
        <is>
          <t>Congo, Dem. Rep.</t>
        </is>
      </c>
      <c r="B1765" t="inlineStr">
        <is>
          <t>COD</t>
        </is>
      </c>
      <c r="C1765" t="n">
        <v>2001</v>
      </c>
      <c r="D1765" t="n">
        <v>359.936614264586</v>
      </c>
    </row>
    <row r="1766">
      <c r="A1766" t="inlineStr">
        <is>
          <t>Congo, Dem. Rep.</t>
        </is>
      </c>
      <c r="B1766" t="inlineStr">
        <is>
          <t>COD</t>
        </is>
      </c>
      <c r="C1766" t="n">
        <v>2002</v>
      </c>
      <c r="D1766" t="n">
        <v>31.5225826025495</v>
      </c>
    </row>
    <row r="1767">
      <c r="A1767" t="inlineStr">
        <is>
          <t>Congo, Dem. Rep.</t>
        </is>
      </c>
      <c r="B1767" t="inlineStr">
        <is>
          <t>COD</t>
        </is>
      </c>
      <c r="C1767" t="n">
        <v>2003</v>
      </c>
      <c r="D1767" t="n">
        <v>12.8739657187405</v>
      </c>
    </row>
    <row r="1768">
      <c r="A1768" t="inlineStr">
        <is>
          <t>Congo, Dem. Rep.</t>
        </is>
      </c>
      <c r="B1768" t="inlineStr">
        <is>
          <t>COD</t>
        </is>
      </c>
      <c r="C1768" t="n">
        <v>2004</v>
      </c>
      <c r="D1768" t="n">
        <v>3.99438400815971</v>
      </c>
    </row>
    <row r="1769">
      <c r="A1769" t="inlineStr">
        <is>
          <t>Congo, Dem. Rep.</t>
        </is>
      </c>
      <c r="B1769" t="inlineStr">
        <is>
          <t>COD</t>
        </is>
      </c>
      <c r="C1769" t="n">
        <v>2005</v>
      </c>
      <c r="D1769" t="n">
        <v>21.3168167229341</v>
      </c>
    </row>
    <row r="1770">
      <c r="A1770" t="inlineStr">
        <is>
          <t>Congo, Dem. Rep.</t>
        </is>
      </c>
      <c r="B1770" t="inlineStr">
        <is>
          <t>COD</t>
        </is>
      </c>
      <c r="C1770" t="n">
        <v>2006</v>
      </c>
      <c r="D1770" t="n">
        <v>13.0526949745101</v>
      </c>
    </row>
    <row r="1771">
      <c r="A1771" t="inlineStr">
        <is>
          <t>Congo, Dem. Rep.</t>
        </is>
      </c>
      <c r="B1771" t="inlineStr">
        <is>
          <t>COD</t>
        </is>
      </c>
      <c r="C1771" t="n">
        <v>2007</v>
      </c>
      <c r="D1771" t="n">
        <v>16.945100654195</v>
      </c>
    </row>
    <row r="1772">
      <c r="A1772" t="inlineStr">
        <is>
          <t>Congo, Dem. Rep.</t>
        </is>
      </c>
      <c r="B1772" t="inlineStr">
        <is>
          <t>COD</t>
        </is>
      </c>
      <c r="C1772" t="n">
        <v>2008</v>
      </c>
      <c r="D1772" t="n">
        <v>17.3013845700157</v>
      </c>
    </row>
    <row r="1773">
      <c r="A1773" t="inlineStr">
        <is>
          <t>Congo, Dem. Rep.</t>
        </is>
      </c>
      <c r="B1773" t="inlineStr">
        <is>
          <t>COD</t>
        </is>
      </c>
      <c r="C1773" t="n">
        <v>2009</v>
      </c>
      <c r="D1773" t="n">
        <v>2.79999999999982</v>
      </c>
    </row>
    <row r="1774">
      <c r="A1774" t="inlineStr">
        <is>
          <t>Congo, Dem. Rep.</t>
        </is>
      </c>
      <c r="B1774" t="inlineStr">
        <is>
          <t>COD</t>
        </is>
      </c>
      <c r="C1774" t="n">
        <v>2010</v>
      </c>
      <c r="D1774" t="n">
        <v>7.10000000000037</v>
      </c>
    </row>
    <row r="1775">
      <c r="A1775" t="inlineStr">
        <is>
          <t>Congo, Dem. Rep.</t>
        </is>
      </c>
      <c r="B1775" t="inlineStr">
        <is>
          <t>COD</t>
        </is>
      </c>
      <c r="C1775" t="n">
        <v>2011</v>
      </c>
      <c r="D1775" t="n">
        <v>15.316515913949</v>
      </c>
    </row>
    <row r="1776">
      <c r="A1776" t="inlineStr">
        <is>
          <t>Congo, Dem. Rep.</t>
        </is>
      </c>
      <c r="B1776" t="inlineStr">
        <is>
          <t>COD</t>
        </is>
      </c>
      <c r="C1776" t="n">
        <v>2012</v>
      </c>
      <c r="D1776" t="n">
        <v>9.721828062733641</v>
      </c>
    </row>
    <row r="1777">
      <c r="A1777" t="inlineStr">
        <is>
          <t>Congo, Dem. Rep.</t>
        </is>
      </c>
      <c r="B1777" t="inlineStr">
        <is>
          <t>COD</t>
        </is>
      </c>
      <c r="C1777" t="n">
        <v>2013</v>
      </c>
      <c r="D1777" t="n">
        <v>0.808223101487111</v>
      </c>
    </row>
    <row r="1778">
      <c r="A1778" t="inlineStr">
        <is>
          <t>Congo, Dem. Rep.</t>
        </is>
      </c>
      <c r="B1778" t="inlineStr">
        <is>
          <t>COD</t>
        </is>
      </c>
      <c r="C1778" t="n">
        <v>2014</v>
      </c>
      <c r="D1778" t="n">
        <v>1.24303889760803</v>
      </c>
    </row>
    <row r="1779">
      <c r="A1779" t="inlineStr">
        <is>
          <t>Congo, Dem. Rep.</t>
        </is>
      </c>
      <c r="B1779" t="inlineStr">
        <is>
          <t>COD</t>
        </is>
      </c>
      <c r="C1779" t="n">
        <v>2015</v>
      </c>
      <c r="D1779" t="n">
        <v>0.74419899478147</v>
      </c>
    </row>
    <row r="1780">
      <c r="A1780" t="inlineStr">
        <is>
          <t>Congo, Dem. Rep.</t>
        </is>
      </c>
      <c r="B1780" t="inlineStr">
        <is>
          <t>COD</t>
        </is>
      </c>
      <c r="C1780" t="n">
        <v>2016</v>
      </c>
      <c r="D1780" t="n">
        <v>2.88585107289988</v>
      </c>
    </row>
    <row r="1781">
      <c r="A1781" t="inlineStr">
        <is>
          <t>Congo, Rep.</t>
        </is>
      </c>
      <c r="B1781" t="inlineStr">
        <is>
          <t>COG</t>
        </is>
      </c>
      <c r="C1781" t="n">
        <v>1986</v>
      </c>
      <c r="D1781" t="n">
        <v>4.15811088295678</v>
      </c>
    </row>
    <row r="1782">
      <c r="A1782" t="inlineStr">
        <is>
          <t>Congo, Rep.</t>
        </is>
      </c>
      <c r="B1782" t="inlineStr">
        <is>
          <t>COG</t>
        </is>
      </c>
      <c r="C1782" t="n">
        <v>1987</v>
      </c>
      <c r="D1782" t="n">
        <v>0.443568260226844</v>
      </c>
    </row>
    <row r="1783">
      <c r="A1783" t="inlineStr">
        <is>
          <t>Congo, Rep.</t>
        </is>
      </c>
      <c r="B1783" t="inlineStr">
        <is>
          <t>COG</t>
        </is>
      </c>
      <c r="C1783" t="n">
        <v>1988</v>
      </c>
      <c r="D1783" t="n">
        <v>1.0304219823355</v>
      </c>
    </row>
    <row r="1784">
      <c r="A1784" t="inlineStr">
        <is>
          <t>Congo, Rep.</t>
        </is>
      </c>
      <c r="B1784" t="inlineStr">
        <is>
          <t>COG</t>
        </is>
      </c>
      <c r="C1784" t="n">
        <v>1989</v>
      </c>
      <c r="D1784" t="n">
        <v>-1.79698882952885</v>
      </c>
    </row>
    <row r="1785">
      <c r="A1785" t="inlineStr">
        <is>
          <t>Congo, Rep.</t>
        </is>
      </c>
      <c r="B1785" t="inlineStr">
        <is>
          <t>COG</t>
        </is>
      </c>
      <c r="C1785" t="n">
        <v>1990</v>
      </c>
      <c r="D1785" t="n">
        <v>2.88905374216947</v>
      </c>
    </row>
    <row r="1786">
      <c r="A1786" t="inlineStr">
        <is>
          <t>Congo, Rep.</t>
        </is>
      </c>
      <c r="B1786" t="inlineStr">
        <is>
          <t>COG</t>
        </is>
      </c>
      <c r="C1786" t="n">
        <v>1991</v>
      </c>
      <c r="D1786" t="n">
        <v>-1.67834968956537</v>
      </c>
    </row>
    <row r="1787">
      <c r="A1787" t="inlineStr">
        <is>
          <t>Congo, Rep.</t>
        </is>
      </c>
      <c r="B1787" t="inlineStr">
        <is>
          <t>COG</t>
        </is>
      </c>
      <c r="C1787" t="n">
        <v>1992</v>
      </c>
      <c r="D1787" t="n">
        <v>-3.93546810070881</v>
      </c>
    </row>
    <row r="1788">
      <c r="A1788" t="inlineStr">
        <is>
          <t>Congo, Rep.</t>
        </is>
      </c>
      <c r="B1788" t="inlineStr">
        <is>
          <t>COG</t>
        </is>
      </c>
      <c r="C1788" t="n">
        <v>1993</v>
      </c>
      <c r="D1788" t="n">
        <v>4.92366412213743</v>
      </c>
    </row>
    <row r="1789">
      <c r="A1789" t="inlineStr">
        <is>
          <t>Congo, Rep.</t>
        </is>
      </c>
      <c r="B1789" t="inlineStr">
        <is>
          <t>COG</t>
        </is>
      </c>
      <c r="C1789" t="n">
        <v>1994</v>
      </c>
      <c r="D1789" t="n">
        <v>42.4396750333452</v>
      </c>
    </row>
    <row r="1790">
      <c r="A1790" t="inlineStr">
        <is>
          <t>Congo, Rep.</t>
        </is>
      </c>
      <c r="B1790" t="inlineStr">
        <is>
          <t>COG</t>
        </is>
      </c>
      <c r="C1790" t="n">
        <v>1995</v>
      </c>
      <c r="D1790" t="n">
        <v>9.418007434522281</v>
      </c>
    </row>
    <row r="1791">
      <c r="A1791" t="inlineStr">
        <is>
          <t>Congo, Rep.</t>
        </is>
      </c>
      <c r="B1791" t="inlineStr">
        <is>
          <t>COG</t>
        </is>
      </c>
      <c r="C1791" t="n">
        <v>1996</v>
      </c>
      <c r="D1791" t="n">
        <v>10.0311203319503</v>
      </c>
    </row>
    <row r="1792">
      <c r="A1792" t="inlineStr">
        <is>
          <t>Congo, Rep.</t>
        </is>
      </c>
      <c r="B1792" t="inlineStr">
        <is>
          <t>COG</t>
        </is>
      </c>
      <c r="C1792" t="n">
        <v>1999</v>
      </c>
      <c r="D1792" t="n">
        <v>4.14267137284048</v>
      </c>
    </row>
    <row r="1793">
      <c r="A1793" t="inlineStr">
        <is>
          <t>Congo, Rep.</t>
        </is>
      </c>
      <c r="B1793" t="inlineStr">
        <is>
          <t>COG</t>
        </is>
      </c>
      <c r="C1793" t="n">
        <v>2000</v>
      </c>
      <c r="D1793" t="n">
        <v>-0.881991517025431</v>
      </c>
    </row>
    <row r="1794">
      <c r="A1794" t="inlineStr">
        <is>
          <t>Congo, Rep.</t>
        </is>
      </c>
      <c r="B1794" t="inlineStr">
        <is>
          <t>COG</t>
        </is>
      </c>
      <c r="C1794" t="n">
        <v>2001</v>
      </c>
      <c r="D1794" t="n">
        <v>0.0559899218140583</v>
      </c>
    </row>
    <row r="1795">
      <c r="A1795" t="inlineStr">
        <is>
          <t>Congo, Rep.</t>
        </is>
      </c>
      <c r="B1795" t="inlineStr">
        <is>
          <t>COG</t>
        </is>
      </c>
      <c r="C1795" t="n">
        <v>2002</v>
      </c>
      <c r="D1795" t="n">
        <v>4.37875971780873</v>
      </c>
    </row>
    <row r="1796">
      <c r="A1796" t="inlineStr">
        <is>
          <t>Congo, Rep.</t>
        </is>
      </c>
      <c r="B1796" t="inlineStr">
        <is>
          <t>COG</t>
        </is>
      </c>
      <c r="C1796" t="n">
        <v>2003</v>
      </c>
      <c r="D1796" t="n">
        <v>-0.631844987363156</v>
      </c>
    </row>
    <row r="1797">
      <c r="A1797" t="inlineStr">
        <is>
          <t>Congo, Rep.</t>
        </is>
      </c>
      <c r="B1797" t="inlineStr">
        <is>
          <t>COG</t>
        </is>
      </c>
      <c r="C1797" t="n">
        <v>2004</v>
      </c>
      <c r="D1797" t="n">
        <v>2.42976607961799</v>
      </c>
    </row>
    <row r="1798">
      <c r="A1798" t="inlineStr">
        <is>
          <t>Congo, Rep.</t>
        </is>
      </c>
      <c r="B1798" t="inlineStr">
        <is>
          <t>COG</t>
        </is>
      </c>
      <c r="C1798" t="n">
        <v>2005</v>
      </c>
      <c r="D1798" t="n">
        <v>3.09449011456182</v>
      </c>
    </row>
    <row r="1799">
      <c r="A1799" t="inlineStr">
        <is>
          <t>Congo, Rep.</t>
        </is>
      </c>
      <c r="B1799" t="inlineStr">
        <is>
          <t>COG</t>
        </is>
      </c>
      <c r="C1799" t="n">
        <v>2006</v>
      </c>
      <c r="D1799" t="n">
        <v>6.53784395299604</v>
      </c>
    </row>
    <row r="1800">
      <c r="A1800" t="inlineStr">
        <is>
          <t>Congo, Rep.</t>
        </is>
      </c>
      <c r="B1800" t="inlineStr">
        <is>
          <t>COG</t>
        </is>
      </c>
      <c r="C1800" t="n">
        <v>2007</v>
      </c>
      <c r="D1800" t="n">
        <v>2.65464645060703</v>
      </c>
    </row>
    <row r="1801">
      <c r="A1801" t="inlineStr">
        <is>
          <t>Congo, Rep.</t>
        </is>
      </c>
      <c r="B1801" t="inlineStr">
        <is>
          <t>COG</t>
        </is>
      </c>
      <c r="C1801" t="n">
        <v>2008</v>
      </c>
      <c r="D1801" t="n">
        <v>4.95875092023152</v>
      </c>
    </row>
    <row r="1802">
      <c r="A1802" t="inlineStr">
        <is>
          <t>Congo, Rep.</t>
        </is>
      </c>
      <c r="B1802" t="inlineStr">
        <is>
          <t>COG</t>
        </is>
      </c>
      <c r="C1802" t="n">
        <v>2009</v>
      </c>
      <c r="D1802" t="n">
        <v>4.41500374795223</v>
      </c>
    </row>
    <row r="1803">
      <c r="A1803" t="inlineStr">
        <is>
          <t>Congo, Rep.</t>
        </is>
      </c>
      <c r="B1803" t="inlineStr">
        <is>
          <t>COG</t>
        </is>
      </c>
      <c r="C1803" t="n">
        <v>2010</v>
      </c>
      <c r="D1803" t="n">
        <v>0.391525011227612</v>
      </c>
    </row>
    <row r="1804">
      <c r="A1804" t="inlineStr">
        <is>
          <t>Congo, Rep.</t>
        </is>
      </c>
      <c r="B1804" t="inlineStr">
        <is>
          <t>COG</t>
        </is>
      </c>
      <c r="C1804" t="n">
        <v>2011</v>
      </c>
      <c r="D1804" t="n">
        <v>1.75958704273803</v>
      </c>
    </row>
    <row r="1805">
      <c r="A1805" t="inlineStr">
        <is>
          <t>Congo, Rep.</t>
        </is>
      </c>
      <c r="B1805" t="inlineStr">
        <is>
          <t>COG</t>
        </is>
      </c>
      <c r="C1805" t="n">
        <v>2012</v>
      </c>
      <c r="D1805" t="n">
        <v>5.01018773134471</v>
      </c>
    </row>
    <row r="1806">
      <c r="A1806" t="inlineStr">
        <is>
          <t>Congo, Rep.</t>
        </is>
      </c>
      <c r="B1806" t="inlineStr">
        <is>
          <t>COG</t>
        </is>
      </c>
      <c r="C1806" t="n">
        <v>2013</v>
      </c>
      <c r="D1806" t="n">
        <v>4.63161619729461</v>
      </c>
    </row>
    <row r="1807">
      <c r="A1807" t="inlineStr">
        <is>
          <t>Congo, Rep.</t>
        </is>
      </c>
      <c r="B1807" t="inlineStr">
        <is>
          <t>COG</t>
        </is>
      </c>
      <c r="C1807" t="n">
        <v>2014</v>
      </c>
      <c r="D1807" t="n">
        <v>0.912139545450097</v>
      </c>
    </row>
    <row r="1808">
      <c r="A1808" t="inlineStr">
        <is>
          <t>Congo, Rep.</t>
        </is>
      </c>
      <c r="B1808" t="inlineStr">
        <is>
          <t>COG</t>
        </is>
      </c>
      <c r="C1808" t="n">
        <v>2015</v>
      </c>
      <c r="D1808" t="n">
        <v>3.16909796750829</v>
      </c>
    </row>
    <row r="1809">
      <c r="A1809" t="inlineStr">
        <is>
          <t>Congo, Rep.</t>
        </is>
      </c>
      <c r="B1809" t="inlineStr">
        <is>
          <t>COG</t>
        </is>
      </c>
      <c r="C1809" t="n">
        <v>2016</v>
      </c>
      <c r="D1809" t="n">
        <v>3.19056179723773</v>
      </c>
    </row>
    <row r="1810">
      <c r="A1810" t="inlineStr">
        <is>
          <t>Congo, Rep.</t>
        </is>
      </c>
      <c r="B1810" t="inlineStr">
        <is>
          <t>COG</t>
        </is>
      </c>
      <c r="C1810" t="n">
        <v>2017</v>
      </c>
      <c r="D1810" t="n">
        <v>0.450063823285546</v>
      </c>
    </row>
    <row r="1811">
      <c r="A1811" t="inlineStr">
        <is>
          <t>Congo, Rep.</t>
        </is>
      </c>
      <c r="B1811" t="inlineStr">
        <is>
          <t>COG</t>
        </is>
      </c>
      <c r="C1811" t="n">
        <v>2018</v>
      </c>
      <c r="D1811" t="n">
        <v>1.15277896375523</v>
      </c>
    </row>
    <row r="1812">
      <c r="A1812" t="inlineStr">
        <is>
          <t>Congo, Rep.</t>
        </is>
      </c>
      <c r="B1812" t="inlineStr">
        <is>
          <t>COG</t>
        </is>
      </c>
      <c r="C1812" t="n">
        <v>2019</v>
      </c>
      <c r="D1812" t="n">
        <v>2.20607305781525</v>
      </c>
    </row>
    <row r="1813">
      <c r="A1813" t="inlineStr">
        <is>
          <t>Congo, Rep.</t>
        </is>
      </c>
      <c r="B1813" t="inlineStr">
        <is>
          <t>COG</t>
        </is>
      </c>
      <c r="C1813" t="n">
        <v>2020</v>
      </c>
      <c r="D1813" t="n">
        <v>1.79537147083108</v>
      </c>
    </row>
    <row r="1814">
      <c r="A1814" t="inlineStr">
        <is>
          <t>Congo, Rep.</t>
        </is>
      </c>
      <c r="B1814" t="inlineStr">
        <is>
          <t>COG</t>
        </is>
      </c>
      <c r="C1814" t="n">
        <v>2021</v>
      </c>
      <c r="D1814" t="n">
        <v>1.7156427545126</v>
      </c>
    </row>
    <row r="1815">
      <c r="A1815" t="inlineStr">
        <is>
          <t>Congo, Rep.</t>
        </is>
      </c>
      <c r="B1815" t="inlineStr">
        <is>
          <t>COG</t>
        </is>
      </c>
      <c r="C1815" t="n">
        <v>2022</v>
      </c>
      <c r="D1815" t="n">
        <v>3.04344334698478</v>
      </c>
    </row>
    <row r="1816">
      <c r="A1816" t="inlineStr">
        <is>
          <t>Congo, Rep.</t>
        </is>
      </c>
      <c r="B1816" t="inlineStr">
        <is>
          <t>COG</t>
        </is>
      </c>
      <c r="C1816" t="n">
        <v>2023</v>
      </c>
      <c r="D1816" t="n">
        <v>4.30174563591016</v>
      </c>
    </row>
    <row r="1817">
      <c r="A1817" t="inlineStr">
        <is>
          <t>Colombia</t>
        </is>
      </c>
      <c r="B1817" t="inlineStr">
        <is>
          <t>COL</t>
        </is>
      </c>
      <c r="C1817" t="n">
        <v>1960</v>
      </c>
      <c r="D1817" t="n">
        <v>5.81407628204986</v>
      </c>
    </row>
    <row r="1818">
      <c r="A1818" t="inlineStr">
        <is>
          <t>Colombia</t>
        </is>
      </c>
      <c r="B1818" t="inlineStr">
        <is>
          <t>COL</t>
        </is>
      </c>
      <c r="C1818" t="n">
        <v>1961</v>
      </c>
      <c r="D1818" t="n">
        <v>8.28319045648716</v>
      </c>
    </row>
    <row r="1819">
      <c r="A1819" t="inlineStr">
        <is>
          <t>Colombia</t>
        </is>
      </c>
      <c r="B1819" t="inlineStr">
        <is>
          <t>COL</t>
        </is>
      </c>
      <c r="C1819" t="n">
        <v>1962</v>
      </c>
      <c r="D1819" t="n">
        <v>4.6970939506247</v>
      </c>
    </row>
    <row r="1820">
      <c r="A1820" t="inlineStr">
        <is>
          <t>Colombia</t>
        </is>
      </c>
      <c r="B1820" t="inlineStr">
        <is>
          <t>COL</t>
        </is>
      </c>
      <c r="C1820" t="n">
        <v>1963</v>
      </c>
      <c r="D1820" t="n">
        <v>26.3554355250467</v>
      </c>
    </row>
    <row r="1821">
      <c r="A1821" t="inlineStr">
        <is>
          <t>Colombia</t>
        </is>
      </c>
      <c r="B1821" t="inlineStr">
        <is>
          <t>COL</t>
        </is>
      </c>
      <c r="C1821" t="n">
        <v>1964</v>
      </c>
      <c r="D1821" t="n">
        <v>17.0724352164554</v>
      </c>
    </row>
    <row r="1822">
      <c r="A1822" t="inlineStr">
        <is>
          <t>Colombia</t>
        </is>
      </c>
      <c r="B1822" t="inlineStr">
        <is>
          <t>COL</t>
        </is>
      </c>
      <c r="C1822" t="n">
        <v>1965</v>
      </c>
      <c r="D1822" t="n">
        <v>7.5906836693158</v>
      </c>
    </row>
    <row r="1823">
      <c r="A1823" t="inlineStr">
        <is>
          <t>Colombia</t>
        </is>
      </c>
      <c r="B1823" t="inlineStr">
        <is>
          <t>COL</t>
        </is>
      </c>
      <c r="C1823" t="n">
        <v>1966</v>
      </c>
      <c r="D1823" t="n">
        <v>16.7281682748598</v>
      </c>
    </row>
    <row r="1824">
      <c r="A1824" t="inlineStr">
        <is>
          <t>Colombia</t>
        </is>
      </c>
      <c r="B1824" t="inlineStr">
        <is>
          <t>COL</t>
        </is>
      </c>
      <c r="C1824" t="n">
        <v>1967</v>
      </c>
      <c r="D1824" t="n">
        <v>8.32819136425948</v>
      </c>
    </row>
    <row r="1825">
      <c r="A1825" t="inlineStr">
        <is>
          <t>Colombia</t>
        </is>
      </c>
      <c r="B1825" t="inlineStr">
        <is>
          <t>COL</t>
        </is>
      </c>
      <c r="C1825" t="n">
        <v>1968</v>
      </c>
      <c r="D1825" t="n">
        <v>7.4475387831777</v>
      </c>
    </row>
    <row r="1826">
      <c r="A1826" t="inlineStr">
        <is>
          <t>Colombia</t>
        </is>
      </c>
      <c r="B1826" t="inlineStr">
        <is>
          <t>COL</t>
        </is>
      </c>
      <c r="C1826" t="n">
        <v>1969</v>
      </c>
      <c r="D1826" t="n">
        <v>6.98166307955375</v>
      </c>
    </row>
    <row r="1827">
      <c r="A1827" t="inlineStr">
        <is>
          <t>Colombia</t>
        </is>
      </c>
      <c r="B1827" t="inlineStr">
        <is>
          <t>COL</t>
        </is>
      </c>
      <c r="C1827" t="n">
        <v>1970</v>
      </c>
      <c r="D1827" t="n">
        <v>6.90862275848241</v>
      </c>
    </row>
    <row r="1828">
      <c r="A1828" t="inlineStr">
        <is>
          <t>Colombia</t>
        </is>
      </c>
      <c r="B1828" t="inlineStr">
        <is>
          <t>COL</t>
        </is>
      </c>
      <c r="C1828" t="n">
        <v>1971</v>
      </c>
      <c r="D1828" t="n">
        <v>11.9402616979216</v>
      </c>
    </row>
    <row r="1829">
      <c r="A1829" t="inlineStr">
        <is>
          <t>Colombia</t>
        </is>
      </c>
      <c r="B1829" t="inlineStr">
        <is>
          <t>COL</t>
        </is>
      </c>
      <c r="C1829" t="n">
        <v>1972</v>
      </c>
      <c r="D1829" t="n">
        <v>12.4444589907729</v>
      </c>
    </row>
    <row r="1830">
      <c r="A1830" t="inlineStr">
        <is>
          <t>Colombia</t>
        </is>
      </c>
      <c r="B1830" t="inlineStr">
        <is>
          <t>COL</t>
        </is>
      </c>
      <c r="C1830" t="n">
        <v>1973</v>
      </c>
      <c r="D1830" t="n">
        <v>22.5296486781843</v>
      </c>
    </row>
    <row r="1831">
      <c r="A1831" t="inlineStr">
        <is>
          <t>Colombia</t>
        </is>
      </c>
      <c r="B1831" t="inlineStr">
        <is>
          <t>COL</t>
        </is>
      </c>
      <c r="C1831" t="n">
        <v>1974</v>
      </c>
      <c r="D1831" t="n">
        <v>23.8709573656697</v>
      </c>
    </row>
    <row r="1832">
      <c r="A1832" t="inlineStr">
        <is>
          <t>Colombia</t>
        </is>
      </c>
      <c r="B1832" t="inlineStr">
        <is>
          <t>COL</t>
        </is>
      </c>
      <c r="C1832" t="n">
        <v>1975</v>
      </c>
      <c r="D1832" t="n">
        <v>23.4375025650554</v>
      </c>
    </row>
    <row r="1833">
      <c r="A1833" t="inlineStr">
        <is>
          <t>Colombia</t>
        </is>
      </c>
      <c r="B1833" t="inlineStr">
        <is>
          <t>COL</t>
        </is>
      </c>
      <c r="C1833" t="n">
        <v>1976</v>
      </c>
      <c r="D1833" t="n">
        <v>19.8312249167931</v>
      </c>
    </row>
    <row r="1834">
      <c r="A1834" t="inlineStr">
        <is>
          <t>Colombia</t>
        </is>
      </c>
      <c r="B1834" t="inlineStr">
        <is>
          <t>COL</t>
        </is>
      </c>
      <c r="C1834" t="n">
        <v>1977</v>
      </c>
      <c r="D1834" t="n">
        <v>33.802818357982</v>
      </c>
    </row>
    <row r="1835">
      <c r="A1835" t="inlineStr">
        <is>
          <t>Colombia</t>
        </is>
      </c>
      <c r="B1835" t="inlineStr">
        <is>
          <t>COL</t>
        </is>
      </c>
      <c r="C1835" t="n">
        <v>1978</v>
      </c>
      <c r="D1835" t="n">
        <v>17.7631590853462</v>
      </c>
    </row>
    <row r="1836">
      <c r="A1836" t="inlineStr">
        <is>
          <t>Colombia</t>
        </is>
      </c>
      <c r="B1836" t="inlineStr">
        <is>
          <t>COL</t>
        </is>
      </c>
      <c r="C1836" t="n">
        <v>1979</v>
      </c>
      <c r="D1836" t="n">
        <v>24.1340757440455</v>
      </c>
    </row>
    <row r="1837">
      <c r="A1837" t="inlineStr">
        <is>
          <t>Colombia</t>
        </is>
      </c>
      <c r="B1837" t="inlineStr">
        <is>
          <t>COL</t>
        </is>
      </c>
      <c r="C1837" t="n">
        <v>1980</v>
      </c>
      <c r="D1837" t="n">
        <v>26.5526531495356</v>
      </c>
    </row>
    <row r="1838">
      <c r="A1838" t="inlineStr">
        <is>
          <t>Colombia</t>
        </is>
      </c>
      <c r="B1838" t="inlineStr">
        <is>
          <t>COL</t>
        </is>
      </c>
      <c r="C1838" t="n">
        <v>1981</v>
      </c>
      <c r="D1838" t="n">
        <v>27.4537624347993</v>
      </c>
    </row>
    <row r="1839">
      <c r="A1839" t="inlineStr">
        <is>
          <t>Colombia</t>
        </is>
      </c>
      <c r="B1839" t="inlineStr">
        <is>
          <t>COL</t>
        </is>
      </c>
      <c r="C1839" t="n">
        <v>1982</v>
      </c>
      <c r="D1839" t="n">
        <v>24.7209882528585</v>
      </c>
    </row>
    <row r="1840">
      <c r="A1840" t="inlineStr">
        <is>
          <t>Colombia</t>
        </is>
      </c>
      <c r="B1840" t="inlineStr">
        <is>
          <t>COL</t>
        </is>
      </c>
      <c r="C1840" t="n">
        <v>1983</v>
      </c>
      <c r="D1840" t="n">
        <v>19.5973170624765</v>
      </c>
    </row>
    <row r="1841">
      <c r="A1841" t="inlineStr">
        <is>
          <t>Colombia</t>
        </is>
      </c>
      <c r="B1841" t="inlineStr">
        <is>
          <t>COL</t>
        </is>
      </c>
      <c r="C1841" t="n">
        <v>1984</v>
      </c>
      <c r="D1841" t="n">
        <v>16.1616171361426</v>
      </c>
    </row>
    <row r="1842">
      <c r="A1842" t="inlineStr">
        <is>
          <t>Colombia</t>
        </is>
      </c>
      <c r="B1842" t="inlineStr">
        <is>
          <t>COL</t>
        </is>
      </c>
      <c r="C1842" t="n">
        <v>1985</v>
      </c>
      <c r="D1842" t="n">
        <v>24.090174368125</v>
      </c>
    </row>
    <row r="1843">
      <c r="A1843" t="inlineStr">
        <is>
          <t>Colombia</t>
        </is>
      </c>
      <c r="B1843" t="inlineStr">
        <is>
          <t>COL</t>
        </is>
      </c>
      <c r="C1843" t="n">
        <v>1986</v>
      </c>
      <c r="D1843" t="n">
        <v>18.8424631612406</v>
      </c>
    </row>
    <row r="1844">
      <c r="A1844" t="inlineStr">
        <is>
          <t>Colombia</t>
        </is>
      </c>
      <c r="B1844" t="inlineStr">
        <is>
          <t>COL</t>
        </is>
      </c>
      <c r="C1844" t="n">
        <v>1987</v>
      </c>
      <c r="D1844" t="n">
        <v>23.302028364018</v>
      </c>
    </row>
    <row r="1845">
      <c r="A1845" t="inlineStr">
        <is>
          <t>Colombia</t>
        </is>
      </c>
      <c r="B1845" t="inlineStr">
        <is>
          <t>COL</t>
        </is>
      </c>
      <c r="C1845" t="n">
        <v>1988</v>
      </c>
      <c r="D1845" t="n">
        <v>28.1083969771704</v>
      </c>
    </row>
    <row r="1846">
      <c r="A1846" t="inlineStr">
        <is>
          <t>Colombia</t>
        </is>
      </c>
      <c r="B1846" t="inlineStr">
        <is>
          <t>COL</t>
        </is>
      </c>
      <c r="C1846" t="n">
        <v>1989</v>
      </c>
      <c r="D1846" t="n">
        <v>25.8675480831988</v>
      </c>
    </row>
    <row r="1847">
      <c r="A1847" t="inlineStr">
        <is>
          <t>Colombia</t>
        </is>
      </c>
      <c r="B1847" t="inlineStr">
        <is>
          <t>COL</t>
        </is>
      </c>
      <c r="C1847" t="n">
        <v>1990</v>
      </c>
      <c r="D1847" t="n">
        <v>29.1520245976215</v>
      </c>
    </row>
    <row r="1848">
      <c r="A1848" t="inlineStr">
        <is>
          <t>Colombia</t>
        </is>
      </c>
      <c r="B1848" t="inlineStr">
        <is>
          <t>COL</t>
        </is>
      </c>
      <c r="C1848" t="n">
        <v>1991</v>
      </c>
      <c r="D1848" t="n">
        <v>30.3878204854436</v>
      </c>
    </row>
    <row r="1849">
      <c r="A1849" t="inlineStr">
        <is>
          <t>Colombia</t>
        </is>
      </c>
      <c r="B1849" t="inlineStr">
        <is>
          <t>COL</t>
        </is>
      </c>
      <c r="C1849" t="n">
        <v>1992</v>
      </c>
      <c r="D1849" t="n">
        <v>27.0106266231361</v>
      </c>
    </row>
    <row r="1850">
      <c r="A1850" t="inlineStr">
        <is>
          <t>Colombia</t>
        </is>
      </c>
      <c r="B1850" t="inlineStr">
        <is>
          <t>COL</t>
        </is>
      </c>
      <c r="C1850" t="n">
        <v>1993</v>
      </c>
      <c r="D1850" t="n">
        <v>22.4424828533275</v>
      </c>
    </row>
    <row r="1851">
      <c r="A1851" t="inlineStr">
        <is>
          <t>Colombia</t>
        </is>
      </c>
      <c r="B1851" t="inlineStr">
        <is>
          <t>COL</t>
        </is>
      </c>
      <c r="C1851" t="n">
        <v>1994</v>
      </c>
      <c r="D1851" t="n">
        <v>22.8462417553045</v>
      </c>
    </row>
    <row r="1852">
      <c r="A1852" t="inlineStr">
        <is>
          <t>Colombia</t>
        </is>
      </c>
      <c r="B1852" t="inlineStr">
        <is>
          <t>COL</t>
        </is>
      </c>
      <c r="C1852" t="n">
        <v>1995</v>
      </c>
      <c r="D1852" t="n">
        <v>20.8917930194849</v>
      </c>
    </row>
    <row r="1853">
      <c r="A1853" t="inlineStr">
        <is>
          <t>Colombia</t>
        </is>
      </c>
      <c r="B1853" t="inlineStr">
        <is>
          <t>COL</t>
        </is>
      </c>
      <c r="C1853" t="n">
        <v>1996</v>
      </c>
      <c r="D1853" t="n">
        <v>20.7975755127402</v>
      </c>
    </row>
    <row r="1854">
      <c r="A1854" t="inlineStr">
        <is>
          <t>Colombia</t>
        </is>
      </c>
      <c r="B1854" t="inlineStr">
        <is>
          <t>COL</t>
        </is>
      </c>
      <c r="C1854" t="n">
        <v>1997</v>
      </c>
      <c r="D1854" t="n">
        <v>18.4700217119089</v>
      </c>
    </row>
    <row r="1855">
      <c r="A1855" t="inlineStr">
        <is>
          <t>Colombia</t>
        </is>
      </c>
      <c r="B1855" t="inlineStr">
        <is>
          <t>COL</t>
        </is>
      </c>
      <c r="C1855" t="n">
        <v>1998</v>
      </c>
      <c r="D1855" t="n">
        <v>18.6769799276672</v>
      </c>
    </row>
    <row r="1856">
      <c r="A1856" t="inlineStr">
        <is>
          <t>Colombia</t>
        </is>
      </c>
      <c r="B1856" t="inlineStr">
        <is>
          <t>COL</t>
        </is>
      </c>
      <c r="C1856" t="n">
        <v>1999</v>
      </c>
      <c r="D1856" t="n">
        <v>10.8736870857471</v>
      </c>
    </row>
    <row r="1857">
      <c r="A1857" t="inlineStr">
        <is>
          <t>Colombia</t>
        </is>
      </c>
      <c r="B1857" t="inlineStr">
        <is>
          <t>COL</t>
        </is>
      </c>
      <c r="C1857" t="n">
        <v>2000</v>
      </c>
      <c r="D1857" t="n">
        <v>9.22534818585366</v>
      </c>
    </row>
    <row r="1858">
      <c r="A1858" t="inlineStr">
        <is>
          <t>Colombia</t>
        </is>
      </c>
      <c r="B1858" t="inlineStr">
        <is>
          <t>COL</t>
        </is>
      </c>
      <c r="C1858" t="n">
        <v>2001</v>
      </c>
      <c r="D1858" t="n">
        <v>7.96556090304834</v>
      </c>
    </row>
    <row r="1859">
      <c r="A1859" t="inlineStr">
        <is>
          <t>Colombia</t>
        </is>
      </c>
      <c r="B1859" t="inlineStr">
        <is>
          <t>COL</t>
        </is>
      </c>
      <c r="C1859" t="n">
        <v>2002</v>
      </c>
      <c r="D1859" t="n">
        <v>6.35150728778872</v>
      </c>
    </row>
    <row r="1860">
      <c r="A1860" t="inlineStr">
        <is>
          <t>Colombia</t>
        </is>
      </c>
      <c r="B1860" t="inlineStr">
        <is>
          <t>COL</t>
        </is>
      </c>
      <c r="C1860" t="n">
        <v>2003</v>
      </c>
      <c r="D1860" t="n">
        <v>7.1297886294186</v>
      </c>
    </row>
    <row r="1861">
      <c r="A1861" t="inlineStr">
        <is>
          <t>Colombia</t>
        </is>
      </c>
      <c r="B1861" t="inlineStr">
        <is>
          <t>COL</t>
        </is>
      </c>
      <c r="C1861" t="n">
        <v>2004</v>
      </c>
      <c r="D1861" t="n">
        <v>5.90402005546502</v>
      </c>
    </row>
    <row r="1862">
      <c r="A1862" t="inlineStr">
        <is>
          <t>Colombia</t>
        </is>
      </c>
      <c r="B1862" t="inlineStr">
        <is>
          <t>COL</t>
        </is>
      </c>
      <c r="C1862" t="n">
        <v>2005</v>
      </c>
      <c r="D1862" t="n">
        <v>5.05101962689696</v>
      </c>
    </row>
    <row r="1863">
      <c r="A1863" t="inlineStr">
        <is>
          <t>Colombia</t>
        </is>
      </c>
      <c r="B1863" t="inlineStr">
        <is>
          <t>COL</t>
        </is>
      </c>
      <c r="C1863" t="n">
        <v>2006</v>
      </c>
      <c r="D1863" t="n">
        <v>4.29342363628927</v>
      </c>
    </row>
    <row r="1864">
      <c r="A1864" t="inlineStr">
        <is>
          <t>Colombia</t>
        </is>
      </c>
      <c r="B1864" t="inlineStr">
        <is>
          <t>COL</t>
        </is>
      </c>
      <c r="C1864" t="n">
        <v>2007</v>
      </c>
      <c r="D1864" t="n">
        <v>5.54438485815156</v>
      </c>
    </row>
    <row r="1865">
      <c r="A1865" t="inlineStr">
        <is>
          <t>Colombia</t>
        </is>
      </c>
      <c r="B1865" t="inlineStr">
        <is>
          <t>COL</t>
        </is>
      </c>
      <c r="C1865" t="n">
        <v>2008</v>
      </c>
      <c r="D1865" t="n">
        <v>6.99688495554511</v>
      </c>
    </row>
    <row r="1866">
      <c r="A1866" t="inlineStr">
        <is>
          <t>Colombia</t>
        </is>
      </c>
      <c r="B1866" t="inlineStr">
        <is>
          <t>COL</t>
        </is>
      </c>
      <c r="C1866" t="n">
        <v>2009</v>
      </c>
      <c r="D1866" t="n">
        <v>4.20251661216482</v>
      </c>
    </row>
    <row r="1867">
      <c r="A1867" t="inlineStr">
        <is>
          <t>Colombia</t>
        </is>
      </c>
      <c r="B1867" t="inlineStr">
        <is>
          <t>COL</t>
        </is>
      </c>
      <c r="C1867" t="n">
        <v>2010</v>
      </c>
      <c r="D1867" t="n">
        <v>2.27200227892008</v>
      </c>
    </row>
    <row r="1868">
      <c r="A1868" t="inlineStr">
        <is>
          <t>Colombia</t>
        </is>
      </c>
      <c r="B1868" t="inlineStr">
        <is>
          <t>COL</t>
        </is>
      </c>
      <c r="C1868" t="n">
        <v>2011</v>
      </c>
      <c r="D1868" t="n">
        <v>3.4150334477625</v>
      </c>
    </row>
    <row r="1869">
      <c r="A1869" t="inlineStr">
        <is>
          <t>Colombia</t>
        </is>
      </c>
      <c r="B1869" t="inlineStr">
        <is>
          <t>COL</t>
        </is>
      </c>
      <c r="C1869" t="n">
        <v>2012</v>
      </c>
      <c r="D1869" t="n">
        <v>3.16930188840055</v>
      </c>
    </row>
    <row r="1870">
      <c r="A1870" t="inlineStr">
        <is>
          <t>Colombia</t>
        </is>
      </c>
      <c r="B1870" t="inlineStr">
        <is>
          <t>COL</t>
        </is>
      </c>
      <c r="C1870" t="n">
        <v>2013</v>
      </c>
      <c r="D1870" t="n">
        <v>2.01699224310383</v>
      </c>
    </row>
    <row r="1871">
      <c r="A1871" t="inlineStr">
        <is>
          <t>Colombia</t>
        </is>
      </c>
      <c r="B1871" t="inlineStr">
        <is>
          <t>COL</t>
        </is>
      </c>
      <c r="C1871" t="n">
        <v>2014</v>
      </c>
      <c r="D1871" t="n">
        <v>2.89883787761738</v>
      </c>
    </row>
    <row r="1872">
      <c r="A1872" t="inlineStr">
        <is>
          <t>Colombia</t>
        </is>
      </c>
      <c r="B1872" t="inlineStr">
        <is>
          <t>COL</t>
        </is>
      </c>
      <c r="C1872" t="n">
        <v>2015</v>
      </c>
      <c r="D1872" t="n">
        <v>4.9898311584953</v>
      </c>
    </row>
    <row r="1873">
      <c r="A1873" t="inlineStr">
        <is>
          <t>Colombia</t>
        </is>
      </c>
      <c r="B1873" t="inlineStr">
        <is>
          <t>COL</t>
        </is>
      </c>
      <c r="C1873" t="n">
        <v>2016</v>
      </c>
      <c r="D1873" t="n">
        <v>7.51346024627675</v>
      </c>
    </row>
    <row r="1874">
      <c r="A1874" t="inlineStr">
        <is>
          <t>Colombia</t>
        </is>
      </c>
      <c r="B1874" t="inlineStr">
        <is>
          <t>COL</t>
        </is>
      </c>
      <c r="C1874" t="n">
        <v>2017</v>
      </c>
      <c r="D1874" t="n">
        <v>4.31431325695011</v>
      </c>
    </row>
    <row r="1875">
      <c r="A1875" t="inlineStr">
        <is>
          <t>Colombia</t>
        </is>
      </c>
      <c r="B1875" t="inlineStr">
        <is>
          <t>COL</t>
        </is>
      </c>
      <c r="C1875" t="n">
        <v>2018</v>
      </c>
      <c r="D1875" t="n">
        <v>3.24056932930569</v>
      </c>
    </row>
    <row r="1876">
      <c r="A1876" t="inlineStr">
        <is>
          <t>Colombia</t>
        </is>
      </c>
      <c r="B1876" t="inlineStr">
        <is>
          <t>COL</t>
        </is>
      </c>
      <c r="C1876" t="n">
        <v>2019</v>
      </c>
      <c r="D1876" t="n">
        <v>3.52301932741447</v>
      </c>
    </row>
    <row r="1877">
      <c r="A1877" t="inlineStr">
        <is>
          <t>Colombia</t>
        </is>
      </c>
      <c r="B1877" t="inlineStr">
        <is>
          <t>COL</t>
        </is>
      </c>
      <c r="C1877" t="n">
        <v>2020</v>
      </c>
      <c r="D1877" t="n">
        <v>2.52663500084706</v>
      </c>
    </row>
    <row r="1878">
      <c r="A1878" t="inlineStr">
        <is>
          <t>Colombia</t>
        </is>
      </c>
      <c r="B1878" t="inlineStr">
        <is>
          <t>COL</t>
        </is>
      </c>
      <c r="C1878" t="n">
        <v>2021</v>
      </c>
      <c r="D1878" t="n">
        <v>3.49505757399448</v>
      </c>
    </row>
    <row r="1879">
      <c r="A1879" t="inlineStr">
        <is>
          <t>Colombia</t>
        </is>
      </c>
      <c r="B1879" t="inlineStr">
        <is>
          <t>COL</t>
        </is>
      </c>
      <c r="C1879" t="n">
        <v>2022</v>
      </c>
      <c r="D1879" t="n">
        <v>10.1772313546166</v>
      </c>
    </row>
    <row r="1880">
      <c r="A1880" t="inlineStr">
        <is>
          <t>Colombia</t>
        </is>
      </c>
      <c r="B1880" t="inlineStr">
        <is>
          <t>COL</t>
        </is>
      </c>
      <c r="C1880" t="n">
        <v>2023</v>
      </c>
      <c r="D1880" t="n">
        <v>11.7359044948689</v>
      </c>
    </row>
    <row r="1881">
      <c r="A1881" t="inlineStr">
        <is>
          <t>Colombia</t>
        </is>
      </c>
      <c r="B1881" t="inlineStr">
        <is>
          <t>COL</t>
        </is>
      </c>
      <c r="C1881" t="n">
        <v>2024</v>
      </c>
      <c r="D1881" t="n">
        <v>6.60908593728228</v>
      </c>
    </row>
    <row r="1882">
      <c r="A1882" t="inlineStr">
        <is>
          <t>Comoros</t>
        </is>
      </c>
      <c r="B1882" t="inlineStr">
        <is>
          <t>COM</t>
        </is>
      </c>
      <c r="C1882" t="n">
        <v>2001</v>
      </c>
      <c r="D1882" t="n">
        <v>5.5545939481681</v>
      </c>
    </row>
    <row r="1883">
      <c r="A1883" t="inlineStr">
        <is>
          <t>Comoros</t>
        </is>
      </c>
      <c r="B1883" t="inlineStr">
        <is>
          <t>COM</t>
        </is>
      </c>
      <c r="C1883" t="n">
        <v>2002</v>
      </c>
      <c r="D1883" t="n">
        <v>3.53304214308079</v>
      </c>
    </row>
    <row r="1884">
      <c r="A1884" t="inlineStr">
        <is>
          <t>Comoros</t>
        </is>
      </c>
      <c r="B1884" t="inlineStr">
        <is>
          <t>COM</t>
        </is>
      </c>
      <c r="C1884" t="n">
        <v>2003</v>
      </c>
      <c r="D1884" t="n">
        <v>3.79908136671903</v>
      </c>
    </row>
    <row r="1885">
      <c r="A1885" t="inlineStr">
        <is>
          <t>Comoros</t>
        </is>
      </c>
      <c r="B1885" t="inlineStr">
        <is>
          <t>COM</t>
        </is>
      </c>
      <c r="C1885" t="n">
        <v>2004</v>
      </c>
      <c r="D1885" t="n">
        <v>4.47499289078105</v>
      </c>
    </row>
    <row r="1886">
      <c r="A1886" t="inlineStr">
        <is>
          <t>Comoros</t>
        </is>
      </c>
      <c r="B1886" t="inlineStr">
        <is>
          <t>COM</t>
        </is>
      </c>
      <c r="C1886" t="n">
        <v>2005</v>
      </c>
      <c r="D1886" t="n">
        <v>3.0133239505812</v>
      </c>
    </row>
    <row r="1887">
      <c r="A1887" t="inlineStr">
        <is>
          <t>Comoros</t>
        </is>
      </c>
      <c r="B1887" t="inlineStr">
        <is>
          <t>COM</t>
        </is>
      </c>
      <c r="C1887" t="n">
        <v>2006</v>
      </c>
      <c r="D1887" t="n">
        <v>3.37436360121207</v>
      </c>
    </row>
    <row r="1888">
      <c r="A1888" t="inlineStr">
        <is>
          <t>Comoros</t>
        </is>
      </c>
      <c r="B1888" t="inlineStr">
        <is>
          <t>COM</t>
        </is>
      </c>
      <c r="C1888" t="n">
        <v>2007</v>
      </c>
      <c r="D1888" t="n">
        <v>4.46616710098134</v>
      </c>
    </row>
    <row r="1889">
      <c r="A1889" t="inlineStr">
        <is>
          <t>Comoros</t>
        </is>
      </c>
      <c r="B1889" t="inlineStr">
        <is>
          <t>COM</t>
        </is>
      </c>
      <c r="C1889" t="n">
        <v>2008</v>
      </c>
      <c r="D1889" t="n">
        <v>1.70078176284526</v>
      </c>
    </row>
    <row r="1890">
      <c r="A1890" t="inlineStr">
        <is>
          <t>Comoros</t>
        </is>
      </c>
      <c r="B1890" t="inlineStr">
        <is>
          <t>COM</t>
        </is>
      </c>
      <c r="C1890" t="n">
        <v>2009</v>
      </c>
      <c r="D1890" t="n">
        <v>4.36234829325718</v>
      </c>
    </row>
    <row r="1891">
      <c r="A1891" t="inlineStr">
        <is>
          <t>Comoros</t>
        </is>
      </c>
      <c r="B1891" t="inlineStr">
        <is>
          <t>COM</t>
        </is>
      </c>
      <c r="C1891" t="n">
        <v>2010</v>
      </c>
      <c r="D1891" t="n">
        <v>3.35475770328922</v>
      </c>
    </row>
    <row r="1892">
      <c r="A1892" t="inlineStr">
        <is>
          <t>Comoros</t>
        </is>
      </c>
      <c r="B1892" t="inlineStr">
        <is>
          <t>COM</t>
        </is>
      </c>
      <c r="C1892" t="n">
        <v>2011</v>
      </c>
      <c r="D1892" t="n">
        <v>1.8426630075621</v>
      </c>
    </row>
    <row r="1893">
      <c r="A1893" t="inlineStr">
        <is>
          <t>Comoros</t>
        </is>
      </c>
      <c r="B1893" t="inlineStr">
        <is>
          <t>COM</t>
        </is>
      </c>
      <c r="C1893" t="n">
        <v>2012</v>
      </c>
      <c r="D1893" t="n">
        <v>6.31474450315196</v>
      </c>
    </row>
    <row r="1894">
      <c r="A1894" t="inlineStr">
        <is>
          <t>Comoros</t>
        </is>
      </c>
      <c r="B1894" t="inlineStr">
        <is>
          <t>COM</t>
        </is>
      </c>
      <c r="C1894" t="n">
        <v>2013</v>
      </c>
      <c r="D1894" t="n">
        <v>-4.29487331536736</v>
      </c>
    </row>
    <row r="1895">
      <c r="A1895" t="inlineStr">
        <is>
          <t>Cabo Verde</t>
        </is>
      </c>
      <c r="B1895" t="inlineStr">
        <is>
          <t>CPV</t>
        </is>
      </c>
      <c r="C1895" t="n">
        <v>1984</v>
      </c>
      <c r="D1895" t="n">
        <v>11.2499999999997</v>
      </c>
    </row>
    <row r="1896">
      <c r="A1896" t="inlineStr">
        <is>
          <t>Cabo Verde</t>
        </is>
      </c>
      <c r="B1896" t="inlineStr">
        <is>
          <t>CPV</t>
        </is>
      </c>
      <c r="C1896" t="n">
        <v>1985</v>
      </c>
      <c r="D1896" t="n">
        <v>5.39325842696639</v>
      </c>
    </row>
    <row r="1897">
      <c r="A1897" t="inlineStr">
        <is>
          <t>Cabo Verde</t>
        </is>
      </c>
      <c r="B1897" t="inlineStr">
        <is>
          <t>CPV</t>
        </is>
      </c>
      <c r="C1897" t="n">
        <v>1986</v>
      </c>
      <c r="D1897" t="n">
        <v>10.8742004264391</v>
      </c>
    </row>
    <row r="1898">
      <c r="A1898" t="inlineStr">
        <is>
          <t>Cabo Verde</t>
        </is>
      </c>
      <c r="B1898" t="inlineStr">
        <is>
          <t>CPV</t>
        </is>
      </c>
      <c r="C1898" t="n">
        <v>1987</v>
      </c>
      <c r="D1898" t="n">
        <v>3.84615384615409</v>
      </c>
    </row>
    <row r="1899">
      <c r="A1899" t="inlineStr">
        <is>
          <t>Cabo Verde</t>
        </is>
      </c>
      <c r="B1899" t="inlineStr">
        <is>
          <t>CPV</t>
        </is>
      </c>
      <c r="C1899" t="n">
        <v>1988</v>
      </c>
      <c r="D1899" t="n">
        <v>4.07407407407384</v>
      </c>
    </row>
    <row r="1900">
      <c r="A1900" t="inlineStr">
        <is>
          <t>Cabo Verde</t>
        </is>
      </c>
      <c r="B1900" t="inlineStr">
        <is>
          <t>CPV</t>
        </is>
      </c>
      <c r="C1900" t="n">
        <v>1989</v>
      </c>
      <c r="D1900" t="n">
        <v>4.55516014234884</v>
      </c>
    </row>
    <row r="1901">
      <c r="A1901" t="inlineStr">
        <is>
          <t>Cabo Verde</t>
        </is>
      </c>
      <c r="B1901" t="inlineStr">
        <is>
          <t>CPV</t>
        </is>
      </c>
      <c r="C1901" t="n">
        <v>1990</v>
      </c>
      <c r="D1901" t="n">
        <v>10.6535057862491</v>
      </c>
    </row>
    <row r="1902">
      <c r="A1902" t="inlineStr">
        <is>
          <t>Cabo Verde</t>
        </is>
      </c>
      <c r="B1902" t="inlineStr">
        <is>
          <t>CPV</t>
        </is>
      </c>
      <c r="C1902" t="n">
        <v>1991</v>
      </c>
      <c r="D1902" t="n">
        <v>9.55090741310361</v>
      </c>
    </row>
    <row r="1903">
      <c r="A1903" t="inlineStr">
        <is>
          <t>Cabo Verde</t>
        </is>
      </c>
      <c r="B1903" t="inlineStr">
        <is>
          <t>CPV</t>
        </is>
      </c>
      <c r="C1903" t="n">
        <v>1992</v>
      </c>
      <c r="D1903" t="n">
        <v>3.11666432682861</v>
      </c>
    </row>
    <row r="1904">
      <c r="A1904" t="inlineStr">
        <is>
          <t>Cabo Verde</t>
        </is>
      </c>
      <c r="B1904" t="inlineStr">
        <is>
          <t>CPV</t>
        </is>
      </c>
      <c r="C1904" t="n">
        <v>1993</v>
      </c>
      <c r="D1904" t="n">
        <v>5.78839590443697</v>
      </c>
    </row>
    <row r="1905">
      <c r="A1905" t="inlineStr">
        <is>
          <t>Cabo Verde</t>
        </is>
      </c>
      <c r="B1905" t="inlineStr">
        <is>
          <t>CPV</t>
        </is>
      </c>
      <c r="C1905" t="n">
        <v>1994</v>
      </c>
      <c r="D1905" t="n">
        <v>3.45205833010708</v>
      </c>
    </row>
    <row r="1906">
      <c r="A1906" t="inlineStr">
        <is>
          <t>Cabo Verde</t>
        </is>
      </c>
      <c r="B1906" t="inlineStr">
        <is>
          <t>CPV</t>
        </is>
      </c>
      <c r="C1906" t="n">
        <v>1995</v>
      </c>
      <c r="D1906" t="n">
        <v>8.35152497972927</v>
      </c>
    </row>
    <row r="1907">
      <c r="A1907" t="inlineStr">
        <is>
          <t>Cabo Verde</t>
        </is>
      </c>
      <c r="B1907" t="inlineStr">
        <is>
          <t>CPV</t>
        </is>
      </c>
      <c r="C1907" t="n">
        <v>1996</v>
      </c>
      <c r="D1907" t="n">
        <v>5.96361961777576</v>
      </c>
    </row>
    <row r="1908">
      <c r="A1908" t="inlineStr">
        <is>
          <t>Cabo Verde</t>
        </is>
      </c>
      <c r="B1908" t="inlineStr">
        <is>
          <t>CPV</t>
        </is>
      </c>
      <c r="C1908" t="n">
        <v>1997</v>
      </c>
      <c r="D1908" t="n">
        <v>8.556062581486341</v>
      </c>
    </row>
    <row r="1909">
      <c r="A1909" t="inlineStr">
        <is>
          <t>Cabo Verde</t>
        </is>
      </c>
      <c r="B1909" t="inlineStr">
        <is>
          <t>CPV</t>
        </is>
      </c>
      <c r="C1909" t="n">
        <v>1998</v>
      </c>
      <c r="D1909" t="n">
        <v>4.39423509983477</v>
      </c>
    </row>
    <row r="1910">
      <c r="A1910" t="inlineStr">
        <is>
          <t>Cabo Verde</t>
        </is>
      </c>
      <c r="B1910" t="inlineStr">
        <is>
          <t>CPV</t>
        </is>
      </c>
      <c r="C1910" t="n">
        <v>1999</v>
      </c>
      <c r="D1910" t="n">
        <v>4.35643374510453</v>
      </c>
    </row>
    <row r="1911">
      <c r="A1911" t="inlineStr">
        <is>
          <t>Cabo Verde</t>
        </is>
      </c>
      <c r="B1911" t="inlineStr">
        <is>
          <t>CPV</t>
        </is>
      </c>
      <c r="C1911" t="n">
        <v>2000</v>
      </c>
      <c r="D1911" t="n">
        <v>-2.47745668519835</v>
      </c>
    </row>
    <row r="1912">
      <c r="A1912" t="inlineStr">
        <is>
          <t>Cabo Verde</t>
        </is>
      </c>
      <c r="B1912" t="inlineStr">
        <is>
          <t>CPV</t>
        </is>
      </c>
      <c r="C1912" t="n">
        <v>2001</v>
      </c>
      <c r="D1912" t="n">
        <v>3.34996472317894</v>
      </c>
    </row>
    <row r="1913">
      <c r="A1913" t="inlineStr">
        <is>
          <t>Cabo Verde</t>
        </is>
      </c>
      <c r="B1913" t="inlineStr">
        <is>
          <t>CPV</t>
        </is>
      </c>
      <c r="C1913" t="n">
        <v>2002</v>
      </c>
      <c r="D1913" t="n">
        <v>1.88453410076765</v>
      </c>
    </row>
    <row r="1914">
      <c r="A1914" t="inlineStr">
        <is>
          <t>Cabo Verde</t>
        </is>
      </c>
      <c r="B1914" t="inlineStr">
        <is>
          <t>CPV</t>
        </is>
      </c>
      <c r="C1914" t="n">
        <v>2003</v>
      </c>
      <c r="D1914" t="n">
        <v>1.18817038620528</v>
      </c>
    </row>
    <row r="1915">
      <c r="A1915" t="inlineStr">
        <is>
          <t>Cabo Verde</t>
        </is>
      </c>
      <c r="B1915" t="inlineStr">
        <is>
          <t>CPV</t>
        </is>
      </c>
      <c r="C1915" t="n">
        <v>2004</v>
      </c>
      <c r="D1915" t="n">
        <v>-1.8908217230618</v>
      </c>
    </row>
    <row r="1916">
      <c r="A1916" t="inlineStr">
        <is>
          <t>Cabo Verde</t>
        </is>
      </c>
      <c r="B1916" t="inlineStr">
        <is>
          <t>CPV</t>
        </is>
      </c>
      <c r="C1916" t="n">
        <v>2005</v>
      </c>
      <c r="D1916" t="n">
        <v>0.41889161285517</v>
      </c>
    </row>
    <row r="1917">
      <c r="A1917" t="inlineStr">
        <is>
          <t>Cabo Verde</t>
        </is>
      </c>
      <c r="B1917" t="inlineStr">
        <is>
          <t>CPV</t>
        </is>
      </c>
      <c r="C1917" t="n">
        <v>2006</v>
      </c>
      <c r="D1917" t="n">
        <v>5.36907687065549</v>
      </c>
    </row>
    <row r="1918">
      <c r="A1918" t="inlineStr">
        <is>
          <t>Cabo Verde</t>
        </is>
      </c>
      <c r="B1918" t="inlineStr">
        <is>
          <t>CPV</t>
        </is>
      </c>
      <c r="C1918" t="n">
        <v>2007</v>
      </c>
      <c r="D1918" t="n">
        <v>4.41099704193489</v>
      </c>
    </row>
    <row r="1919">
      <c r="A1919" t="inlineStr">
        <is>
          <t>Cabo Verde</t>
        </is>
      </c>
      <c r="B1919" t="inlineStr">
        <is>
          <t>CPV</t>
        </is>
      </c>
      <c r="C1919" t="n">
        <v>2008</v>
      </c>
      <c r="D1919" t="n">
        <v>6.77443546371143</v>
      </c>
    </row>
    <row r="1920">
      <c r="A1920" t="inlineStr">
        <is>
          <t>Cabo Verde</t>
        </is>
      </c>
      <c r="B1920" t="inlineStr">
        <is>
          <t>CPV</t>
        </is>
      </c>
      <c r="C1920" t="n">
        <v>2009</v>
      </c>
      <c r="D1920" t="n">
        <v>0.9911034805680849</v>
      </c>
    </row>
    <row r="1921">
      <c r="A1921" t="inlineStr">
        <is>
          <t>Cabo Verde</t>
        </is>
      </c>
      <c r="B1921" t="inlineStr">
        <is>
          <t>CPV</t>
        </is>
      </c>
      <c r="C1921" t="n">
        <v>2010</v>
      </c>
      <c r="D1921" t="n">
        <v>2.07866470906424</v>
      </c>
    </row>
    <row r="1922">
      <c r="A1922" t="inlineStr">
        <is>
          <t>Cabo Verde</t>
        </is>
      </c>
      <c r="B1922" t="inlineStr">
        <is>
          <t>CPV</t>
        </is>
      </c>
      <c r="C1922" t="n">
        <v>2011</v>
      </c>
      <c r="D1922" t="n">
        <v>4.47388342165023</v>
      </c>
    </row>
    <row r="1923">
      <c r="A1923" t="inlineStr">
        <is>
          <t>Cabo Verde</t>
        </is>
      </c>
      <c r="B1923" t="inlineStr">
        <is>
          <t>CPV</t>
        </is>
      </c>
      <c r="C1923" t="n">
        <v>2012</v>
      </c>
      <c r="D1923" t="n">
        <v>2.54039644167109</v>
      </c>
    </row>
    <row r="1924">
      <c r="A1924" t="inlineStr">
        <is>
          <t>Cabo Verde</t>
        </is>
      </c>
      <c r="B1924" t="inlineStr">
        <is>
          <t>CPV</t>
        </is>
      </c>
      <c r="C1924" t="n">
        <v>2013</v>
      </c>
      <c r="D1924" t="n">
        <v>1.50654285701407</v>
      </c>
    </row>
    <row r="1925">
      <c r="A1925" t="inlineStr">
        <is>
          <t>Cabo Verde</t>
        </is>
      </c>
      <c r="B1925" t="inlineStr">
        <is>
          <t>CPV</t>
        </is>
      </c>
      <c r="C1925" t="n">
        <v>2014</v>
      </c>
      <c r="D1925" t="n">
        <v>-0.238778144990624</v>
      </c>
    </row>
    <row r="1926">
      <c r="A1926" t="inlineStr">
        <is>
          <t>Cabo Verde</t>
        </is>
      </c>
      <c r="B1926" t="inlineStr">
        <is>
          <t>CPV</t>
        </is>
      </c>
      <c r="C1926" t="n">
        <v>2015</v>
      </c>
      <c r="D1926" t="n">
        <v>0.131187999024545</v>
      </c>
    </row>
    <row r="1927">
      <c r="A1927" t="inlineStr">
        <is>
          <t>Cabo Verde</t>
        </is>
      </c>
      <c r="B1927" t="inlineStr">
        <is>
          <t>CPV</t>
        </is>
      </c>
      <c r="C1927" t="n">
        <v>2016</v>
      </c>
      <c r="D1927" t="n">
        <v>-1.40781637091706</v>
      </c>
    </row>
    <row r="1928">
      <c r="A1928" t="inlineStr">
        <is>
          <t>Cabo Verde</t>
        </is>
      </c>
      <c r="B1928" t="inlineStr">
        <is>
          <t>CPV</t>
        </is>
      </c>
      <c r="C1928" t="n">
        <v>2017</v>
      </c>
      <c r="D1928" t="n">
        <v>0.784415251101334</v>
      </c>
    </row>
    <row r="1929">
      <c r="A1929" t="inlineStr">
        <is>
          <t>Cabo Verde</t>
        </is>
      </c>
      <c r="B1929" t="inlineStr">
        <is>
          <t>CPV</t>
        </is>
      </c>
      <c r="C1929" t="n">
        <v>2018</v>
      </c>
      <c r="D1929" t="n">
        <v>1.25699566690509</v>
      </c>
    </row>
    <row r="1930">
      <c r="A1930" t="inlineStr">
        <is>
          <t>Cabo Verde</t>
        </is>
      </c>
      <c r="B1930" t="inlineStr">
        <is>
          <t>CPV</t>
        </is>
      </c>
      <c r="C1930" t="n">
        <v>2019</v>
      </c>
      <c r="D1930" t="n">
        <v>1.10666674296063</v>
      </c>
    </row>
    <row r="1931">
      <c r="A1931" t="inlineStr">
        <is>
          <t>Cabo Verde</t>
        </is>
      </c>
      <c r="B1931" t="inlineStr">
        <is>
          <t>CPV</t>
        </is>
      </c>
      <c r="C1931" t="n">
        <v>2020</v>
      </c>
      <c r="D1931" t="n">
        <v>0.605795808395385</v>
      </c>
    </row>
    <row r="1932">
      <c r="A1932" t="inlineStr">
        <is>
          <t>Cabo Verde</t>
        </is>
      </c>
      <c r="B1932" t="inlineStr">
        <is>
          <t>CPV</t>
        </is>
      </c>
      <c r="C1932" t="n">
        <v>2021</v>
      </c>
      <c r="D1932" t="n">
        <v>1.86215297494647</v>
      </c>
    </row>
    <row r="1933">
      <c r="A1933" t="inlineStr">
        <is>
          <t>Cabo Verde</t>
        </is>
      </c>
      <c r="B1933" t="inlineStr">
        <is>
          <t>CPV</t>
        </is>
      </c>
      <c r="C1933" t="n">
        <v>2022</v>
      </c>
      <c r="D1933" t="n">
        <v>7.93092925430087</v>
      </c>
    </row>
    <row r="1934">
      <c r="A1934" t="inlineStr">
        <is>
          <t>Cabo Verde</t>
        </is>
      </c>
      <c r="B1934" t="inlineStr">
        <is>
          <t>CPV</t>
        </is>
      </c>
      <c r="C1934" t="n">
        <v>2023</v>
      </c>
      <c r="D1934" t="n">
        <v>3.72437517668748</v>
      </c>
    </row>
    <row r="1935">
      <c r="A1935" t="inlineStr">
        <is>
          <t>Costa Rica</t>
        </is>
      </c>
      <c r="B1935" t="inlineStr">
        <is>
          <t>CRI</t>
        </is>
      </c>
      <c r="C1935" t="n">
        <v>1960</v>
      </c>
      <c r="D1935" t="n">
        <v>0.7902058179600741</v>
      </c>
    </row>
    <row r="1936">
      <c r="A1936" t="inlineStr">
        <is>
          <t>Costa Rica</t>
        </is>
      </c>
      <c r="B1936" t="inlineStr">
        <is>
          <t>CRI</t>
        </is>
      </c>
      <c r="C1936" t="n">
        <v>1961</v>
      </c>
      <c r="D1936" t="n">
        <v>2.43079391009159</v>
      </c>
    </row>
    <row r="1937">
      <c r="A1937" t="inlineStr">
        <is>
          <t>Costa Rica</t>
        </is>
      </c>
      <c r="B1937" t="inlineStr">
        <is>
          <t>CRI</t>
        </is>
      </c>
      <c r="C1937" t="n">
        <v>1962</v>
      </c>
      <c r="D1937" t="n">
        <v>2.67785968742788</v>
      </c>
    </row>
    <row r="1938">
      <c r="A1938" t="inlineStr">
        <is>
          <t>Costa Rica</t>
        </is>
      </c>
      <c r="B1938" t="inlineStr">
        <is>
          <t>CRI</t>
        </is>
      </c>
      <c r="C1938" t="n">
        <v>1963</v>
      </c>
      <c r="D1938" t="n">
        <v>2.93161847051352</v>
      </c>
    </row>
    <row r="1939">
      <c r="A1939" t="inlineStr">
        <is>
          <t>Costa Rica</t>
        </is>
      </c>
      <c r="B1939" t="inlineStr">
        <is>
          <t>CRI</t>
        </is>
      </c>
      <c r="C1939" t="n">
        <v>1964</v>
      </c>
      <c r="D1939" t="n">
        <v>3.32403316018127</v>
      </c>
    </row>
    <row r="1940">
      <c r="A1940" t="inlineStr">
        <is>
          <t>Costa Rica</t>
        </is>
      </c>
      <c r="B1940" t="inlineStr">
        <is>
          <t>CRI</t>
        </is>
      </c>
      <c r="C1940" t="n">
        <v>1965</v>
      </c>
      <c r="D1940" t="n">
        <v>-0.665000000583401</v>
      </c>
    </row>
    <row r="1941">
      <c r="A1941" t="inlineStr">
        <is>
          <t>Costa Rica</t>
        </is>
      </c>
      <c r="B1941" t="inlineStr">
        <is>
          <t>CRI</t>
        </is>
      </c>
      <c r="C1941" t="n">
        <v>1966</v>
      </c>
      <c r="D1941" t="n">
        <v>0.182882837621527</v>
      </c>
    </row>
    <row r="1942">
      <c r="A1942" t="inlineStr">
        <is>
          <t>Costa Rica</t>
        </is>
      </c>
      <c r="B1942" t="inlineStr">
        <is>
          <t>CRI</t>
        </is>
      </c>
      <c r="C1942" t="n">
        <v>1967</v>
      </c>
      <c r="D1942" t="n">
        <v>1.20834031134425</v>
      </c>
    </row>
    <row r="1943">
      <c r="A1943" t="inlineStr">
        <is>
          <t>Costa Rica</t>
        </is>
      </c>
      <c r="B1943" t="inlineStr">
        <is>
          <t>CRI</t>
        </is>
      </c>
      <c r="C1943" t="n">
        <v>1968</v>
      </c>
      <c r="D1943" t="n">
        <v>4.09389143106836</v>
      </c>
    </row>
    <row r="1944">
      <c r="A1944" t="inlineStr">
        <is>
          <t>Costa Rica</t>
        </is>
      </c>
      <c r="B1944" t="inlineStr">
        <is>
          <t>CRI</t>
        </is>
      </c>
      <c r="C1944" t="n">
        <v>1969</v>
      </c>
      <c r="D1944" t="n">
        <v>2.62934083658332</v>
      </c>
    </row>
    <row r="1945">
      <c r="A1945" t="inlineStr">
        <is>
          <t>Costa Rica</t>
        </is>
      </c>
      <c r="B1945" t="inlineStr">
        <is>
          <t>CRI</t>
        </is>
      </c>
      <c r="C1945" t="n">
        <v>1970</v>
      </c>
      <c r="D1945" t="n">
        <v>4.65229749303154</v>
      </c>
    </row>
    <row r="1946">
      <c r="A1946" t="inlineStr">
        <is>
          <t>Costa Rica</t>
        </is>
      </c>
      <c r="B1946" t="inlineStr">
        <is>
          <t>CRI</t>
        </is>
      </c>
      <c r="C1946" t="n">
        <v>1971</v>
      </c>
      <c r="D1946" t="n">
        <v>3.08304841408707</v>
      </c>
    </row>
    <row r="1947">
      <c r="A1947" t="inlineStr">
        <is>
          <t>Costa Rica</t>
        </is>
      </c>
      <c r="B1947" t="inlineStr">
        <is>
          <t>CRI</t>
        </is>
      </c>
      <c r="C1947" t="n">
        <v>1972</v>
      </c>
      <c r="D1947" t="n">
        <v>4.60112569280858</v>
      </c>
    </row>
    <row r="1948">
      <c r="A1948" t="inlineStr">
        <is>
          <t>Costa Rica</t>
        </is>
      </c>
      <c r="B1948" t="inlineStr">
        <is>
          <t>CRI</t>
        </is>
      </c>
      <c r="C1948" t="n">
        <v>1973</v>
      </c>
      <c r="D1948" t="n">
        <v>15.2140342204182</v>
      </c>
    </row>
    <row r="1949">
      <c r="A1949" t="inlineStr">
        <is>
          <t>Costa Rica</t>
        </is>
      </c>
      <c r="B1949" t="inlineStr">
        <is>
          <t>CRI</t>
        </is>
      </c>
      <c r="C1949" t="n">
        <v>1974</v>
      </c>
      <c r="D1949" t="n">
        <v>30.0736292803636</v>
      </c>
    </row>
    <row r="1950">
      <c r="A1950" t="inlineStr">
        <is>
          <t>Costa Rica</t>
        </is>
      </c>
      <c r="B1950" t="inlineStr">
        <is>
          <t>CRI</t>
        </is>
      </c>
      <c r="C1950" t="n">
        <v>1975</v>
      </c>
      <c r="D1950" t="n">
        <v>17.3692020226552</v>
      </c>
    </row>
    <row r="1951">
      <c r="A1951" t="inlineStr">
        <is>
          <t>Costa Rica</t>
        </is>
      </c>
      <c r="B1951" t="inlineStr">
        <is>
          <t>CRI</t>
        </is>
      </c>
      <c r="C1951" t="n">
        <v>1976</v>
      </c>
      <c r="D1951" t="n">
        <v>3.48583333291706</v>
      </c>
    </row>
    <row r="1952">
      <c r="A1952" t="inlineStr">
        <is>
          <t>Costa Rica</t>
        </is>
      </c>
      <c r="B1952" t="inlineStr">
        <is>
          <t>CRI</t>
        </is>
      </c>
      <c r="C1952" t="n">
        <v>1977</v>
      </c>
      <c r="D1952" t="n">
        <v>4.1902404526167</v>
      </c>
    </row>
    <row r="1953">
      <c r="A1953" t="inlineStr">
        <is>
          <t>Costa Rica</t>
        </is>
      </c>
      <c r="B1953" t="inlineStr">
        <is>
          <t>CRI</t>
        </is>
      </c>
      <c r="C1953" t="n">
        <v>1978</v>
      </c>
      <c r="D1953" t="n">
        <v>6.00712709994902</v>
      </c>
    </row>
    <row r="1954">
      <c r="A1954" t="inlineStr">
        <is>
          <t>Costa Rica</t>
        </is>
      </c>
      <c r="B1954" t="inlineStr">
        <is>
          <t>CRI</t>
        </is>
      </c>
      <c r="C1954" t="n">
        <v>1979</v>
      </c>
      <c r="D1954" t="n">
        <v>9.18841043700977</v>
      </c>
    </row>
    <row r="1955">
      <c r="A1955" t="inlineStr">
        <is>
          <t>Costa Rica</t>
        </is>
      </c>
      <c r="B1955" t="inlineStr">
        <is>
          <t>CRI</t>
        </is>
      </c>
      <c r="C1955" t="n">
        <v>1980</v>
      </c>
      <c r="D1955" t="n">
        <v>18.135170796071</v>
      </c>
    </row>
    <row r="1956">
      <c r="A1956" t="inlineStr">
        <is>
          <t>Costa Rica</t>
        </is>
      </c>
      <c r="B1956" t="inlineStr">
        <is>
          <t>CRI</t>
        </is>
      </c>
      <c r="C1956" t="n">
        <v>1981</v>
      </c>
      <c r="D1956" t="n">
        <v>37.0563415239514</v>
      </c>
    </row>
    <row r="1957">
      <c r="A1957" t="inlineStr">
        <is>
          <t>Costa Rica</t>
        </is>
      </c>
      <c r="B1957" t="inlineStr">
        <is>
          <t>CRI</t>
        </is>
      </c>
      <c r="C1957" t="n">
        <v>1982</v>
      </c>
      <c r="D1957" t="n">
        <v>90.12133285041659</v>
      </c>
    </row>
    <row r="1958">
      <c r="A1958" t="inlineStr">
        <is>
          <t>Costa Rica</t>
        </is>
      </c>
      <c r="B1958" t="inlineStr">
        <is>
          <t>CRI</t>
        </is>
      </c>
      <c r="C1958" t="n">
        <v>1983</v>
      </c>
      <c r="D1958" t="n">
        <v>32.6237081487831</v>
      </c>
    </row>
    <row r="1959">
      <c r="A1959" t="inlineStr">
        <is>
          <t>Costa Rica</t>
        </is>
      </c>
      <c r="B1959" t="inlineStr">
        <is>
          <t>CRI</t>
        </is>
      </c>
      <c r="C1959" t="n">
        <v>1984</v>
      </c>
      <c r="D1959" t="n">
        <v>11.9474270118864</v>
      </c>
    </row>
    <row r="1960">
      <c r="A1960" t="inlineStr">
        <is>
          <t>Costa Rica</t>
        </is>
      </c>
      <c r="B1960" t="inlineStr">
        <is>
          <t>CRI</t>
        </is>
      </c>
      <c r="C1960" t="n">
        <v>1985</v>
      </c>
      <c r="D1960" t="n">
        <v>15.0574196445756</v>
      </c>
    </row>
    <row r="1961">
      <c r="A1961" t="inlineStr">
        <is>
          <t>Costa Rica</t>
        </is>
      </c>
      <c r="B1961" t="inlineStr">
        <is>
          <t>CRI</t>
        </is>
      </c>
      <c r="C1961" t="n">
        <v>1986</v>
      </c>
      <c r="D1961" t="n">
        <v>11.8350618936099</v>
      </c>
    </row>
    <row r="1962">
      <c r="A1962" t="inlineStr">
        <is>
          <t>Costa Rica</t>
        </is>
      </c>
      <c r="B1962" t="inlineStr">
        <is>
          <t>CRI</t>
        </is>
      </c>
      <c r="C1962" t="n">
        <v>1987</v>
      </c>
      <c r="D1962" t="n">
        <v>16.8424201630394</v>
      </c>
    </row>
    <row r="1963">
      <c r="A1963" t="inlineStr">
        <is>
          <t>Costa Rica</t>
        </is>
      </c>
      <c r="B1963" t="inlineStr">
        <is>
          <t>CRI</t>
        </is>
      </c>
      <c r="C1963" t="n">
        <v>1988</v>
      </c>
      <c r="D1963" t="n">
        <v>20.8325332309203</v>
      </c>
    </row>
    <row r="1964">
      <c r="A1964" t="inlineStr">
        <is>
          <t>Costa Rica</t>
        </is>
      </c>
      <c r="B1964" t="inlineStr">
        <is>
          <t>CRI</t>
        </is>
      </c>
      <c r="C1964" t="n">
        <v>1989</v>
      </c>
      <c r="D1964" t="n">
        <v>16.509808768739</v>
      </c>
    </row>
    <row r="1965">
      <c r="A1965" t="inlineStr">
        <is>
          <t>Costa Rica</t>
        </is>
      </c>
      <c r="B1965" t="inlineStr">
        <is>
          <t>CRI</t>
        </is>
      </c>
      <c r="C1965" t="n">
        <v>1990</v>
      </c>
      <c r="D1965" t="n">
        <v>19.0397526635649</v>
      </c>
    </row>
    <row r="1966">
      <c r="A1966" t="inlineStr">
        <is>
          <t>Costa Rica</t>
        </is>
      </c>
      <c r="B1966" t="inlineStr">
        <is>
          <t>CRI</t>
        </is>
      </c>
      <c r="C1966" t="n">
        <v>1991</v>
      </c>
      <c r="D1966" t="n">
        <v>28.7092913706618</v>
      </c>
    </row>
    <row r="1967">
      <c r="A1967" t="inlineStr">
        <is>
          <t>Costa Rica</t>
        </is>
      </c>
      <c r="B1967" t="inlineStr">
        <is>
          <t>CRI</t>
        </is>
      </c>
      <c r="C1967" t="n">
        <v>1992</v>
      </c>
      <c r="D1967" t="n">
        <v>21.791168790061</v>
      </c>
    </row>
    <row r="1968">
      <c r="A1968" t="inlineStr">
        <is>
          <t>Costa Rica</t>
        </is>
      </c>
      <c r="B1968" t="inlineStr">
        <is>
          <t>CRI</t>
        </is>
      </c>
      <c r="C1968" t="n">
        <v>1993</v>
      </c>
      <c r="D1968" t="n">
        <v>9.778600782937771</v>
      </c>
    </row>
    <row r="1969">
      <c r="A1969" t="inlineStr">
        <is>
          <t>Costa Rica</t>
        </is>
      </c>
      <c r="B1969" t="inlineStr">
        <is>
          <t>CRI</t>
        </is>
      </c>
      <c r="C1969" t="n">
        <v>1994</v>
      </c>
      <c r="D1969" t="n">
        <v>13.5344687273427</v>
      </c>
    </row>
    <row r="1970">
      <c r="A1970" t="inlineStr">
        <is>
          <t>Costa Rica</t>
        </is>
      </c>
      <c r="B1970" t="inlineStr">
        <is>
          <t>CRI</t>
        </is>
      </c>
      <c r="C1970" t="n">
        <v>1995</v>
      </c>
      <c r="D1970" t="n">
        <v>23.1864981102567</v>
      </c>
    </row>
    <row r="1971">
      <c r="A1971" t="inlineStr">
        <is>
          <t>Costa Rica</t>
        </is>
      </c>
      <c r="B1971" t="inlineStr">
        <is>
          <t>CRI</t>
        </is>
      </c>
      <c r="C1971" t="n">
        <v>1996</v>
      </c>
      <c r="D1971" t="n">
        <v>17.5114524814591</v>
      </c>
    </row>
    <row r="1972">
      <c r="A1972" t="inlineStr">
        <is>
          <t>Costa Rica</t>
        </is>
      </c>
      <c r="B1972" t="inlineStr">
        <is>
          <t>CRI</t>
        </is>
      </c>
      <c r="C1972" t="n">
        <v>1997</v>
      </c>
      <c r="D1972" t="n">
        <v>13.2480440791191</v>
      </c>
    </row>
    <row r="1973">
      <c r="A1973" t="inlineStr">
        <is>
          <t>Costa Rica</t>
        </is>
      </c>
      <c r="B1973" t="inlineStr">
        <is>
          <t>CRI</t>
        </is>
      </c>
      <c r="C1973" t="n">
        <v>1998</v>
      </c>
      <c r="D1973" t="n">
        <v>11.6592997742233</v>
      </c>
    </row>
    <row r="1974">
      <c r="A1974" t="inlineStr">
        <is>
          <t>Costa Rica</t>
        </is>
      </c>
      <c r="B1974" t="inlineStr">
        <is>
          <t>CRI</t>
        </is>
      </c>
      <c r="C1974" t="n">
        <v>1999</v>
      </c>
      <c r="D1974" t="n">
        <v>10.0452817292494</v>
      </c>
    </row>
    <row r="1975">
      <c r="A1975" t="inlineStr">
        <is>
          <t>Costa Rica</t>
        </is>
      </c>
      <c r="B1975" t="inlineStr">
        <is>
          <t>CRI</t>
        </is>
      </c>
      <c r="C1975" t="n">
        <v>2000</v>
      </c>
      <c r="D1975" t="n">
        <v>10.9615496593622</v>
      </c>
    </row>
    <row r="1976">
      <c r="A1976" t="inlineStr">
        <is>
          <t>Costa Rica</t>
        </is>
      </c>
      <c r="B1976" t="inlineStr">
        <is>
          <t>CRI</t>
        </is>
      </c>
      <c r="C1976" t="n">
        <v>2001</v>
      </c>
      <c r="D1976" t="n">
        <v>11.2556157091172</v>
      </c>
    </row>
    <row r="1977">
      <c r="A1977" t="inlineStr">
        <is>
          <t>Costa Rica</t>
        </is>
      </c>
      <c r="B1977" t="inlineStr">
        <is>
          <t>CRI</t>
        </is>
      </c>
      <c r="C1977" t="n">
        <v>2002</v>
      </c>
      <c r="D1977" t="n">
        <v>9.16752048509119</v>
      </c>
    </row>
    <row r="1978">
      <c r="A1978" t="inlineStr">
        <is>
          <t>Costa Rica</t>
        </is>
      </c>
      <c r="B1978" t="inlineStr">
        <is>
          <t>CRI</t>
        </is>
      </c>
      <c r="C1978" t="n">
        <v>2003</v>
      </c>
      <c r="D1978" t="n">
        <v>9.447580916169841</v>
      </c>
    </row>
    <row r="1979">
      <c r="A1979" t="inlineStr">
        <is>
          <t>Costa Rica</t>
        </is>
      </c>
      <c r="B1979" t="inlineStr">
        <is>
          <t>CRI</t>
        </is>
      </c>
      <c r="C1979" t="n">
        <v>2004</v>
      </c>
      <c r="D1979" t="n">
        <v>12.3148150178852</v>
      </c>
    </row>
    <row r="1980">
      <c r="A1980" t="inlineStr">
        <is>
          <t>Costa Rica</t>
        </is>
      </c>
      <c r="B1980" t="inlineStr">
        <is>
          <t>CRI</t>
        </is>
      </c>
      <c r="C1980" t="n">
        <v>2005</v>
      </c>
      <c r="D1980" t="n">
        <v>13.7982949108987</v>
      </c>
    </row>
    <row r="1981">
      <c r="A1981" t="inlineStr">
        <is>
          <t>Costa Rica</t>
        </is>
      </c>
      <c r="B1981" t="inlineStr">
        <is>
          <t>CRI</t>
        </is>
      </c>
      <c r="C1981" t="n">
        <v>2006</v>
      </c>
      <c r="D1981" t="n">
        <v>11.4705968149052</v>
      </c>
    </row>
    <row r="1982">
      <c r="A1982" t="inlineStr">
        <is>
          <t>Costa Rica</t>
        </is>
      </c>
      <c r="B1982" t="inlineStr">
        <is>
          <t>CRI</t>
        </is>
      </c>
      <c r="C1982" t="n">
        <v>2007</v>
      </c>
      <c r="D1982" t="n">
        <v>9.35724456417157</v>
      </c>
    </row>
    <row r="1983">
      <c r="A1983" t="inlineStr">
        <is>
          <t>Costa Rica</t>
        </is>
      </c>
      <c r="B1983" t="inlineStr">
        <is>
          <t>CRI</t>
        </is>
      </c>
      <c r="C1983" t="n">
        <v>2008</v>
      </c>
      <c r="D1983" t="n">
        <v>13.4244635507284</v>
      </c>
    </row>
    <row r="1984">
      <c r="A1984" t="inlineStr">
        <is>
          <t>Costa Rica</t>
        </is>
      </c>
      <c r="B1984" t="inlineStr">
        <is>
          <t>CRI</t>
        </is>
      </c>
      <c r="C1984" t="n">
        <v>2009</v>
      </c>
      <c r="D1984" t="n">
        <v>7.84270167700654</v>
      </c>
    </row>
    <row r="1985">
      <c r="A1985" t="inlineStr">
        <is>
          <t>Costa Rica</t>
        </is>
      </c>
      <c r="B1985" t="inlineStr">
        <is>
          <t>CRI</t>
        </is>
      </c>
      <c r="C1985" t="n">
        <v>2010</v>
      </c>
      <c r="D1985" t="n">
        <v>5.66275708420021</v>
      </c>
    </row>
    <row r="1986">
      <c r="A1986" t="inlineStr">
        <is>
          <t>Costa Rica</t>
        </is>
      </c>
      <c r="B1986" t="inlineStr">
        <is>
          <t>CRI</t>
        </is>
      </c>
      <c r="C1986" t="n">
        <v>2011</v>
      </c>
      <c r="D1986" t="n">
        <v>4.87799830970702</v>
      </c>
    </row>
    <row r="1987">
      <c r="A1987" t="inlineStr">
        <is>
          <t>Costa Rica</t>
        </is>
      </c>
      <c r="B1987" t="inlineStr">
        <is>
          <t>CRI</t>
        </is>
      </c>
      <c r="C1987" t="n">
        <v>2012</v>
      </c>
      <c r="D1987" t="n">
        <v>4.49545314354605</v>
      </c>
    </row>
    <row r="1988">
      <c r="A1988" t="inlineStr">
        <is>
          <t>Costa Rica</t>
        </is>
      </c>
      <c r="B1988" t="inlineStr">
        <is>
          <t>CRI</t>
        </is>
      </c>
      <c r="C1988" t="n">
        <v>2013</v>
      </c>
      <c r="D1988" t="n">
        <v>5.23133614174428</v>
      </c>
    </row>
    <row r="1989">
      <c r="A1989" t="inlineStr">
        <is>
          <t>Costa Rica</t>
        </is>
      </c>
      <c r="B1989" t="inlineStr">
        <is>
          <t>CRI</t>
        </is>
      </c>
      <c r="C1989" t="n">
        <v>2014</v>
      </c>
      <c r="D1989" t="n">
        <v>4.51920098516954</v>
      </c>
    </row>
    <row r="1990">
      <c r="A1990" t="inlineStr">
        <is>
          <t>Costa Rica</t>
        </is>
      </c>
      <c r="B1990" t="inlineStr">
        <is>
          <t>CRI</t>
        </is>
      </c>
      <c r="C1990" t="n">
        <v>2015</v>
      </c>
      <c r="D1990" t="n">
        <v>0.801982005099623</v>
      </c>
    </row>
    <row r="1991">
      <c r="A1991" t="inlineStr">
        <is>
          <t>Costa Rica</t>
        </is>
      </c>
      <c r="B1991" t="inlineStr">
        <is>
          <t>CRI</t>
        </is>
      </c>
      <c r="C1991" t="n">
        <v>2016</v>
      </c>
      <c r="D1991" t="n">
        <v>-0.0174788505908217</v>
      </c>
    </row>
    <row r="1992">
      <c r="A1992" t="inlineStr">
        <is>
          <t>Costa Rica</t>
        </is>
      </c>
      <c r="B1992" t="inlineStr">
        <is>
          <t>CRI</t>
        </is>
      </c>
      <c r="C1992" t="n">
        <v>2017</v>
      </c>
      <c r="D1992" t="n">
        <v>1.62590692991732</v>
      </c>
    </row>
    <row r="1993">
      <c r="A1993" t="inlineStr">
        <is>
          <t>Costa Rica</t>
        </is>
      </c>
      <c r="B1993" t="inlineStr">
        <is>
          <t>CRI</t>
        </is>
      </c>
      <c r="C1993" t="n">
        <v>2018</v>
      </c>
      <c r="D1993" t="n">
        <v>2.22111461526581</v>
      </c>
    </row>
    <row r="1994">
      <c r="A1994" t="inlineStr">
        <is>
          <t>Costa Rica</t>
        </is>
      </c>
      <c r="B1994" t="inlineStr">
        <is>
          <t>CRI</t>
        </is>
      </c>
      <c r="C1994" t="n">
        <v>2019</v>
      </c>
      <c r="D1994" t="n">
        <v>2.09604635327807</v>
      </c>
    </row>
    <row r="1995">
      <c r="A1995" t="inlineStr">
        <is>
          <t>Costa Rica</t>
        </is>
      </c>
      <c r="B1995" t="inlineStr">
        <is>
          <t>CRI</t>
        </is>
      </c>
      <c r="C1995" t="n">
        <v>2020</v>
      </c>
      <c r="D1995" t="n">
        <v>0.724911478131376</v>
      </c>
    </row>
    <row r="1996">
      <c r="A1996" t="inlineStr">
        <is>
          <t>Costa Rica</t>
        </is>
      </c>
      <c r="B1996" t="inlineStr">
        <is>
          <t>CRI</t>
        </is>
      </c>
      <c r="C1996" t="n">
        <v>2021</v>
      </c>
      <c r="D1996" t="n">
        <v>1.72647755109241</v>
      </c>
    </row>
    <row r="1997">
      <c r="A1997" t="inlineStr">
        <is>
          <t>Costa Rica</t>
        </is>
      </c>
      <c r="B1997" t="inlineStr">
        <is>
          <t>CRI</t>
        </is>
      </c>
      <c r="C1997" t="n">
        <v>2022</v>
      </c>
      <c r="D1997" t="n">
        <v>8.27477490232654</v>
      </c>
    </row>
    <row r="1998">
      <c r="A1998" t="inlineStr">
        <is>
          <t>Costa Rica</t>
        </is>
      </c>
      <c r="B1998" t="inlineStr">
        <is>
          <t>CRI</t>
        </is>
      </c>
      <c r="C1998" t="n">
        <v>2023</v>
      </c>
      <c r="D1998" t="n">
        <v>0.525193508693455</v>
      </c>
    </row>
    <row r="1999">
      <c r="A1999" t="inlineStr">
        <is>
          <t>Costa Rica</t>
        </is>
      </c>
      <c r="B1999" t="inlineStr">
        <is>
          <t>CRI</t>
        </is>
      </c>
      <c r="C1999" t="n">
        <v>2024</v>
      </c>
      <c r="D1999" t="n">
        <v>-0.41345934225229</v>
      </c>
    </row>
    <row r="2000">
      <c r="A2000" t="inlineStr">
        <is>
          <t>Caribbean small states</t>
        </is>
      </c>
      <c r="B2000" t="inlineStr">
        <is>
          <t>CSS</t>
        </is>
      </c>
      <c r="C2000" t="n">
        <v>1975</v>
      </c>
      <c r="D2000" t="n">
        <v>14.0512113484787</v>
      </c>
    </row>
    <row r="2001">
      <c r="A2001" t="inlineStr">
        <is>
          <t>Caribbean small states</t>
        </is>
      </c>
      <c r="B2001" t="inlineStr">
        <is>
          <t>CSS</t>
        </is>
      </c>
      <c r="C2001" t="n">
        <v>1976</v>
      </c>
      <c r="D2001" t="n">
        <v>9.869328938483459</v>
      </c>
    </row>
    <row r="2002">
      <c r="A2002" t="inlineStr">
        <is>
          <t>Caribbean small states</t>
        </is>
      </c>
      <c r="B2002" t="inlineStr">
        <is>
          <t>CSS</t>
        </is>
      </c>
      <c r="C2002" t="n">
        <v>1977</v>
      </c>
      <c r="D2002" t="n">
        <v>9.503655252019939</v>
      </c>
    </row>
    <row r="2003">
      <c r="A2003" t="inlineStr">
        <is>
          <t>Caribbean small states</t>
        </is>
      </c>
      <c r="B2003" t="inlineStr">
        <is>
          <t>CSS</t>
        </is>
      </c>
      <c r="C2003" t="n">
        <v>1978</v>
      </c>
      <c r="D2003" t="n">
        <v>8.82352941179666</v>
      </c>
    </row>
    <row r="2004">
      <c r="A2004" t="inlineStr">
        <is>
          <t>Caribbean small states</t>
        </is>
      </c>
      <c r="B2004" t="inlineStr">
        <is>
          <t>CSS</t>
        </is>
      </c>
      <c r="C2004" t="n">
        <v>1979</v>
      </c>
      <c r="D2004" t="n">
        <v>14.0060718543563</v>
      </c>
    </row>
    <row r="2005">
      <c r="A2005" t="inlineStr">
        <is>
          <t>Caribbean small states</t>
        </is>
      </c>
      <c r="B2005" t="inlineStr">
        <is>
          <t>CSS</t>
        </is>
      </c>
      <c r="C2005" t="n">
        <v>1980</v>
      </c>
      <c r="D2005" t="n">
        <v>17.2074750037358</v>
      </c>
    </row>
    <row r="2006">
      <c r="A2006" t="inlineStr">
        <is>
          <t>Caribbean small states</t>
        </is>
      </c>
      <c r="B2006" t="inlineStr">
        <is>
          <t>CSS</t>
        </is>
      </c>
      <c r="C2006" t="n">
        <v>1981</v>
      </c>
      <c r="D2006" t="n">
        <v>12.7356566462516</v>
      </c>
    </row>
    <row r="2007">
      <c r="A2007" t="inlineStr">
        <is>
          <t>Caribbean small states</t>
        </is>
      </c>
      <c r="B2007" t="inlineStr">
        <is>
          <t>CSS</t>
        </is>
      </c>
      <c r="C2007" t="n">
        <v>1982</v>
      </c>
      <c r="D2007" t="n">
        <v>6.83903252716288</v>
      </c>
    </row>
    <row r="2008">
      <c r="A2008" t="inlineStr">
        <is>
          <t>Caribbean small states</t>
        </is>
      </c>
      <c r="B2008" t="inlineStr">
        <is>
          <t>CSS</t>
        </is>
      </c>
      <c r="C2008" t="n">
        <v>1983</v>
      </c>
      <c r="D2008" t="n">
        <v>4.41180807455269</v>
      </c>
    </row>
    <row r="2009">
      <c r="A2009" t="inlineStr">
        <is>
          <t>Caribbean small states</t>
        </is>
      </c>
      <c r="B2009" t="inlineStr">
        <is>
          <t>CSS</t>
        </is>
      </c>
      <c r="C2009" t="n">
        <v>1984</v>
      </c>
      <c r="D2009" t="n">
        <v>3.38289962863707</v>
      </c>
    </row>
    <row r="2010">
      <c r="A2010" t="inlineStr">
        <is>
          <t>Caribbean small states</t>
        </is>
      </c>
      <c r="B2010" t="inlineStr">
        <is>
          <t>CSS</t>
        </is>
      </c>
      <c r="C2010" t="n">
        <v>1985</v>
      </c>
      <c r="D2010" t="n">
        <v>3.7399799806424</v>
      </c>
    </row>
    <row r="2011">
      <c r="A2011" t="inlineStr">
        <is>
          <t>Caribbean small states</t>
        </is>
      </c>
      <c r="B2011" t="inlineStr">
        <is>
          <t>CSS</t>
        </is>
      </c>
      <c r="C2011" t="n">
        <v>1986</v>
      </c>
      <c r="D2011" t="n">
        <v>1.33006845161916</v>
      </c>
    </row>
    <row r="2012">
      <c r="A2012" t="inlineStr">
        <is>
          <t>Caribbean small states</t>
        </is>
      </c>
      <c r="B2012" t="inlineStr">
        <is>
          <t>CSS</t>
        </is>
      </c>
      <c r="C2012" t="n">
        <v>1987</v>
      </c>
      <c r="D2012" t="n">
        <v>3.31173110743255</v>
      </c>
    </row>
    <row r="2013">
      <c r="A2013" t="inlineStr">
        <is>
          <t>Caribbean small states</t>
        </is>
      </c>
      <c r="B2013" t="inlineStr">
        <is>
          <t>CSS</t>
        </is>
      </c>
      <c r="C2013" t="n">
        <v>1988</v>
      </c>
      <c r="D2013" t="n">
        <v>3.13888888888894</v>
      </c>
    </row>
    <row r="2014">
      <c r="A2014" t="inlineStr">
        <is>
          <t>Caribbean small states</t>
        </is>
      </c>
      <c r="B2014" t="inlineStr">
        <is>
          <t>CSS</t>
        </is>
      </c>
      <c r="C2014" t="n">
        <v>1989</v>
      </c>
      <c r="D2014" t="n">
        <v>5.16996495562573</v>
      </c>
    </row>
    <row r="2015">
      <c r="A2015" t="inlineStr">
        <is>
          <t>Caribbean small states</t>
        </is>
      </c>
      <c r="B2015" t="inlineStr">
        <is>
          <t>CSS</t>
        </is>
      </c>
      <c r="C2015" t="n">
        <v>1990</v>
      </c>
      <c r="D2015" t="n">
        <v>4.01098407755617</v>
      </c>
    </row>
    <row r="2016">
      <c r="A2016" t="inlineStr">
        <is>
          <t>Caribbean small states</t>
        </is>
      </c>
      <c r="B2016" t="inlineStr">
        <is>
          <t>CSS</t>
        </is>
      </c>
      <c r="C2016" t="n">
        <v>1991</v>
      </c>
      <c r="D2016" t="n">
        <v>5.55706153429132</v>
      </c>
    </row>
    <row r="2017">
      <c r="A2017" t="inlineStr">
        <is>
          <t>Caribbean small states</t>
        </is>
      </c>
      <c r="B2017" t="inlineStr">
        <is>
          <t>CSS</t>
        </is>
      </c>
      <c r="C2017" t="n">
        <v>1992</v>
      </c>
      <c r="D2017" t="n">
        <v>5.13889779944828</v>
      </c>
    </row>
    <row r="2018">
      <c r="A2018" t="inlineStr">
        <is>
          <t>Caribbean small states</t>
        </is>
      </c>
      <c r="B2018" t="inlineStr">
        <is>
          <t>CSS</t>
        </is>
      </c>
      <c r="C2018" t="n">
        <v>1993</v>
      </c>
      <c r="D2018" t="n">
        <v>1.79486146433782</v>
      </c>
    </row>
    <row r="2019">
      <c r="A2019" t="inlineStr">
        <is>
          <t>Caribbean small states</t>
        </is>
      </c>
      <c r="B2019" t="inlineStr">
        <is>
          <t>CSS</t>
        </is>
      </c>
      <c r="C2019" t="n">
        <v>1994</v>
      </c>
      <c r="D2019" t="n">
        <v>1.44226958804943</v>
      </c>
    </row>
    <row r="2020">
      <c r="A2020" t="inlineStr">
        <is>
          <t>Caribbean small states</t>
        </is>
      </c>
      <c r="B2020" t="inlineStr">
        <is>
          <t>CSS</t>
        </is>
      </c>
      <c r="C2020" t="n">
        <v>1995</v>
      </c>
      <c r="D2020" t="n">
        <v>2.47830539891096</v>
      </c>
    </row>
    <row r="2021">
      <c r="A2021" t="inlineStr">
        <is>
          <t>Caribbean small states</t>
        </is>
      </c>
      <c r="B2021" t="inlineStr">
        <is>
          <t>CSS</t>
        </is>
      </c>
      <c r="C2021" t="n">
        <v>1996</v>
      </c>
      <c r="D2021" t="n">
        <v>2.05946278648451</v>
      </c>
    </row>
    <row r="2022">
      <c r="A2022" t="inlineStr">
        <is>
          <t>Caribbean small states</t>
        </is>
      </c>
      <c r="B2022" t="inlineStr">
        <is>
          <t>CSS</t>
        </is>
      </c>
      <c r="C2022" t="n">
        <v>1997</v>
      </c>
      <c r="D2022" t="n">
        <v>1.84041249234508</v>
      </c>
    </row>
    <row r="2023">
      <c r="A2023" t="inlineStr">
        <is>
          <t>Caribbean small states</t>
        </is>
      </c>
      <c r="B2023" t="inlineStr">
        <is>
          <t>CSS</t>
        </is>
      </c>
      <c r="C2023" t="n">
        <v>1998</v>
      </c>
      <c r="D2023" t="n">
        <v>2.1688344865299</v>
      </c>
    </row>
    <row r="2024">
      <c r="A2024" t="inlineStr">
        <is>
          <t>Caribbean small states</t>
        </is>
      </c>
      <c r="B2024" t="inlineStr">
        <is>
          <t>CSS</t>
        </is>
      </c>
      <c r="C2024" t="n">
        <v>1999</v>
      </c>
      <c r="D2024" t="n">
        <v>1.56006240249605</v>
      </c>
    </row>
    <row r="2025">
      <c r="A2025" t="inlineStr">
        <is>
          <t>Caribbean small states</t>
        </is>
      </c>
      <c r="B2025" t="inlineStr">
        <is>
          <t>CSS</t>
        </is>
      </c>
      <c r="C2025" t="n">
        <v>2000</v>
      </c>
      <c r="D2025" t="n">
        <v>2.18181818181821</v>
      </c>
    </row>
    <row r="2026">
      <c r="A2026" t="inlineStr">
        <is>
          <t>Caribbean small states</t>
        </is>
      </c>
      <c r="B2026" t="inlineStr">
        <is>
          <t>CSS</t>
        </is>
      </c>
      <c r="C2026" t="n">
        <v>2001</v>
      </c>
      <c r="D2026" t="n">
        <v>2.57783490431289</v>
      </c>
    </row>
    <row r="2027">
      <c r="A2027" t="inlineStr">
        <is>
          <t>Caribbean small states</t>
        </is>
      </c>
      <c r="B2027" t="inlineStr">
        <is>
          <t>CSS</t>
        </is>
      </c>
      <c r="C2027" t="n">
        <v>2002</v>
      </c>
      <c r="D2027" t="n">
        <v>2.04109102620208</v>
      </c>
    </row>
    <row r="2028">
      <c r="A2028" t="inlineStr">
        <is>
          <t>Caribbean small states</t>
        </is>
      </c>
      <c r="B2028" t="inlineStr">
        <is>
          <t>CSS</t>
        </is>
      </c>
      <c r="C2028" t="n">
        <v>2003</v>
      </c>
      <c r="D2028" t="n">
        <v>2.15492809908679</v>
      </c>
    </row>
    <row r="2029">
      <c r="A2029" t="inlineStr">
        <is>
          <t>Caribbean small states</t>
        </is>
      </c>
      <c r="B2029" t="inlineStr">
        <is>
          <t>CSS</t>
        </is>
      </c>
      <c r="C2029" t="n">
        <v>2004</v>
      </c>
      <c r="D2029" t="n">
        <v>2.31455462238093</v>
      </c>
    </row>
    <row r="2030">
      <c r="A2030" t="inlineStr">
        <is>
          <t>Caribbean small states</t>
        </is>
      </c>
      <c r="B2030" t="inlineStr">
        <is>
          <t>CSS</t>
        </is>
      </c>
      <c r="C2030" t="n">
        <v>2005</v>
      </c>
      <c r="D2030" t="n">
        <v>3.475806937554</v>
      </c>
    </row>
    <row r="2031">
      <c r="A2031" t="inlineStr">
        <is>
          <t>Caribbean small states</t>
        </is>
      </c>
      <c r="B2031" t="inlineStr">
        <is>
          <t>CSS</t>
        </is>
      </c>
      <c r="C2031" t="n">
        <v>2006</v>
      </c>
      <c r="D2031" t="n">
        <v>2.74067516070673</v>
      </c>
    </row>
    <row r="2032">
      <c r="A2032" t="inlineStr">
        <is>
          <t>Caribbean small states</t>
        </is>
      </c>
      <c r="B2032" t="inlineStr">
        <is>
          <t>CSS</t>
        </is>
      </c>
      <c r="C2032" t="n">
        <v>2007</v>
      </c>
      <c r="D2032" t="n">
        <v>3.85882922469653</v>
      </c>
    </row>
    <row r="2033">
      <c r="A2033" t="inlineStr">
        <is>
          <t>Caribbean small states</t>
        </is>
      </c>
      <c r="B2033" t="inlineStr">
        <is>
          <t>CSS</t>
        </is>
      </c>
      <c r="C2033" t="n">
        <v>2008</v>
      </c>
      <c r="D2033" t="n">
        <v>6.39443100250034</v>
      </c>
    </row>
    <row r="2034">
      <c r="A2034" t="inlineStr">
        <is>
          <t>Caribbean small states</t>
        </is>
      </c>
      <c r="B2034" t="inlineStr">
        <is>
          <t>CSS</t>
        </is>
      </c>
      <c r="C2034" t="n">
        <v>2009</v>
      </c>
      <c r="D2034" t="n">
        <v>0.00626357107066859</v>
      </c>
    </row>
    <row r="2035">
      <c r="A2035" t="inlineStr">
        <is>
          <t>Caribbean small states</t>
        </is>
      </c>
      <c r="B2035" t="inlineStr">
        <is>
          <t>CSS</t>
        </is>
      </c>
      <c r="C2035" t="n">
        <v>2010</v>
      </c>
      <c r="D2035" t="n">
        <v>3.25034409180129</v>
      </c>
    </row>
    <row r="2036">
      <c r="A2036" t="inlineStr">
        <is>
          <t>Caribbean small states</t>
        </is>
      </c>
      <c r="B2036" t="inlineStr">
        <is>
          <t>CSS</t>
        </is>
      </c>
      <c r="C2036" t="n">
        <v>2011</v>
      </c>
      <c r="D2036" t="n">
        <v>3.1987814166032</v>
      </c>
    </row>
    <row r="2037">
      <c r="A2037" t="inlineStr">
        <is>
          <t>Caribbean small states</t>
        </is>
      </c>
      <c r="B2037" t="inlineStr">
        <is>
          <t>CSS</t>
        </is>
      </c>
      <c r="C2037" t="n">
        <v>2012</v>
      </c>
      <c r="D2037" t="n">
        <v>2.41077704021862</v>
      </c>
    </row>
    <row r="2038">
      <c r="A2038" t="inlineStr">
        <is>
          <t>Caribbean small states</t>
        </is>
      </c>
      <c r="B2038" t="inlineStr">
        <is>
          <t>CSS</t>
        </is>
      </c>
      <c r="C2038" t="n">
        <v>2013</v>
      </c>
      <c r="D2038" t="n">
        <v>1.05949782356169</v>
      </c>
    </row>
    <row r="2039">
      <c r="A2039" t="inlineStr">
        <is>
          <t>Caribbean small states</t>
        </is>
      </c>
      <c r="B2039" t="inlineStr">
        <is>
          <t>CSS</t>
        </is>
      </c>
      <c r="C2039" t="n">
        <v>2014</v>
      </c>
      <c r="D2039" t="n">
        <v>1.08944157435355</v>
      </c>
    </row>
    <row r="2040">
      <c r="A2040" t="inlineStr">
        <is>
          <t>Caribbean small states</t>
        </is>
      </c>
      <c r="B2040" t="inlineStr">
        <is>
          <t>CSS</t>
        </is>
      </c>
      <c r="C2040" t="n">
        <v>2015</v>
      </c>
      <c r="D2040" t="n">
        <v>-0.861584009427748</v>
      </c>
    </row>
    <row r="2041">
      <c r="A2041" t="inlineStr">
        <is>
          <t>Caribbean small states</t>
        </is>
      </c>
      <c r="B2041" t="inlineStr">
        <is>
          <t>CSS</t>
        </is>
      </c>
      <c r="C2041" t="n">
        <v>2016</v>
      </c>
      <c r="D2041" t="n">
        <v>0.141816225732312</v>
      </c>
    </row>
    <row r="2042">
      <c r="A2042" t="inlineStr">
        <is>
          <t>Caribbean small states</t>
        </is>
      </c>
      <c r="B2042" t="inlineStr">
        <is>
          <t>CSS</t>
        </is>
      </c>
      <c r="C2042" t="n">
        <v>2017</v>
      </c>
      <c r="D2042" t="n">
        <v>1.51820700736147</v>
      </c>
    </row>
    <row r="2043">
      <c r="A2043" t="inlineStr">
        <is>
          <t>Caribbean small states</t>
        </is>
      </c>
      <c r="B2043" t="inlineStr">
        <is>
          <t>CSS</t>
        </is>
      </c>
      <c r="C2043" t="n">
        <v>2018</v>
      </c>
      <c r="D2043" t="n">
        <v>1.24500040905268</v>
      </c>
    </row>
    <row r="2044">
      <c r="A2044" t="inlineStr">
        <is>
          <t>Caribbean small states</t>
        </is>
      </c>
      <c r="B2044" t="inlineStr">
        <is>
          <t>CSS</t>
        </is>
      </c>
      <c r="C2044" t="n">
        <v>2019</v>
      </c>
      <c r="D2044" t="n">
        <v>1.17221285357721</v>
      </c>
    </row>
    <row r="2045">
      <c r="A2045" t="inlineStr">
        <is>
          <t>Caribbean small states</t>
        </is>
      </c>
      <c r="B2045" t="inlineStr">
        <is>
          <t>CSS</t>
        </is>
      </c>
      <c r="C2045" t="n">
        <v>2020</v>
      </c>
      <c r="D2045" t="n">
        <v>-0.294805105674599</v>
      </c>
    </row>
    <row r="2046">
      <c r="A2046" t="inlineStr">
        <is>
          <t>Caribbean small states</t>
        </is>
      </c>
      <c r="B2046" t="inlineStr">
        <is>
          <t>CSS</t>
        </is>
      </c>
      <c r="C2046" t="n">
        <v>2021</v>
      </c>
      <c r="D2046" t="n">
        <v>2.23684975359863</v>
      </c>
    </row>
    <row r="2047">
      <c r="A2047" t="inlineStr">
        <is>
          <t>Caribbean small states</t>
        </is>
      </c>
      <c r="B2047" t="inlineStr">
        <is>
          <t>CSS</t>
        </is>
      </c>
      <c r="C2047" t="n">
        <v>2022</v>
      </c>
      <c r="D2047" t="n">
        <v>6.19597434778739</v>
      </c>
    </row>
    <row r="2048">
      <c r="A2048" t="inlineStr">
        <is>
          <t>Caribbean small states</t>
        </is>
      </c>
      <c r="B2048" t="inlineStr">
        <is>
          <t>CSS</t>
        </is>
      </c>
      <c r="C2048" t="n">
        <v>2023</v>
      </c>
      <c r="D2048" t="n">
        <v>4.22769324983409</v>
      </c>
    </row>
    <row r="2049">
      <c r="A2049" t="inlineStr">
        <is>
          <t>Curacao</t>
        </is>
      </c>
      <c r="B2049" t="inlineStr">
        <is>
          <t>CUW</t>
        </is>
      </c>
      <c r="C2049" t="n">
        <v>2001</v>
      </c>
      <c r="D2049" t="n">
        <v>1.79282868525896</v>
      </c>
    </row>
    <row r="2050">
      <c r="A2050" t="inlineStr">
        <is>
          <t>Curacao</t>
        </is>
      </c>
      <c r="B2050" t="inlineStr">
        <is>
          <t>CUW</t>
        </is>
      </c>
      <c r="C2050" t="n">
        <v>2002</v>
      </c>
      <c r="D2050" t="n">
        <v>0.391389432485324</v>
      </c>
    </row>
    <row r="2051">
      <c r="A2051" t="inlineStr">
        <is>
          <t>Curacao</t>
        </is>
      </c>
      <c r="B2051" t="inlineStr">
        <is>
          <t>CUW</t>
        </is>
      </c>
      <c r="C2051" t="n">
        <v>2003</v>
      </c>
      <c r="D2051" t="n">
        <v>1.63371391441571</v>
      </c>
    </row>
    <row r="2052">
      <c r="A2052" t="inlineStr">
        <is>
          <t>Curacao</t>
        </is>
      </c>
      <c r="B2052" t="inlineStr">
        <is>
          <t>CUW</t>
        </is>
      </c>
      <c r="C2052" t="n">
        <v>2004</v>
      </c>
      <c r="D2052" t="n">
        <v>1.37912138094799</v>
      </c>
    </row>
    <row r="2053">
      <c r="A2053" t="inlineStr">
        <is>
          <t>Curacao</t>
        </is>
      </c>
      <c r="B2053" t="inlineStr">
        <is>
          <t>CUW</t>
        </is>
      </c>
      <c r="C2053" t="n">
        <v>2005</v>
      </c>
      <c r="D2053" t="n">
        <v>4.11711711711708</v>
      </c>
    </row>
    <row r="2054">
      <c r="A2054" t="inlineStr">
        <is>
          <t>Curacao</t>
        </is>
      </c>
      <c r="B2054" t="inlineStr">
        <is>
          <t>CUW</t>
        </is>
      </c>
      <c r="C2054" t="n">
        <v>2006</v>
      </c>
      <c r="D2054" t="n">
        <v>3.1149952409795</v>
      </c>
    </row>
    <row r="2055">
      <c r="A2055" t="inlineStr">
        <is>
          <t>Curacao</t>
        </is>
      </c>
      <c r="B2055" t="inlineStr">
        <is>
          <t>CUW</t>
        </is>
      </c>
      <c r="C2055" t="n">
        <v>2007</v>
      </c>
      <c r="D2055" t="n">
        <v>2.99572039942908</v>
      </c>
    </row>
    <row r="2056">
      <c r="A2056" t="inlineStr">
        <is>
          <t>Curacao</t>
        </is>
      </c>
      <c r="B2056" t="inlineStr">
        <is>
          <t>CUW</t>
        </is>
      </c>
      <c r="C2056" t="n">
        <v>2008</v>
      </c>
      <c r="D2056" t="n">
        <v>6.8763239367776</v>
      </c>
    </row>
    <row r="2057">
      <c r="A2057" t="inlineStr">
        <is>
          <t>Curacao</t>
        </is>
      </c>
      <c r="B2057" t="inlineStr">
        <is>
          <t>CUW</t>
        </is>
      </c>
      <c r="C2057" t="n">
        <v>2009</v>
      </c>
      <c r="D2057" t="n">
        <v>1.75331605427595</v>
      </c>
    </row>
    <row r="2058">
      <c r="A2058" t="inlineStr">
        <is>
          <t>Curacao</t>
        </is>
      </c>
      <c r="B2058" t="inlineStr">
        <is>
          <t>CUW</t>
        </is>
      </c>
      <c r="C2058" t="n">
        <v>2010</v>
      </c>
      <c r="D2058" t="n">
        <v>2.77944261312587</v>
      </c>
    </row>
    <row r="2059">
      <c r="A2059" t="inlineStr">
        <is>
          <t>Curacao</t>
        </is>
      </c>
      <c r="B2059" t="inlineStr">
        <is>
          <t>CUW</t>
        </is>
      </c>
      <c r="C2059" t="n">
        <v>2011</v>
      </c>
      <c r="D2059" t="n">
        <v>2.3325315256217</v>
      </c>
    </row>
    <row r="2060">
      <c r="A2060" t="inlineStr">
        <is>
          <t>Curacao</t>
        </is>
      </c>
      <c r="B2060" t="inlineStr">
        <is>
          <t>CUW</t>
        </is>
      </c>
      <c r="C2060" t="n">
        <v>2012</v>
      </c>
      <c r="D2060" t="n">
        <v>3.18398746349455</v>
      </c>
    </row>
    <row r="2061">
      <c r="A2061" t="inlineStr">
        <is>
          <t>Curacao</t>
        </is>
      </c>
      <c r="B2061" t="inlineStr">
        <is>
          <t>CUW</t>
        </is>
      </c>
      <c r="C2061" t="n">
        <v>2013</v>
      </c>
      <c r="D2061" t="n">
        <v>1.33232086152117</v>
      </c>
    </row>
    <row r="2062">
      <c r="A2062" t="inlineStr">
        <is>
          <t>Curacao</t>
        </is>
      </c>
      <c r="B2062" t="inlineStr">
        <is>
          <t>CUW</t>
        </is>
      </c>
      <c r="C2062" t="n">
        <v>2014</v>
      </c>
      <c r="D2062" t="n">
        <v>1.4987396961643</v>
      </c>
    </row>
    <row r="2063">
      <c r="A2063" t="inlineStr">
        <is>
          <t>Curacao</t>
        </is>
      </c>
      <c r="B2063" t="inlineStr">
        <is>
          <t>CUW</t>
        </is>
      </c>
      <c r="C2063" t="n">
        <v>2015</v>
      </c>
      <c r="D2063" t="n">
        <v>-0.476542049801405</v>
      </c>
    </row>
    <row r="2064">
      <c r="A2064" t="inlineStr">
        <is>
          <t>Curacao</t>
        </is>
      </c>
      <c r="B2064" t="inlineStr">
        <is>
          <t>CUW</t>
        </is>
      </c>
      <c r="C2064" t="n">
        <v>2016</v>
      </c>
      <c r="D2064" t="n">
        <v>-0.0472079848940293</v>
      </c>
    </row>
    <row r="2065">
      <c r="A2065" t="inlineStr">
        <is>
          <t>Curacao</t>
        </is>
      </c>
      <c r="B2065" t="inlineStr">
        <is>
          <t>CUW</t>
        </is>
      </c>
      <c r="C2065" t="n">
        <v>2017</v>
      </c>
      <c r="D2065" t="n">
        <v>1.58558801700345</v>
      </c>
    </row>
    <row r="2066">
      <c r="A2066" t="inlineStr">
        <is>
          <t>Curacao</t>
        </is>
      </c>
      <c r="B2066" t="inlineStr">
        <is>
          <t>CUW</t>
        </is>
      </c>
      <c r="C2066" t="n">
        <v>2018</v>
      </c>
      <c r="D2066" t="n">
        <v>2.58368756641814</v>
      </c>
    </row>
    <row r="2067">
      <c r="A2067" t="inlineStr">
        <is>
          <t>Curacao</t>
        </is>
      </c>
      <c r="B2067" t="inlineStr">
        <is>
          <t>CUW</t>
        </is>
      </c>
      <c r="C2067" t="n">
        <v>2019</v>
      </c>
      <c r="D2067" t="n">
        <v>2.62220783425059</v>
      </c>
    </row>
    <row r="2068">
      <c r="A2068" t="inlineStr">
        <is>
          <t>Cayman Islands</t>
        </is>
      </c>
      <c r="B2068" t="inlineStr">
        <is>
          <t>CYM</t>
        </is>
      </c>
      <c r="C2068" t="n">
        <v>2010</v>
      </c>
      <c r="D2068" t="n">
        <v>0.276140861750108</v>
      </c>
    </row>
    <row r="2069">
      <c r="A2069" t="inlineStr">
        <is>
          <t>Cayman Islands</t>
        </is>
      </c>
      <c r="B2069" t="inlineStr">
        <is>
          <t>CYM</t>
        </is>
      </c>
      <c r="C2069" t="n">
        <v>2011</v>
      </c>
      <c r="D2069" t="n">
        <v>1.32543575779664</v>
      </c>
    </row>
    <row r="2070">
      <c r="A2070" t="inlineStr">
        <is>
          <t>Cayman Islands</t>
        </is>
      </c>
      <c r="B2070" t="inlineStr">
        <is>
          <t>CYM</t>
        </is>
      </c>
      <c r="C2070" t="n">
        <v>2012</v>
      </c>
      <c r="D2070" t="n">
        <v>1.18894845245608</v>
      </c>
    </row>
    <row r="2071">
      <c r="A2071" t="inlineStr">
        <is>
          <t>Cayman Islands</t>
        </is>
      </c>
      <c r="B2071" t="inlineStr">
        <is>
          <t>CYM</t>
        </is>
      </c>
      <c r="C2071" t="n">
        <v>2013</v>
      </c>
      <c r="D2071" t="n">
        <v>2.16061146813391</v>
      </c>
    </row>
    <row r="2072">
      <c r="A2072" t="inlineStr">
        <is>
          <t>Cayman Islands</t>
        </is>
      </c>
      <c r="B2072" t="inlineStr">
        <is>
          <t>CYM</t>
        </is>
      </c>
      <c r="C2072" t="n">
        <v>2014</v>
      </c>
      <c r="D2072" t="n">
        <v>1.27397911533388</v>
      </c>
    </row>
    <row r="2073">
      <c r="A2073" t="inlineStr">
        <is>
          <t>Cayman Islands</t>
        </is>
      </c>
      <c r="B2073" t="inlineStr">
        <is>
          <t>CYM</t>
        </is>
      </c>
      <c r="C2073" t="n">
        <v>2015</v>
      </c>
      <c r="D2073" t="n">
        <v>-2.34752770165615</v>
      </c>
    </row>
    <row r="2074">
      <c r="A2074" t="inlineStr">
        <is>
          <t>Cayman Islands</t>
        </is>
      </c>
      <c r="B2074" t="inlineStr">
        <is>
          <t>CYM</t>
        </is>
      </c>
      <c r="C2074" t="n">
        <v>2016</v>
      </c>
      <c r="D2074" t="n">
        <v>-0.6252583586181401</v>
      </c>
    </row>
    <row r="2075">
      <c r="A2075" t="inlineStr">
        <is>
          <t>Cyprus</t>
        </is>
      </c>
      <c r="B2075" t="inlineStr">
        <is>
          <t>CYP</t>
        </is>
      </c>
      <c r="C2075" t="n">
        <v>1960</v>
      </c>
      <c r="D2075" t="n">
        <v>0.8273009307139459</v>
      </c>
    </row>
    <row r="2076">
      <c r="A2076" t="inlineStr">
        <is>
          <t>Cyprus</t>
        </is>
      </c>
      <c r="B2076" t="inlineStr">
        <is>
          <t>CYP</t>
        </is>
      </c>
      <c r="C2076" t="n">
        <v>1961</v>
      </c>
      <c r="D2076" t="n">
        <v>-0.615384615384946</v>
      </c>
    </row>
    <row r="2077">
      <c r="A2077" t="inlineStr">
        <is>
          <t>Cyprus</t>
        </is>
      </c>
      <c r="B2077" t="inlineStr">
        <is>
          <t>CYP</t>
        </is>
      </c>
      <c r="C2077" t="n">
        <v>1962</v>
      </c>
      <c r="D2077" t="n">
        <v>0.103199174406312</v>
      </c>
    </row>
    <row r="2078">
      <c r="A2078" t="inlineStr">
        <is>
          <t>Cyprus</t>
        </is>
      </c>
      <c r="B2078" t="inlineStr">
        <is>
          <t>CYP</t>
        </is>
      </c>
      <c r="C2078" t="n">
        <v>1963</v>
      </c>
      <c r="D2078" t="n">
        <v>1.95876288659851</v>
      </c>
    </row>
    <row r="2079">
      <c r="A2079" t="inlineStr">
        <is>
          <t>Cyprus</t>
        </is>
      </c>
      <c r="B2079" t="inlineStr">
        <is>
          <t>CYP</t>
        </is>
      </c>
      <c r="C2079" t="n">
        <v>1964</v>
      </c>
      <c r="D2079" t="n">
        <v>-0.303336704752538</v>
      </c>
    </row>
    <row r="2080">
      <c r="A2080" t="inlineStr">
        <is>
          <t>Cyprus</t>
        </is>
      </c>
      <c r="B2080" t="inlineStr">
        <is>
          <t>CYP</t>
        </is>
      </c>
      <c r="C2080" t="n">
        <v>1965</v>
      </c>
      <c r="D2080" t="n">
        <v>0.202839756594412</v>
      </c>
    </row>
    <row r="2081">
      <c r="A2081" t="inlineStr">
        <is>
          <t>Cyprus</t>
        </is>
      </c>
      <c r="B2081" t="inlineStr">
        <is>
          <t>CYP</t>
        </is>
      </c>
      <c r="C2081" t="n">
        <v>1966</v>
      </c>
      <c r="D2081" t="n">
        <v>0.506072874498886</v>
      </c>
    </row>
    <row r="2082">
      <c r="A2082" t="inlineStr">
        <is>
          <t>Cyprus</t>
        </is>
      </c>
      <c r="B2082" t="inlineStr">
        <is>
          <t>CYP</t>
        </is>
      </c>
      <c r="C2082" t="n">
        <v>1967</v>
      </c>
      <c r="D2082" t="n">
        <v>0.70493454280659</v>
      </c>
    </row>
    <row r="2083">
      <c r="A2083" t="inlineStr">
        <is>
          <t>Cyprus</t>
        </is>
      </c>
      <c r="B2083" t="inlineStr">
        <is>
          <t>CYP</t>
        </is>
      </c>
      <c r="C2083" t="n">
        <v>1968</v>
      </c>
      <c r="D2083" t="n">
        <v>3.76666666616697</v>
      </c>
    </row>
    <row r="2084">
      <c r="A2084" t="inlineStr">
        <is>
          <t>Cyprus</t>
        </is>
      </c>
      <c r="B2084" t="inlineStr">
        <is>
          <t>CYP</t>
        </is>
      </c>
      <c r="C2084" t="n">
        <v>1969</v>
      </c>
      <c r="D2084" t="n">
        <v>2.38515901013025</v>
      </c>
    </row>
    <row r="2085">
      <c r="A2085" t="inlineStr">
        <is>
          <t>Cyprus</t>
        </is>
      </c>
      <c r="B2085" t="inlineStr">
        <is>
          <t>CYP</t>
        </is>
      </c>
      <c r="C2085" t="n">
        <v>1970</v>
      </c>
      <c r="D2085" t="n">
        <v>2.40018825031691</v>
      </c>
    </row>
    <row r="2086">
      <c r="A2086" t="inlineStr">
        <is>
          <t>Cyprus</t>
        </is>
      </c>
      <c r="B2086" t="inlineStr">
        <is>
          <t>CYP</t>
        </is>
      </c>
      <c r="C2086" t="n">
        <v>1971</v>
      </c>
      <c r="D2086" t="n">
        <v>4.14400612825455</v>
      </c>
    </row>
    <row r="2087">
      <c r="A2087" t="inlineStr">
        <is>
          <t>Cyprus</t>
        </is>
      </c>
      <c r="B2087" t="inlineStr">
        <is>
          <t>CYP</t>
        </is>
      </c>
      <c r="C2087" t="n">
        <v>1972</v>
      </c>
      <c r="D2087" t="n">
        <v>4.83230361865648</v>
      </c>
    </row>
    <row r="2088">
      <c r="A2088" t="inlineStr">
        <is>
          <t>Cyprus</t>
        </is>
      </c>
      <c r="B2088" t="inlineStr">
        <is>
          <t>CYP</t>
        </is>
      </c>
      <c r="C2088" t="n">
        <v>1973</v>
      </c>
      <c r="D2088" t="n">
        <v>7.8088823405226</v>
      </c>
    </row>
    <row r="2089">
      <c r="A2089" t="inlineStr">
        <is>
          <t>Cyprus</t>
        </is>
      </c>
      <c r="B2089" t="inlineStr">
        <is>
          <t>CYP</t>
        </is>
      </c>
      <c r="C2089" t="n">
        <v>1974</v>
      </c>
      <c r="D2089" t="n">
        <v>16.1766666665001</v>
      </c>
    </row>
    <row r="2090">
      <c r="A2090" t="inlineStr">
        <is>
          <t>Cyprus</t>
        </is>
      </c>
      <c r="B2090" t="inlineStr">
        <is>
          <t>CYP</t>
        </is>
      </c>
      <c r="C2090" t="n">
        <v>1975</v>
      </c>
      <c r="D2090" t="n">
        <v>4.63948584046548</v>
      </c>
    </row>
    <row r="2091">
      <c r="A2091" t="inlineStr">
        <is>
          <t>Cyprus</t>
        </is>
      </c>
      <c r="B2091" t="inlineStr">
        <is>
          <t>CYP</t>
        </is>
      </c>
      <c r="C2091" t="n">
        <v>1976</v>
      </c>
      <c r="D2091" t="n">
        <v>3.85438972162729</v>
      </c>
    </row>
    <row r="2092">
      <c r="A2092" t="inlineStr">
        <is>
          <t>Cyprus</t>
        </is>
      </c>
      <c r="B2092" t="inlineStr">
        <is>
          <t>CYP</t>
        </is>
      </c>
      <c r="C2092" t="n">
        <v>1977</v>
      </c>
      <c r="D2092" t="n">
        <v>7.32646048101325</v>
      </c>
    </row>
    <row r="2093">
      <c r="A2093" t="inlineStr">
        <is>
          <t>Cyprus</t>
        </is>
      </c>
      <c r="B2093" t="inlineStr">
        <is>
          <t>CYP</t>
        </is>
      </c>
      <c r="C2093" t="n">
        <v>1978</v>
      </c>
      <c r="D2093" t="n">
        <v>7.43628329894659</v>
      </c>
    </row>
    <row r="2094">
      <c r="A2094" t="inlineStr">
        <is>
          <t>Cyprus</t>
        </is>
      </c>
      <c r="B2094" t="inlineStr">
        <is>
          <t>CYP</t>
        </is>
      </c>
      <c r="C2094" t="n">
        <v>1979</v>
      </c>
      <c r="D2094" t="n">
        <v>9.4637082951902</v>
      </c>
    </row>
    <row r="2095">
      <c r="A2095" t="inlineStr">
        <is>
          <t>Cyprus</t>
        </is>
      </c>
      <c r="B2095" t="inlineStr">
        <is>
          <t>CYP</t>
        </is>
      </c>
      <c r="C2095" t="n">
        <v>1980</v>
      </c>
      <c r="D2095" t="n">
        <v>13.5175605772583</v>
      </c>
    </row>
    <row r="2096">
      <c r="A2096" t="inlineStr">
        <is>
          <t>Cyprus</t>
        </is>
      </c>
      <c r="B2096" t="inlineStr">
        <is>
          <t>CYP</t>
        </is>
      </c>
      <c r="C2096" t="n">
        <v>1981</v>
      </c>
      <c r="D2096" t="n">
        <v>10.7446936083977</v>
      </c>
    </row>
    <row r="2097">
      <c r="A2097" t="inlineStr">
        <is>
          <t>Cyprus</t>
        </is>
      </c>
      <c r="B2097" t="inlineStr">
        <is>
          <t>CYP</t>
        </is>
      </c>
      <c r="C2097" t="n">
        <v>1982</v>
      </c>
      <c r="D2097" t="n">
        <v>6.43279726693689</v>
      </c>
    </row>
    <row r="2098">
      <c r="A2098" t="inlineStr">
        <is>
          <t>Cyprus</t>
        </is>
      </c>
      <c r="B2098" t="inlineStr">
        <is>
          <t>CYP</t>
        </is>
      </c>
      <c r="C2098" t="n">
        <v>1983</v>
      </c>
      <c r="D2098" t="n">
        <v>5.04971424100878</v>
      </c>
    </row>
    <row r="2099">
      <c r="A2099" t="inlineStr">
        <is>
          <t>Cyprus</t>
        </is>
      </c>
      <c r="B2099" t="inlineStr">
        <is>
          <t>CYP</t>
        </is>
      </c>
      <c r="C2099" t="n">
        <v>1984</v>
      </c>
      <c r="D2099" t="n">
        <v>5.99195111048444</v>
      </c>
    </row>
    <row r="2100">
      <c r="A2100" t="inlineStr">
        <is>
          <t>Cyprus</t>
        </is>
      </c>
      <c r="B2100" t="inlineStr">
        <is>
          <t>CYP</t>
        </is>
      </c>
      <c r="C2100" t="n">
        <v>1985</v>
      </c>
      <c r="D2100" t="n">
        <v>5.03445366364796</v>
      </c>
    </row>
    <row r="2101">
      <c r="A2101" t="inlineStr">
        <is>
          <t>Cyprus</t>
        </is>
      </c>
      <c r="B2101" t="inlineStr">
        <is>
          <t>CYP</t>
        </is>
      </c>
      <c r="C2101" t="n">
        <v>1986</v>
      </c>
      <c r="D2101" t="n">
        <v>1.21836925967665</v>
      </c>
    </row>
    <row r="2102">
      <c r="A2102" t="inlineStr">
        <is>
          <t>Cyprus</t>
        </is>
      </c>
      <c r="B2102" t="inlineStr">
        <is>
          <t>CYP</t>
        </is>
      </c>
      <c r="C2102" t="n">
        <v>1987</v>
      </c>
      <c r="D2102" t="n">
        <v>2.79166666666697</v>
      </c>
    </row>
    <row r="2103">
      <c r="A2103" t="inlineStr">
        <is>
          <t>Cyprus</t>
        </is>
      </c>
      <c r="B2103" t="inlineStr">
        <is>
          <t>CYP</t>
        </is>
      </c>
      <c r="C2103" t="n">
        <v>1988</v>
      </c>
      <c r="D2103" t="n">
        <v>3.42926631536285</v>
      </c>
    </row>
    <row r="2104">
      <c r="A2104" t="inlineStr">
        <is>
          <t>Cyprus</t>
        </is>
      </c>
      <c r="B2104" t="inlineStr">
        <is>
          <t>CYP</t>
        </is>
      </c>
      <c r="C2104" t="n">
        <v>1989</v>
      </c>
      <c r="D2104" t="n">
        <v>3.7654804828339</v>
      </c>
    </row>
    <row r="2105">
      <c r="A2105" t="inlineStr">
        <is>
          <t>Cyprus</t>
        </is>
      </c>
      <c r="B2105" t="inlineStr">
        <is>
          <t>CYP</t>
        </is>
      </c>
      <c r="C2105" t="n">
        <v>1990</v>
      </c>
      <c r="D2105" t="n">
        <v>4.50205462895843</v>
      </c>
    </row>
    <row r="2106">
      <c r="A2106" t="inlineStr">
        <is>
          <t>Cyprus</t>
        </is>
      </c>
      <c r="B2106" t="inlineStr">
        <is>
          <t>CYP</t>
        </is>
      </c>
      <c r="C2106" t="n">
        <v>1991</v>
      </c>
      <c r="D2106" t="n">
        <v>5.03527438848105</v>
      </c>
    </row>
    <row r="2107">
      <c r="A2107" t="inlineStr">
        <is>
          <t>Cyprus</t>
        </is>
      </c>
      <c r="B2107" t="inlineStr">
        <is>
          <t>CYP</t>
        </is>
      </c>
      <c r="C2107" t="n">
        <v>1992</v>
      </c>
      <c r="D2107" t="n">
        <v>6.51021953065818</v>
      </c>
    </row>
    <row r="2108">
      <c r="A2108" t="inlineStr">
        <is>
          <t>Cyprus</t>
        </is>
      </c>
      <c r="B2108" t="inlineStr">
        <is>
          <t>CYP</t>
        </is>
      </c>
      <c r="C2108" t="n">
        <v>1993</v>
      </c>
      <c r="D2108" t="n">
        <v>4.85416666666693</v>
      </c>
    </row>
    <row r="2109">
      <c r="A2109" t="inlineStr">
        <is>
          <t>Cyprus</t>
        </is>
      </c>
      <c r="B2109" t="inlineStr">
        <is>
          <t>CYP</t>
        </is>
      </c>
      <c r="C2109" t="n">
        <v>1994</v>
      </c>
      <c r="D2109" t="n">
        <v>4.6985893105498</v>
      </c>
    </row>
    <row r="2110">
      <c r="A2110" t="inlineStr">
        <is>
          <t>Cyprus</t>
        </is>
      </c>
      <c r="B2110" t="inlineStr">
        <is>
          <t>CYP</t>
        </is>
      </c>
      <c r="C2110" t="n">
        <v>1995</v>
      </c>
      <c r="D2110" t="n">
        <v>2.61581787956337</v>
      </c>
    </row>
    <row r="2111">
      <c r="A2111" t="inlineStr">
        <is>
          <t>Cyprus</t>
        </is>
      </c>
      <c r="B2111" t="inlineStr">
        <is>
          <t>CYP</t>
        </is>
      </c>
      <c r="C2111" t="n">
        <v>1996</v>
      </c>
      <c r="D2111" t="n">
        <v>2.97892486481265</v>
      </c>
    </row>
    <row r="2112">
      <c r="A2112" t="inlineStr">
        <is>
          <t>Cyprus</t>
        </is>
      </c>
      <c r="B2112" t="inlineStr">
        <is>
          <t>CYP</t>
        </is>
      </c>
      <c r="C2112" t="n">
        <v>1997</v>
      </c>
      <c r="D2112" t="n">
        <v>3.60534444364628</v>
      </c>
    </row>
    <row r="2113">
      <c r="A2113" t="inlineStr">
        <is>
          <t>Cyprus</t>
        </is>
      </c>
      <c r="B2113" t="inlineStr">
        <is>
          <t>CYP</t>
        </is>
      </c>
      <c r="C2113" t="n">
        <v>1998</v>
      </c>
      <c r="D2113" t="n">
        <v>2.22770732654316</v>
      </c>
    </row>
    <row r="2114">
      <c r="A2114" t="inlineStr">
        <is>
          <t>Cyprus</t>
        </is>
      </c>
      <c r="B2114" t="inlineStr">
        <is>
          <t>CYP</t>
        </is>
      </c>
      <c r="C2114" t="n">
        <v>1999</v>
      </c>
      <c r="D2114" t="n">
        <v>1.62999999999999</v>
      </c>
    </row>
    <row r="2115">
      <c r="A2115" t="inlineStr">
        <is>
          <t>Cyprus</t>
        </is>
      </c>
      <c r="B2115" t="inlineStr">
        <is>
          <t>CYP</t>
        </is>
      </c>
      <c r="C2115" t="n">
        <v>2000</v>
      </c>
      <c r="D2115" t="n">
        <v>4.14165764702061</v>
      </c>
    </row>
    <row r="2116">
      <c r="A2116" t="inlineStr">
        <is>
          <t>Cyprus</t>
        </is>
      </c>
      <c r="B2116" t="inlineStr">
        <is>
          <t>CYP</t>
        </is>
      </c>
      <c r="C2116" t="n">
        <v>2001</v>
      </c>
      <c r="D2116" t="n">
        <v>1.97304191729914</v>
      </c>
    </row>
    <row r="2117">
      <c r="A2117" t="inlineStr">
        <is>
          <t>Cyprus</t>
        </is>
      </c>
      <c r="B2117" t="inlineStr">
        <is>
          <t>CYP</t>
        </is>
      </c>
      <c r="C2117" t="n">
        <v>2002</v>
      </c>
      <c r="D2117" t="n">
        <v>2.80115505180747</v>
      </c>
    </row>
    <row r="2118">
      <c r="A2118" t="inlineStr">
        <is>
          <t>Cyprus</t>
        </is>
      </c>
      <c r="B2118" t="inlineStr">
        <is>
          <t>CYP</t>
        </is>
      </c>
      <c r="C2118" t="n">
        <v>2003</v>
      </c>
      <c r="D2118" t="n">
        <v>4.13906538686858</v>
      </c>
    </row>
    <row r="2119">
      <c r="A2119" t="inlineStr">
        <is>
          <t>Cyprus</t>
        </is>
      </c>
      <c r="B2119" t="inlineStr">
        <is>
          <t>CYP</t>
        </is>
      </c>
      <c r="C2119" t="n">
        <v>2004</v>
      </c>
      <c r="D2119" t="n">
        <v>2.28621706801675</v>
      </c>
    </row>
    <row r="2120">
      <c r="A2120" t="inlineStr">
        <is>
          <t>Cyprus</t>
        </is>
      </c>
      <c r="B2120" t="inlineStr">
        <is>
          <t>CYP</t>
        </is>
      </c>
      <c r="C2120" t="n">
        <v>2005</v>
      </c>
      <c r="D2120" t="n">
        <v>2.56016132330234</v>
      </c>
    </row>
    <row r="2121">
      <c r="A2121" t="inlineStr">
        <is>
          <t>Cyprus</t>
        </is>
      </c>
      <c r="B2121" t="inlineStr">
        <is>
          <t>CYP</t>
        </is>
      </c>
      <c r="C2121" t="n">
        <v>2006</v>
      </c>
      <c r="D2121" t="n">
        <v>2.30468732978555</v>
      </c>
    </row>
    <row r="2122">
      <c r="A2122" t="inlineStr">
        <is>
          <t>Cyprus</t>
        </is>
      </c>
      <c r="B2122" t="inlineStr">
        <is>
          <t>CYP</t>
        </is>
      </c>
      <c r="C2122" t="n">
        <v>2007</v>
      </c>
      <c r="D2122" t="n">
        <v>2.37265183669719</v>
      </c>
    </row>
    <row r="2123">
      <c r="A2123" t="inlineStr">
        <is>
          <t>Cyprus</t>
        </is>
      </c>
      <c r="B2123" t="inlineStr">
        <is>
          <t>CYP</t>
        </is>
      </c>
      <c r="C2123" t="n">
        <v>2008</v>
      </c>
      <c r="D2123" t="n">
        <v>4.66900841902485</v>
      </c>
    </row>
    <row r="2124">
      <c r="A2124" t="inlineStr">
        <is>
          <t>Cyprus</t>
        </is>
      </c>
      <c r="B2124" t="inlineStr">
        <is>
          <t>CYP</t>
        </is>
      </c>
      <c r="C2124" t="n">
        <v>2009</v>
      </c>
      <c r="D2124" t="n">
        <v>0.326276652249794</v>
      </c>
    </row>
    <row r="2125">
      <c r="A2125" t="inlineStr">
        <is>
          <t>Cyprus</t>
        </is>
      </c>
      <c r="B2125" t="inlineStr">
        <is>
          <t>CYP</t>
        </is>
      </c>
      <c r="C2125" t="n">
        <v>2010</v>
      </c>
      <c r="D2125" t="n">
        <v>2.43004084102254</v>
      </c>
    </row>
    <row r="2126">
      <c r="A2126" t="inlineStr">
        <is>
          <t>Cyprus</t>
        </is>
      </c>
      <c r="B2126" t="inlineStr">
        <is>
          <t>CYP</t>
        </is>
      </c>
      <c r="C2126" t="n">
        <v>2011</v>
      </c>
      <c r="D2126" t="n">
        <v>3.28944939564211</v>
      </c>
    </row>
    <row r="2127">
      <c r="A2127" t="inlineStr">
        <is>
          <t>Cyprus</t>
        </is>
      </c>
      <c r="B2127" t="inlineStr">
        <is>
          <t>CYP</t>
        </is>
      </c>
      <c r="C2127" t="n">
        <v>2012</v>
      </c>
      <c r="D2127" t="n">
        <v>2.38905410042317</v>
      </c>
    </row>
    <row r="2128">
      <c r="A2128" t="inlineStr">
        <is>
          <t>Cyprus</t>
        </is>
      </c>
      <c r="B2128" t="inlineStr">
        <is>
          <t>CYP</t>
        </is>
      </c>
      <c r="C2128" t="n">
        <v>2013</v>
      </c>
      <c r="D2128" t="n">
        <v>-0.399357676464426</v>
      </c>
    </row>
    <row r="2129">
      <c r="A2129" t="inlineStr">
        <is>
          <t>Cyprus</t>
        </is>
      </c>
      <c r="B2129" t="inlineStr">
        <is>
          <t>CYP</t>
        </is>
      </c>
      <c r="C2129" t="n">
        <v>2014</v>
      </c>
      <c r="D2129" t="n">
        <v>-1.35498885446315</v>
      </c>
    </row>
    <row r="2130">
      <c r="A2130" t="inlineStr">
        <is>
          <t>Cyprus</t>
        </is>
      </c>
      <c r="B2130" t="inlineStr">
        <is>
          <t>CYP</t>
        </is>
      </c>
      <c r="C2130" t="n">
        <v>2015</v>
      </c>
      <c r="D2130" t="n">
        <v>-2.0969976905311</v>
      </c>
    </row>
    <row r="2131">
      <c r="A2131" t="inlineStr">
        <is>
          <t>Cyprus</t>
        </is>
      </c>
      <c r="B2131" t="inlineStr">
        <is>
          <t>CYP</t>
        </is>
      </c>
      <c r="C2131" t="n">
        <v>2016</v>
      </c>
      <c r="D2131" t="n">
        <v>-1.42916666666665</v>
      </c>
    </row>
    <row r="2132">
      <c r="A2132" t="inlineStr">
        <is>
          <t>Cyprus</t>
        </is>
      </c>
      <c r="B2132" t="inlineStr">
        <is>
          <t>CYP</t>
        </is>
      </c>
      <c r="C2132" t="n">
        <v>2017</v>
      </c>
      <c r="D2132" t="n">
        <v>0.531766496174467</v>
      </c>
    </row>
    <row r="2133">
      <c r="A2133" t="inlineStr">
        <is>
          <t>Cyprus</t>
        </is>
      </c>
      <c r="B2133" t="inlineStr">
        <is>
          <t>CYP</t>
        </is>
      </c>
      <c r="C2133" t="n">
        <v>2018</v>
      </c>
      <c r="D2133" t="n">
        <v>1.43549119531759</v>
      </c>
    </row>
    <row r="2134">
      <c r="A2134" t="inlineStr">
        <is>
          <t>Cyprus</t>
        </is>
      </c>
      <c r="B2134" t="inlineStr">
        <is>
          <t>CYP</t>
        </is>
      </c>
      <c r="C2134" t="n">
        <v>2019</v>
      </c>
      <c r="D2134" t="n">
        <v>0.250370996758493</v>
      </c>
    </row>
    <row r="2135">
      <c r="A2135" t="inlineStr">
        <is>
          <t>Cyprus</t>
        </is>
      </c>
      <c r="B2135" t="inlineStr">
        <is>
          <t>CYP</t>
        </is>
      </c>
      <c r="C2135" t="n">
        <v>2020</v>
      </c>
      <c r="D2135" t="n">
        <v>-0.638422797978959</v>
      </c>
    </row>
    <row r="2136">
      <c r="A2136" t="inlineStr">
        <is>
          <t>Cyprus</t>
        </is>
      </c>
      <c r="B2136" t="inlineStr">
        <is>
          <t>CYP</t>
        </is>
      </c>
      <c r="C2136" t="n">
        <v>2021</v>
      </c>
      <c r="D2136" t="n">
        <v>2.44608867175474</v>
      </c>
    </row>
    <row r="2137">
      <c r="A2137" t="inlineStr">
        <is>
          <t>Cyprus</t>
        </is>
      </c>
      <c r="B2137" t="inlineStr">
        <is>
          <t>CYP</t>
        </is>
      </c>
      <c r="C2137" t="n">
        <v>2022</v>
      </c>
      <c r="D2137" t="n">
        <v>8.395482979933339</v>
      </c>
    </row>
    <row r="2138">
      <c r="A2138" t="inlineStr">
        <is>
          <t>Cyprus</t>
        </is>
      </c>
      <c r="B2138" t="inlineStr">
        <is>
          <t>CYP</t>
        </is>
      </c>
      <c r="C2138" t="n">
        <v>2023</v>
      </c>
      <c r="D2138" t="n">
        <v>3.54134188751663</v>
      </c>
    </row>
    <row r="2139">
      <c r="A2139" t="inlineStr">
        <is>
          <t>Cyprus</t>
        </is>
      </c>
      <c r="B2139" t="inlineStr">
        <is>
          <t>CYP</t>
        </is>
      </c>
      <c r="C2139" t="n">
        <v>2024</v>
      </c>
      <c r="D2139" t="n">
        <v>1.80023018624815</v>
      </c>
    </row>
    <row r="2140">
      <c r="A2140" t="inlineStr">
        <is>
          <t>Czechia</t>
        </is>
      </c>
      <c r="B2140" t="inlineStr">
        <is>
          <t>CZE</t>
        </is>
      </c>
      <c r="C2140" t="n">
        <v>1992</v>
      </c>
      <c r="D2140" t="n">
        <v>11.086500072223</v>
      </c>
    </row>
    <row r="2141">
      <c r="A2141" t="inlineStr">
        <is>
          <t>Czechia</t>
        </is>
      </c>
      <c r="B2141" t="inlineStr">
        <is>
          <t>CZE</t>
        </is>
      </c>
      <c r="C2141" t="n">
        <v>1993</v>
      </c>
      <c r="D2141" t="n">
        <v>20.8130295438428</v>
      </c>
    </row>
    <row r="2142">
      <c r="A2142" t="inlineStr">
        <is>
          <t>Czechia</t>
        </is>
      </c>
      <c r="B2142" t="inlineStr">
        <is>
          <t>CZE</t>
        </is>
      </c>
      <c r="C2142" t="n">
        <v>1994</v>
      </c>
      <c r="D2142" t="n">
        <v>10.039429835143</v>
      </c>
    </row>
    <row r="2143">
      <c r="A2143" t="inlineStr">
        <is>
          <t>Czechia</t>
        </is>
      </c>
      <c r="B2143" t="inlineStr">
        <is>
          <t>CZE</t>
        </is>
      </c>
      <c r="C2143" t="n">
        <v>1995</v>
      </c>
      <c r="D2143" t="n">
        <v>8.990523614784451</v>
      </c>
    </row>
    <row r="2144">
      <c r="A2144" t="inlineStr">
        <is>
          <t>Czechia</t>
        </is>
      </c>
      <c r="B2144" t="inlineStr">
        <is>
          <t>CZE</t>
        </is>
      </c>
      <c r="C2144" t="n">
        <v>1996</v>
      </c>
      <c r="D2144" t="n">
        <v>8.758774728781111</v>
      </c>
    </row>
    <row r="2145">
      <c r="A2145" t="inlineStr">
        <is>
          <t>Czechia</t>
        </is>
      </c>
      <c r="B2145" t="inlineStr">
        <is>
          <t>CZE</t>
        </is>
      </c>
      <c r="C2145" t="n">
        <v>1997</v>
      </c>
      <c r="D2145" t="n">
        <v>8.596156667155631</v>
      </c>
    </row>
    <row r="2146">
      <c r="A2146" t="inlineStr">
        <is>
          <t>Czechia</t>
        </is>
      </c>
      <c r="B2146" t="inlineStr">
        <is>
          <t>CZE</t>
        </is>
      </c>
      <c r="C2146" t="n">
        <v>1998</v>
      </c>
      <c r="D2146" t="n">
        <v>10.6983655274889</v>
      </c>
    </row>
    <row r="2147">
      <c r="A2147" t="inlineStr">
        <is>
          <t>Czechia</t>
        </is>
      </c>
      <c r="B2147" t="inlineStr">
        <is>
          <t>CZE</t>
        </is>
      </c>
      <c r="C2147" t="n">
        <v>1999</v>
      </c>
      <c r="D2147" t="n">
        <v>2.13544844417331</v>
      </c>
    </row>
    <row r="2148">
      <c r="A2148" t="inlineStr">
        <is>
          <t>Czechia</t>
        </is>
      </c>
      <c r="B2148" t="inlineStr">
        <is>
          <t>CZE</t>
        </is>
      </c>
      <c r="C2148" t="n">
        <v>2000</v>
      </c>
      <c r="D2148" t="n">
        <v>3.77538829151734</v>
      </c>
    </row>
    <row r="2149">
      <c r="A2149" t="inlineStr">
        <is>
          <t>Czechia</t>
        </is>
      </c>
      <c r="B2149" t="inlineStr">
        <is>
          <t>CZE</t>
        </is>
      </c>
      <c r="C2149" t="n">
        <v>2001</v>
      </c>
      <c r="D2149" t="n">
        <v>4.66267556988253</v>
      </c>
    </row>
    <row r="2150">
      <c r="A2150" t="inlineStr">
        <is>
          <t>Czechia</t>
        </is>
      </c>
      <c r="B2150" t="inlineStr">
        <is>
          <t>CZE</t>
        </is>
      </c>
      <c r="C2150" t="n">
        <v>2002</v>
      </c>
      <c r="D2150" t="n">
        <v>1.90298097019032</v>
      </c>
    </row>
    <row r="2151">
      <c r="A2151" t="inlineStr">
        <is>
          <t>Czechia</t>
        </is>
      </c>
      <c r="B2151" t="inlineStr">
        <is>
          <t>CZE</t>
        </is>
      </c>
      <c r="C2151" t="n">
        <v>2003</v>
      </c>
      <c r="D2151" t="n">
        <v>0.118739205526791</v>
      </c>
    </row>
    <row r="2152">
      <c r="A2152" t="inlineStr">
        <is>
          <t>Czechia</t>
        </is>
      </c>
      <c r="B2152" t="inlineStr">
        <is>
          <t>CZE</t>
        </is>
      </c>
      <c r="C2152" t="n">
        <v>2004</v>
      </c>
      <c r="D2152" t="n">
        <v>2.76010781671157</v>
      </c>
    </row>
    <row r="2153">
      <c r="A2153" t="inlineStr">
        <is>
          <t>Czechia</t>
        </is>
      </c>
      <c r="B2153" t="inlineStr">
        <is>
          <t>CZE</t>
        </is>
      </c>
      <c r="C2153" t="n">
        <v>2005</v>
      </c>
      <c r="D2153" t="n">
        <v>1.8570978910922</v>
      </c>
    </row>
    <row r="2154">
      <c r="A2154" t="inlineStr">
        <is>
          <t>Czechia</t>
        </is>
      </c>
      <c r="B2154" t="inlineStr">
        <is>
          <t>CZE</t>
        </is>
      </c>
      <c r="C2154" t="n">
        <v>2006</v>
      </c>
      <c r="D2154" t="n">
        <v>2.53399258343635</v>
      </c>
    </row>
    <row r="2155">
      <c r="A2155" t="inlineStr">
        <is>
          <t>Czechia</t>
        </is>
      </c>
      <c r="B2155" t="inlineStr">
        <is>
          <t>CZE</t>
        </is>
      </c>
      <c r="C2155" t="n">
        <v>2007</v>
      </c>
      <c r="D2155" t="n">
        <v>2.85312437211175</v>
      </c>
    </row>
    <row r="2156">
      <c r="A2156" t="inlineStr">
        <is>
          <t>Czechia</t>
        </is>
      </c>
      <c r="B2156" t="inlineStr">
        <is>
          <t>CZE</t>
        </is>
      </c>
      <c r="C2156" t="n">
        <v>2008</v>
      </c>
      <c r="D2156" t="n">
        <v>6.35866380152373</v>
      </c>
    </row>
    <row r="2157">
      <c r="A2157" t="inlineStr">
        <is>
          <t>Czechia</t>
        </is>
      </c>
      <c r="B2157" t="inlineStr">
        <is>
          <t>CZE</t>
        </is>
      </c>
      <c r="C2157" t="n">
        <v>2009</v>
      </c>
      <c r="D2157" t="n">
        <v>1.01937735329232</v>
      </c>
    </row>
    <row r="2158">
      <c r="A2158" t="inlineStr">
        <is>
          <t>Czechia</t>
        </is>
      </c>
      <c r="B2158" t="inlineStr">
        <is>
          <t>CZE</t>
        </is>
      </c>
      <c r="C2158" t="n">
        <v>2010</v>
      </c>
      <c r="D2158" t="n">
        <v>1.47272727272722</v>
      </c>
    </row>
    <row r="2159">
      <c r="A2159" t="inlineStr">
        <is>
          <t>Czechia</t>
        </is>
      </c>
      <c r="B2159" t="inlineStr">
        <is>
          <t>CZE</t>
        </is>
      </c>
      <c r="C2159" t="n">
        <v>2011</v>
      </c>
      <c r="D2159" t="n">
        <v>1.9172191363555</v>
      </c>
    </row>
    <row r="2160">
      <c r="A2160" t="inlineStr">
        <is>
          <t>Czechia</t>
        </is>
      </c>
      <c r="B2160" t="inlineStr">
        <is>
          <t>CZE</t>
        </is>
      </c>
      <c r="C2160" t="n">
        <v>2012</v>
      </c>
      <c r="D2160" t="n">
        <v>3.28762306610411</v>
      </c>
    </row>
    <row r="2161">
      <c r="A2161" t="inlineStr">
        <is>
          <t>Czechia</t>
        </is>
      </c>
      <c r="B2161" t="inlineStr">
        <is>
          <t>CZE</t>
        </is>
      </c>
      <c r="C2161" t="n">
        <v>2013</v>
      </c>
      <c r="D2161" t="n">
        <v>1.4382978723404</v>
      </c>
    </row>
    <row r="2162">
      <c r="A2162" t="inlineStr">
        <is>
          <t>Czechia</t>
        </is>
      </c>
      <c r="B2162" t="inlineStr">
        <is>
          <t>CZE</t>
        </is>
      </c>
      <c r="C2162" t="n">
        <v>2014</v>
      </c>
      <c r="D2162" t="n">
        <v>0.343988589646794</v>
      </c>
    </row>
    <row r="2163">
      <c r="A2163" t="inlineStr">
        <is>
          <t>Czechia</t>
        </is>
      </c>
      <c r="B2163" t="inlineStr">
        <is>
          <t>CZE</t>
        </is>
      </c>
      <c r="C2163" t="n">
        <v>2015</v>
      </c>
      <c r="D2163" t="n">
        <v>0.309364548494975</v>
      </c>
    </row>
    <row r="2164">
      <c r="A2164" t="inlineStr">
        <is>
          <t>Czechia</t>
        </is>
      </c>
      <c r="B2164" t="inlineStr">
        <is>
          <t>CZE</t>
        </is>
      </c>
      <c r="C2164" t="n">
        <v>2016</v>
      </c>
      <c r="D2164" t="n">
        <v>0.683504209385703</v>
      </c>
    </row>
    <row r="2165">
      <c r="A2165" t="inlineStr">
        <is>
          <t>Czechia</t>
        </is>
      </c>
      <c r="B2165" t="inlineStr">
        <is>
          <t>CZE</t>
        </is>
      </c>
      <c r="C2165" t="n">
        <v>2017</v>
      </c>
      <c r="D2165" t="n">
        <v>2.4505339846014</v>
      </c>
    </row>
    <row r="2166">
      <c r="A2166" t="inlineStr">
        <is>
          <t>Czechia</t>
        </is>
      </c>
      <c r="B2166" t="inlineStr">
        <is>
          <t>CZE</t>
        </is>
      </c>
      <c r="C2166" t="n">
        <v>2018</v>
      </c>
      <c r="D2166" t="n">
        <v>2.14949494949493</v>
      </c>
    </row>
    <row r="2167">
      <c r="A2167" t="inlineStr">
        <is>
          <t>Czechia</t>
        </is>
      </c>
      <c r="B2167" t="inlineStr">
        <is>
          <t>CZE</t>
        </is>
      </c>
      <c r="C2167" t="n">
        <v>2019</v>
      </c>
      <c r="D2167" t="n">
        <v>2.8478759591805</v>
      </c>
    </row>
    <row r="2168">
      <c r="A2168" t="inlineStr">
        <is>
          <t>Czechia</t>
        </is>
      </c>
      <c r="B2168" t="inlineStr">
        <is>
          <t>CZE</t>
        </is>
      </c>
      <c r="C2168" t="n">
        <v>2020</v>
      </c>
      <c r="D2168" t="n">
        <v>3.16129528497801</v>
      </c>
    </row>
    <row r="2169">
      <c r="A2169" t="inlineStr">
        <is>
          <t>Czechia</t>
        </is>
      </c>
      <c r="B2169" t="inlineStr">
        <is>
          <t>CZE</t>
        </is>
      </c>
      <c r="C2169" t="n">
        <v>2021</v>
      </c>
      <c r="D2169" t="n">
        <v>3.83984491500146</v>
      </c>
    </row>
    <row r="2170">
      <c r="A2170" t="inlineStr">
        <is>
          <t>Czechia</t>
        </is>
      </c>
      <c r="B2170" t="inlineStr">
        <is>
          <t>CZE</t>
        </is>
      </c>
      <c r="C2170" t="n">
        <v>2022</v>
      </c>
      <c r="D2170" t="n">
        <v>15.1001651468371</v>
      </c>
    </row>
    <row r="2171">
      <c r="A2171" t="inlineStr">
        <is>
          <t>Czechia</t>
        </is>
      </c>
      <c r="B2171" t="inlineStr">
        <is>
          <t>CZE</t>
        </is>
      </c>
      <c r="C2171" t="n">
        <v>2023</v>
      </c>
      <c r="D2171" t="n">
        <v>10.6612601372426</v>
      </c>
    </row>
    <row r="2172">
      <c r="A2172" t="inlineStr">
        <is>
          <t>Czechia</t>
        </is>
      </c>
      <c r="B2172" t="inlineStr">
        <is>
          <t>CZE</t>
        </is>
      </c>
      <c r="C2172" t="n">
        <v>2024</v>
      </c>
      <c r="D2172" t="n">
        <v>2.43531202435314</v>
      </c>
    </row>
    <row r="2173">
      <c r="A2173" t="inlineStr">
        <is>
          <t>Germany</t>
        </is>
      </c>
      <c r="B2173" t="inlineStr">
        <is>
          <t>DEU</t>
        </is>
      </c>
      <c r="C2173" t="n">
        <v>1960</v>
      </c>
      <c r="D2173" t="n">
        <v>1.53661234295201</v>
      </c>
    </row>
    <row r="2174">
      <c r="A2174" t="inlineStr">
        <is>
          <t>Germany</t>
        </is>
      </c>
      <c r="B2174" t="inlineStr">
        <is>
          <t>DEU</t>
        </is>
      </c>
      <c r="C2174" t="n">
        <v>1961</v>
      </c>
      <c r="D2174" t="n">
        <v>2.29369500700884</v>
      </c>
    </row>
    <row r="2175">
      <c r="A2175" t="inlineStr">
        <is>
          <t>Germany</t>
        </is>
      </c>
      <c r="B2175" t="inlineStr">
        <is>
          <t>DEU</t>
        </is>
      </c>
      <c r="C2175" t="n">
        <v>1962</v>
      </c>
      <c r="D2175" t="n">
        <v>2.84327019799062</v>
      </c>
    </row>
    <row r="2176">
      <c r="A2176" t="inlineStr">
        <is>
          <t>Germany</t>
        </is>
      </c>
      <c r="B2176" t="inlineStr">
        <is>
          <t>DEU</t>
        </is>
      </c>
      <c r="C2176" t="n">
        <v>1963</v>
      </c>
      <c r="D2176" t="n">
        <v>2.9669597758771</v>
      </c>
    </row>
    <row r="2177">
      <c r="A2177" t="inlineStr">
        <is>
          <t>Germany</t>
        </is>
      </c>
      <c r="B2177" t="inlineStr">
        <is>
          <t>DEU</t>
        </is>
      </c>
      <c r="C2177" t="n">
        <v>1964</v>
      </c>
      <c r="D2177" t="n">
        <v>2.33573581177832</v>
      </c>
    </row>
    <row r="2178">
      <c r="A2178" t="inlineStr">
        <is>
          <t>Germany</t>
        </is>
      </c>
      <c r="B2178" t="inlineStr">
        <is>
          <t>DEU</t>
        </is>
      </c>
      <c r="C2178" t="n">
        <v>1965</v>
      </c>
      <c r="D2178" t="n">
        <v>3.24231923668133</v>
      </c>
    </row>
    <row r="2179">
      <c r="A2179" t="inlineStr">
        <is>
          <t>Germany</t>
        </is>
      </c>
      <c r="B2179" t="inlineStr">
        <is>
          <t>DEU</t>
        </is>
      </c>
      <c r="C2179" t="n">
        <v>1966</v>
      </c>
      <c r="D2179" t="n">
        <v>3.53306035477689</v>
      </c>
    </row>
    <row r="2180">
      <c r="A2180" t="inlineStr">
        <is>
          <t>Germany</t>
        </is>
      </c>
      <c r="B2180" t="inlineStr">
        <is>
          <t>DEU</t>
        </is>
      </c>
      <c r="C2180" t="n">
        <v>1967</v>
      </c>
      <c r="D2180" t="n">
        <v>1.79604992213175</v>
      </c>
    </row>
    <row r="2181">
      <c r="A2181" t="inlineStr">
        <is>
          <t>Germany</t>
        </is>
      </c>
      <c r="B2181" t="inlineStr">
        <is>
          <t>DEU</t>
        </is>
      </c>
      <c r="C2181" t="n">
        <v>1968</v>
      </c>
      <c r="D2181" t="n">
        <v>1.470289313277</v>
      </c>
    </row>
    <row r="2182">
      <c r="A2182" t="inlineStr">
        <is>
          <t>Germany</t>
        </is>
      </c>
      <c r="B2182" t="inlineStr">
        <is>
          <t>DEU</t>
        </is>
      </c>
      <c r="C2182" t="n">
        <v>1969</v>
      </c>
      <c r="D2182" t="n">
        <v>1.91267848797596</v>
      </c>
    </row>
    <row r="2183">
      <c r="A2183" t="inlineStr">
        <is>
          <t>Germany</t>
        </is>
      </c>
      <c r="B2183" t="inlineStr">
        <is>
          <t>DEU</t>
        </is>
      </c>
      <c r="C2183" t="n">
        <v>1970</v>
      </c>
      <c r="D2183" t="n">
        <v>3.45024936360895</v>
      </c>
    </row>
    <row r="2184">
      <c r="A2184" t="inlineStr">
        <is>
          <t>Germany</t>
        </is>
      </c>
      <c r="B2184" t="inlineStr">
        <is>
          <t>DEU</t>
        </is>
      </c>
      <c r="C2184" t="n">
        <v>1971</v>
      </c>
      <c r="D2184" t="n">
        <v>5.24097448273094</v>
      </c>
    </row>
    <row r="2185">
      <c r="A2185" t="inlineStr">
        <is>
          <t>Germany</t>
        </is>
      </c>
      <c r="B2185" t="inlineStr">
        <is>
          <t>DEU</t>
        </is>
      </c>
      <c r="C2185" t="n">
        <v>1972</v>
      </c>
      <c r="D2185" t="n">
        <v>5.4849331221432</v>
      </c>
    </row>
    <row r="2186">
      <c r="A2186" t="inlineStr">
        <is>
          <t>Germany</t>
        </is>
      </c>
      <c r="B2186" t="inlineStr">
        <is>
          <t>DEU</t>
        </is>
      </c>
      <c r="C2186" t="n">
        <v>1973</v>
      </c>
      <c r="D2186" t="n">
        <v>7.03202399303898</v>
      </c>
    </row>
    <row r="2187">
      <c r="A2187" t="inlineStr">
        <is>
          <t>Germany</t>
        </is>
      </c>
      <c r="B2187" t="inlineStr">
        <is>
          <t>DEU</t>
        </is>
      </c>
      <c r="C2187" t="n">
        <v>1974</v>
      </c>
      <c r="D2187" t="n">
        <v>6.98643109327497</v>
      </c>
    </row>
    <row r="2188">
      <c r="A2188" t="inlineStr">
        <is>
          <t>Germany</t>
        </is>
      </c>
      <c r="B2188" t="inlineStr">
        <is>
          <t>DEU</t>
        </is>
      </c>
      <c r="C2188" t="n">
        <v>1975</v>
      </c>
      <c r="D2188" t="n">
        <v>5.91033626324104</v>
      </c>
    </row>
    <row r="2189">
      <c r="A2189" t="inlineStr">
        <is>
          <t>Germany</t>
        </is>
      </c>
      <c r="B2189" t="inlineStr">
        <is>
          <t>DEU</t>
        </is>
      </c>
      <c r="C2189" t="n">
        <v>1976</v>
      </c>
      <c r="D2189" t="n">
        <v>4.24663102299209</v>
      </c>
    </row>
    <row r="2190">
      <c r="A2190" t="inlineStr">
        <is>
          <t>Germany</t>
        </is>
      </c>
      <c r="B2190" t="inlineStr">
        <is>
          <t>DEU</t>
        </is>
      </c>
      <c r="C2190" t="n">
        <v>1977</v>
      </c>
      <c r="D2190" t="n">
        <v>3.73416240635147</v>
      </c>
    </row>
    <row r="2191">
      <c r="A2191" t="inlineStr">
        <is>
          <t>Germany</t>
        </is>
      </c>
      <c r="B2191" t="inlineStr">
        <is>
          <t>DEU</t>
        </is>
      </c>
      <c r="C2191" t="n">
        <v>1978</v>
      </c>
      <c r="D2191" t="n">
        <v>2.71869696123339</v>
      </c>
    </row>
    <row r="2192">
      <c r="A2192" t="inlineStr">
        <is>
          <t>Germany</t>
        </is>
      </c>
      <c r="B2192" t="inlineStr">
        <is>
          <t>DEU</t>
        </is>
      </c>
      <c r="C2192" t="n">
        <v>1979</v>
      </c>
      <c r="D2192" t="n">
        <v>4.04362006473399</v>
      </c>
    </row>
    <row r="2193">
      <c r="A2193" t="inlineStr">
        <is>
          <t>Germany</t>
        </is>
      </c>
      <c r="B2193" t="inlineStr">
        <is>
          <t>DEU</t>
        </is>
      </c>
      <c r="C2193" t="n">
        <v>1980</v>
      </c>
      <c r="D2193" t="n">
        <v>5.44105754460347</v>
      </c>
    </row>
    <row r="2194">
      <c r="A2194" t="inlineStr">
        <is>
          <t>Germany</t>
        </is>
      </c>
      <c r="B2194" t="inlineStr">
        <is>
          <t>DEU</t>
        </is>
      </c>
      <c r="C2194" t="n">
        <v>1981</v>
      </c>
      <c r="D2194" t="n">
        <v>6.34424277746325</v>
      </c>
    </row>
    <row r="2195">
      <c r="A2195" t="inlineStr">
        <is>
          <t>Germany</t>
        </is>
      </c>
      <c r="B2195" t="inlineStr">
        <is>
          <t>DEU</t>
        </is>
      </c>
      <c r="C2195" t="n">
        <v>1982</v>
      </c>
      <c r="D2195" t="n">
        <v>5.24104507228422</v>
      </c>
    </row>
    <row r="2196">
      <c r="A2196" t="inlineStr">
        <is>
          <t>Germany</t>
        </is>
      </c>
      <c r="B2196" t="inlineStr">
        <is>
          <t>DEU</t>
        </is>
      </c>
      <c r="C2196" t="n">
        <v>1983</v>
      </c>
      <c r="D2196" t="n">
        <v>3.29341474302854</v>
      </c>
    </row>
    <row r="2197">
      <c r="A2197" t="inlineStr">
        <is>
          <t>Germany</t>
        </is>
      </c>
      <c r="B2197" t="inlineStr">
        <is>
          <t>DEU</t>
        </is>
      </c>
      <c r="C2197" t="n">
        <v>1984</v>
      </c>
      <c r="D2197" t="n">
        <v>2.4057933993196</v>
      </c>
    </row>
    <row r="2198">
      <c r="A2198" t="inlineStr">
        <is>
          <t>Germany</t>
        </is>
      </c>
      <c r="B2198" t="inlineStr">
        <is>
          <t>DEU</t>
        </is>
      </c>
      <c r="C2198" t="n">
        <v>1985</v>
      </c>
      <c r="D2198" t="n">
        <v>2.0662330121658</v>
      </c>
    </row>
    <row r="2199">
      <c r="A2199" t="inlineStr">
        <is>
          <t>Germany</t>
        </is>
      </c>
      <c r="B2199" t="inlineStr">
        <is>
          <t>DEU</t>
        </is>
      </c>
      <c r="C2199" t="n">
        <v>1986</v>
      </c>
      <c r="D2199" t="n">
        <v>-0.129413360854742</v>
      </c>
    </row>
    <row r="2200">
      <c r="A2200" t="inlineStr">
        <is>
          <t>Germany</t>
        </is>
      </c>
      <c r="B2200" t="inlineStr">
        <is>
          <t>DEU</t>
        </is>
      </c>
      <c r="C2200" t="n">
        <v>1987</v>
      </c>
      <c r="D2200" t="n">
        <v>0.24990610870503</v>
      </c>
    </row>
    <row r="2201">
      <c r="A2201" t="inlineStr">
        <is>
          <t>Germany</t>
        </is>
      </c>
      <c r="B2201" t="inlineStr">
        <is>
          <t>DEU</t>
        </is>
      </c>
      <c r="C2201" t="n">
        <v>1988</v>
      </c>
      <c r="D2201" t="n">
        <v>1.27411894006923</v>
      </c>
    </row>
    <row r="2202">
      <c r="A2202" t="inlineStr">
        <is>
          <t>Germany</t>
        </is>
      </c>
      <c r="B2202" t="inlineStr">
        <is>
          <t>DEU</t>
        </is>
      </c>
      <c r="C2202" t="n">
        <v>1989</v>
      </c>
      <c r="D2202" t="n">
        <v>2.78056955569751</v>
      </c>
    </row>
    <row r="2203">
      <c r="A2203" t="inlineStr">
        <is>
          <t>Germany</t>
        </is>
      </c>
      <c r="B2203" t="inlineStr">
        <is>
          <t>DEU</t>
        </is>
      </c>
      <c r="C2203" t="n">
        <v>1990</v>
      </c>
      <c r="D2203" t="n">
        <v>2.69646824292392</v>
      </c>
    </row>
    <row r="2204">
      <c r="A2204" t="inlineStr">
        <is>
          <t>Germany</t>
        </is>
      </c>
      <c r="B2204" t="inlineStr">
        <is>
          <t>DEU</t>
        </is>
      </c>
      <c r="C2204" t="n">
        <v>1991</v>
      </c>
      <c r="D2204" t="n">
        <v>4.04703259753466</v>
      </c>
    </row>
    <row r="2205">
      <c r="A2205" t="inlineStr">
        <is>
          <t>Germany</t>
        </is>
      </c>
      <c r="B2205" t="inlineStr">
        <is>
          <t>DEU</t>
        </is>
      </c>
      <c r="C2205" t="n">
        <v>1992</v>
      </c>
      <c r="D2205" t="n">
        <v>5.05697796731731</v>
      </c>
    </row>
    <row r="2206">
      <c r="A2206" t="inlineStr">
        <is>
          <t>Germany</t>
        </is>
      </c>
      <c r="B2206" t="inlineStr">
        <is>
          <t>DEU</t>
        </is>
      </c>
      <c r="C2206" t="n">
        <v>1993</v>
      </c>
      <c r="D2206" t="n">
        <v>4.47457650752808</v>
      </c>
    </row>
    <row r="2207">
      <c r="A2207" t="inlineStr">
        <is>
          <t>Germany</t>
        </is>
      </c>
      <c r="B2207" t="inlineStr">
        <is>
          <t>DEU</t>
        </is>
      </c>
      <c r="C2207" t="n">
        <v>1994</v>
      </c>
      <c r="D2207" t="n">
        <v>2.69305639854954</v>
      </c>
    </row>
    <row r="2208">
      <c r="A2208" t="inlineStr">
        <is>
          <t>Germany</t>
        </is>
      </c>
      <c r="B2208" t="inlineStr">
        <is>
          <t>DEU</t>
        </is>
      </c>
      <c r="C2208" t="n">
        <v>1995</v>
      </c>
      <c r="D2208" t="n">
        <v>1.70616041317076</v>
      </c>
    </row>
    <row r="2209">
      <c r="A2209" t="inlineStr">
        <is>
          <t>Germany</t>
        </is>
      </c>
      <c r="B2209" t="inlineStr">
        <is>
          <t>DEU</t>
        </is>
      </c>
      <c r="C2209" t="n">
        <v>1996</v>
      </c>
      <c r="D2209" t="n">
        <v>1.44972701963239</v>
      </c>
    </row>
    <row r="2210">
      <c r="A2210" t="inlineStr">
        <is>
          <t>Germany</t>
        </is>
      </c>
      <c r="B2210" t="inlineStr">
        <is>
          <t>DEU</t>
        </is>
      </c>
      <c r="C2210" t="n">
        <v>1997</v>
      </c>
      <c r="D2210" t="n">
        <v>1.93937198922729</v>
      </c>
    </row>
    <row r="2211">
      <c r="A2211" t="inlineStr">
        <is>
          <t>Germany</t>
        </is>
      </c>
      <c r="B2211" t="inlineStr">
        <is>
          <t>DEU</t>
        </is>
      </c>
      <c r="C2211" t="n">
        <v>1998</v>
      </c>
      <c r="D2211" t="n">
        <v>0.911183535014403</v>
      </c>
    </row>
    <row r="2212">
      <c r="A2212" t="inlineStr">
        <is>
          <t>Germany</t>
        </is>
      </c>
      <c r="B2212" t="inlineStr">
        <is>
          <t>DEU</t>
        </is>
      </c>
      <c r="C2212" t="n">
        <v>1999</v>
      </c>
      <c r="D2212" t="n">
        <v>0.585433064230783</v>
      </c>
    </row>
    <row r="2213">
      <c r="A2213" t="inlineStr">
        <is>
          <t>Germany</t>
        </is>
      </c>
      <c r="B2213" t="inlineStr">
        <is>
          <t>DEU</t>
        </is>
      </c>
      <c r="C2213" t="n">
        <v>2000</v>
      </c>
      <c r="D2213" t="n">
        <v>1.44026838719741</v>
      </c>
    </row>
    <row r="2214">
      <c r="A2214" t="inlineStr">
        <is>
          <t>Germany</t>
        </is>
      </c>
      <c r="B2214" t="inlineStr">
        <is>
          <t>DEU</t>
        </is>
      </c>
      <c r="C2214" t="n">
        <v>2001</v>
      </c>
      <c r="D2214" t="n">
        <v>1.98385731334471</v>
      </c>
    </row>
    <row r="2215">
      <c r="A2215" t="inlineStr">
        <is>
          <t>Germany</t>
        </is>
      </c>
      <c r="B2215" t="inlineStr">
        <is>
          <t>DEU</t>
        </is>
      </c>
      <c r="C2215" t="n">
        <v>2002</v>
      </c>
      <c r="D2215" t="n">
        <v>1.42080615551526</v>
      </c>
    </row>
    <row r="2216">
      <c r="A2216" t="inlineStr">
        <is>
          <t>Germany</t>
        </is>
      </c>
      <c r="B2216" t="inlineStr">
        <is>
          <t>DEU</t>
        </is>
      </c>
      <c r="C2216" t="n">
        <v>2003</v>
      </c>
      <c r="D2216" t="n">
        <v>1.03422218628562</v>
      </c>
    </row>
    <row r="2217">
      <c r="A2217" t="inlineStr">
        <is>
          <t>Germany</t>
        </is>
      </c>
      <c r="B2217" t="inlineStr">
        <is>
          <t>DEU</t>
        </is>
      </c>
      <c r="C2217" t="n">
        <v>2004</v>
      </c>
      <c r="D2217" t="n">
        <v>1.66573696655992</v>
      </c>
    </row>
    <row r="2218">
      <c r="A2218" t="inlineStr">
        <is>
          <t>Germany</t>
        </is>
      </c>
      <c r="B2218" t="inlineStr">
        <is>
          <t>DEU</t>
        </is>
      </c>
      <c r="C2218" t="n">
        <v>2005</v>
      </c>
      <c r="D2218" t="n">
        <v>1.54691114751328</v>
      </c>
    </row>
    <row r="2219">
      <c r="A2219" t="inlineStr">
        <is>
          <t>Germany</t>
        </is>
      </c>
      <c r="B2219" t="inlineStr">
        <is>
          <t>DEU</t>
        </is>
      </c>
      <c r="C2219" t="n">
        <v>2006</v>
      </c>
      <c r="D2219" t="n">
        <v>1.57742642840563</v>
      </c>
    </row>
    <row r="2220">
      <c r="A2220" t="inlineStr">
        <is>
          <t>Germany</t>
        </is>
      </c>
      <c r="B2220" t="inlineStr">
        <is>
          <t>DEU</t>
        </is>
      </c>
      <c r="C2220" t="n">
        <v>2007</v>
      </c>
      <c r="D2220" t="n">
        <v>2.29834400700951</v>
      </c>
    </row>
    <row r="2221">
      <c r="A2221" t="inlineStr">
        <is>
          <t>Germany</t>
        </is>
      </c>
      <c r="B2221" t="inlineStr">
        <is>
          <t>DEU</t>
        </is>
      </c>
      <c r="C2221" t="n">
        <v>2008</v>
      </c>
      <c r="D2221" t="n">
        <v>2.62837981637219</v>
      </c>
    </row>
    <row r="2222">
      <c r="A2222" t="inlineStr">
        <is>
          <t>Germany</t>
        </is>
      </c>
      <c r="B2222" t="inlineStr">
        <is>
          <t>DEU</t>
        </is>
      </c>
      <c r="C2222" t="n">
        <v>2009</v>
      </c>
      <c r="D2222" t="n">
        <v>0.312739007368447</v>
      </c>
    </row>
    <row r="2223">
      <c r="A2223" t="inlineStr">
        <is>
          <t>Germany</t>
        </is>
      </c>
      <c r="B2223" t="inlineStr">
        <is>
          <t>DEU</t>
        </is>
      </c>
      <c r="C2223" t="n">
        <v>2010</v>
      </c>
      <c r="D2223" t="n">
        <v>1.1038103778926</v>
      </c>
    </row>
    <row r="2224">
      <c r="A2224" t="inlineStr">
        <is>
          <t>Germany</t>
        </is>
      </c>
      <c r="B2224" t="inlineStr">
        <is>
          <t>DEU</t>
        </is>
      </c>
      <c r="C2224" t="n">
        <v>2011</v>
      </c>
      <c r="D2224" t="n">
        <v>2.07517283735874</v>
      </c>
    </row>
    <row r="2225">
      <c r="A2225" t="inlineStr">
        <is>
          <t>Germany</t>
        </is>
      </c>
      <c r="B2225" t="inlineStr">
        <is>
          <t>DEU</t>
        </is>
      </c>
      <c r="C2225" t="n">
        <v>2012</v>
      </c>
      <c r="D2225" t="n">
        <v>2.00848884782956</v>
      </c>
    </row>
    <row r="2226">
      <c r="A2226" t="inlineStr">
        <is>
          <t>Germany</t>
        </is>
      </c>
      <c r="B2226" t="inlineStr">
        <is>
          <t>DEU</t>
        </is>
      </c>
      <c r="C2226" t="n">
        <v>2013</v>
      </c>
      <c r="D2226" t="n">
        <v>1.50472330251876</v>
      </c>
    </row>
    <row r="2227">
      <c r="A2227" t="inlineStr">
        <is>
          <t>Germany</t>
        </is>
      </c>
      <c r="B2227" t="inlineStr">
        <is>
          <t>DEU</t>
        </is>
      </c>
      <c r="C2227" t="n">
        <v>2014</v>
      </c>
      <c r="D2227" t="n">
        <v>0.906794000434246</v>
      </c>
    </row>
    <row r="2228">
      <c r="A2228" t="inlineStr">
        <is>
          <t>Germany</t>
        </is>
      </c>
      <c r="B2228" t="inlineStr">
        <is>
          <t>DEU</t>
        </is>
      </c>
      <c r="C2228" t="n">
        <v>2015</v>
      </c>
      <c r="D2228" t="n">
        <v>0.514426137125456</v>
      </c>
    </row>
    <row r="2229">
      <c r="A2229" t="inlineStr">
        <is>
          <t>Germany</t>
        </is>
      </c>
      <c r="B2229" t="inlineStr">
        <is>
          <t>DEU</t>
        </is>
      </c>
      <c r="C2229" t="n">
        <v>2016</v>
      </c>
      <c r="D2229" t="n">
        <v>0.491747008445174</v>
      </c>
    </row>
    <row r="2230">
      <c r="A2230" t="inlineStr">
        <is>
          <t>Germany</t>
        </is>
      </c>
      <c r="B2230" t="inlineStr">
        <is>
          <t>DEU</t>
        </is>
      </c>
      <c r="C2230" t="n">
        <v>2017</v>
      </c>
      <c r="D2230" t="n">
        <v>1.50949485109628</v>
      </c>
    </row>
    <row r="2231">
      <c r="A2231" t="inlineStr">
        <is>
          <t>Germany</t>
        </is>
      </c>
      <c r="B2231" t="inlineStr">
        <is>
          <t>DEU</t>
        </is>
      </c>
      <c r="C2231" t="n">
        <v>2018</v>
      </c>
      <c r="D2231" t="n">
        <v>1.73216879766942</v>
      </c>
    </row>
    <row r="2232">
      <c r="A2232" t="inlineStr">
        <is>
          <t>Germany</t>
        </is>
      </c>
      <c r="B2232" t="inlineStr">
        <is>
          <t>DEU</t>
        </is>
      </c>
      <c r="C2232" t="n">
        <v>2019</v>
      </c>
      <c r="D2232" t="n">
        <v>1.44565976888253</v>
      </c>
    </row>
    <row r="2233">
      <c r="A2233" t="inlineStr">
        <is>
          <t>Germany</t>
        </is>
      </c>
      <c r="B2233" t="inlineStr">
        <is>
          <t>DEU</t>
        </is>
      </c>
      <c r="C2233" t="n">
        <v>2020</v>
      </c>
      <c r="D2233" t="n">
        <v>0.144877925813982</v>
      </c>
    </row>
    <row r="2234">
      <c r="A2234" t="inlineStr">
        <is>
          <t>Germany</t>
        </is>
      </c>
      <c r="B2234" t="inlineStr">
        <is>
          <t>DEU</t>
        </is>
      </c>
      <c r="C2234" t="n">
        <v>2021</v>
      </c>
      <c r="D2234" t="n">
        <v>3.06666666666673</v>
      </c>
    </row>
    <row r="2235">
      <c r="A2235" t="inlineStr">
        <is>
          <t>Germany</t>
        </is>
      </c>
      <c r="B2235" t="inlineStr">
        <is>
          <t>DEU</t>
        </is>
      </c>
      <c r="C2235" t="n">
        <v>2022</v>
      </c>
      <c r="D2235" t="n">
        <v>6.87257438551097</v>
      </c>
    </row>
    <row r="2236">
      <c r="A2236" t="inlineStr">
        <is>
          <t>Germany</t>
        </is>
      </c>
      <c r="B2236" t="inlineStr">
        <is>
          <t>DEU</t>
        </is>
      </c>
      <c r="C2236" t="n">
        <v>2023</v>
      </c>
      <c r="D2236" t="n">
        <v>5.94643667725823</v>
      </c>
    </row>
    <row r="2237">
      <c r="A2237" t="inlineStr">
        <is>
          <t>Germany</t>
        </is>
      </c>
      <c r="B2237" t="inlineStr">
        <is>
          <t>DEU</t>
        </is>
      </c>
      <c r="C2237" t="n">
        <v>2024</v>
      </c>
      <c r="D2237" t="n">
        <v>2.2564981433876</v>
      </c>
    </row>
    <row r="2238">
      <c r="A2238" t="inlineStr">
        <is>
          <t>Djibouti</t>
        </is>
      </c>
      <c r="B2238" t="inlineStr">
        <is>
          <t>DJI</t>
        </is>
      </c>
      <c r="C2238" t="n">
        <v>1980</v>
      </c>
      <c r="D2238" t="n">
        <v>12.0580235721856</v>
      </c>
    </row>
    <row r="2239">
      <c r="A2239" t="inlineStr">
        <is>
          <t>Djibouti</t>
        </is>
      </c>
      <c r="B2239" t="inlineStr">
        <is>
          <t>DJI</t>
        </is>
      </c>
      <c r="C2239" t="n">
        <v>1981</v>
      </c>
      <c r="D2239" t="n">
        <v>5.71736785374118</v>
      </c>
    </row>
    <row r="2240">
      <c r="A2240" t="inlineStr">
        <is>
          <t>Djibouti</t>
        </is>
      </c>
      <c r="B2240" t="inlineStr">
        <is>
          <t>DJI</t>
        </is>
      </c>
      <c r="C2240" t="n">
        <v>1982</v>
      </c>
      <c r="D2240" t="n">
        <v>-2.41071428572345</v>
      </c>
    </row>
    <row r="2241">
      <c r="A2241" t="inlineStr">
        <is>
          <t>Djibouti</t>
        </is>
      </c>
      <c r="B2241" t="inlineStr">
        <is>
          <t>DJI</t>
        </is>
      </c>
      <c r="C2241" t="n">
        <v>1983</v>
      </c>
      <c r="D2241" t="n">
        <v>0.901842896356874</v>
      </c>
    </row>
    <row r="2242">
      <c r="A2242" t="inlineStr">
        <is>
          <t>Djibouti</t>
        </is>
      </c>
      <c r="B2242" t="inlineStr">
        <is>
          <t>DJI</t>
        </is>
      </c>
      <c r="C2242" t="n">
        <v>1984</v>
      </c>
      <c r="D2242" t="n">
        <v>1.88471502578427</v>
      </c>
    </row>
    <row r="2243">
      <c r="A2243" t="inlineStr">
        <is>
          <t>Djibouti</t>
        </is>
      </c>
      <c r="B2243" t="inlineStr">
        <is>
          <t>DJI</t>
        </is>
      </c>
      <c r="C2243" t="n">
        <v>1985</v>
      </c>
      <c r="D2243" t="n">
        <v>2.12890298848072</v>
      </c>
    </row>
    <row r="2244">
      <c r="A2244" t="inlineStr">
        <is>
          <t>Djibouti</t>
        </is>
      </c>
      <c r="B2244" t="inlineStr">
        <is>
          <t>DJI</t>
        </is>
      </c>
      <c r="C2244" t="n">
        <v>1986</v>
      </c>
      <c r="D2244" t="n">
        <v>18.147633450986</v>
      </c>
    </row>
    <row r="2245">
      <c r="A2245" t="inlineStr">
        <is>
          <t>Djibouti</t>
        </is>
      </c>
      <c r="B2245" t="inlineStr">
        <is>
          <t>DJI</t>
        </is>
      </c>
      <c r="C2245" t="n">
        <v>1987</v>
      </c>
      <c r="D2245" t="n">
        <v>4.08911644641214</v>
      </c>
    </row>
    <row r="2246">
      <c r="A2246" t="inlineStr">
        <is>
          <t>Djibouti</t>
        </is>
      </c>
      <c r="B2246" t="inlineStr">
        <is>
          <t>DJI</t>
        </is>
      </c>
      <c r="C2246" t="n">
        <v>2001</v>
      </c>
      <c r="D2246" t="n">
        <v>1.74665224985434</v>
      </c>
    </row>
    <row r="2247">
      <c r="A2247" t="inlineStr">
        <is>
          <t>Djibouti</t>
        </is>
      </c>
      <c r="B2247" t="inlineStr">
        <is>
          <t>DJI</t>
        </is>
      </c>
      <c r="C2247" t="n">
        <v>2002</v>
      </c>
      <c r="D2247" t="n">
        <v>0.6376195536663199</v>
      </c>
    </row>
    <row r="2248">
      <c r="A2248" t="inlineStr">
        <is>
          <t>Djibouti</t>
        </is>
      </c>
      <c r="B2248" t="inlineStr">
        <is>
          <t>DJI</t>
        </is>
      </c>
      <c r="C2248" t="n">
        <v>2003</v>
      </c>
      <c r="D2248" t="n">
        <v>1.98196734627545</v>
      </c>
    </row>
    <row r="2249">
      <c r="A2249" t="inlineStr">
        <is>
          <t>Djibouti</t>
        </is>
      </c>
      <c r="B2249" t="inlineStr">
        <is>
          <t>DJI</t>
        </is>
      </c>
      <c r="C2249" t="n">
        <v>2004</v>
      </c>
      <c r="D2249" t="n">
        <v>3.12226204699354</v>
      </c>
    </row>
    <row r="2250">
      <c r="A2250" t="inlineStr">
        <is>
          <t>Djibouti</t>
        </is>
      </c>
      <c r="B2250" t="inlineStr">
        <is>
          <t>DJI</t>
        </is>
      </c>
      <c r="C2250" t="n">
        <v>2005</v>
      </c>
      <c r="D2250" t="n">
        <v>3.10496640148298</v>
      </c>
    </row>
    <row r="2251">
      <c r="A2251" t="inlineStr">
        <is>
          <t>Djibouti</t>
        </is>
      </c>
      <c r="B2251" t="inlineStr">
        <is>
          <t>DJI</t>
        </is>
      </c>
      <c r="C2251" t="n">
        <v>2006</v>
      </c>
      <c r="D2251" t="n">
        <v>3.48340699677866</v>
      </c>
    </row>
    <row r="2252">
      <c r="A2252" t="inlineStr">
        <is>
          <t>Djibouti</t>
        </is>
      </c>
      <c r="B2252" t="inlineStr">
        <is>
          <t>DJI</t>
        </is>
      </c>
      <c r="C2252" t="n">
        <v>2007</v>
      </c>
      <c r="D2252" t="n">
        <v>4.96597654553301</v>
      </c>
    </row>
    <row r="2253">
      <c r="A2253" t="inlineStr">
        <is>
          <t>Djibouti</t>
        </is>
      </c>
      <c r="B2253" t="inlineStr">
        <is>
          <t>DJI</t>
        </is>
      </c>
      <c r="C2253" t="n">
        <v>2008</v>
      </c>
      <c r="D2253" t="n">
        <v>11.9586206896552</v>
      </c>
    </row>
    <row r="2254">
      <c r="A2254" t="inlineStr">
        <is>
          <t>Djibouti</t>
        </is>
      </c>
      <c r="B2254" t="inlineStr">
        <is>
          <t>DJI</t>
        </is>
      </c>
      <c r="C2254" t="n">
        <v>2009</v>
      </c>
      <c r="D2254" t="n">
        <v>1.67549587285964</v>
      </c>
    </row>
    <row r="2255">
      <c r="A2255" t="inlineStr">
        <is>
          <t>Djibouti</t>
        </is>
      </c>
      <c r="B2255" t="inlineStr">
        <is>
          <t>DJI</t>
        </is>
      </c>
      <c r="C2255" t="n">
        <v>2010</v>
      </c>
      <c r="D2255" t="n">
        <v>3.95007875923885</v>
      </c>
    </row>
    <row r="2256">
      <c r="A2256" t="inlineStr">
        <is>
          <t>Djibouti</t>
        </is>
      </c>
      <c r="B2256" t="inlineStr">
        <is>
          <t>DJI</t>
        </is>
      </c>
      <c r="C2256" t="n">
        <v>2011</v>
      </c>
      <c r="D2256" t="n">
        <v>5.0687139477799</v>
      </c>
    </row>
    <row r="2257">
      <c r="A2257" t="inlineStr">
        <is>
          <t>Djibouti</t>
        </is>
      </c>
      <c r="B2257" t="inlineStr">
        <is>
          <t>DJI</t>
        </is>
      </c>
      <c r="C2257" t="n">
        <v>2012</v>
      </c>
      <c r="D2257" t="n">
        <v>3.73120950756887</v>
      </c>
    </row>
    <row r="2258">
      <c r="A2258" t="inlineStr">
        <is>
          <t>Djibouti</t>
        </is>
      </c>
      <c r="B2258" t="inlineStr">
        <is>
          <t>DJI</t>
        </is>
      </c>
      <c r="C2258" t="n">
        <v>2013</v>
      </c>
      <c r="D2258" t="n">
        <v>2.70603242872182</v>
      </c>
    </row>
    <row r="2259">
      <c r="A2259" t="inlineStr">
        <is>
          <t>Djibouti</t>
        </is>
      </c>
      <c r="B2259" t="inlineStr">
        <is>
          <t>DJI</t>
        </is>
      </c>
      <c r="C2259" t="n">
        <v>2014</v>
      </c>
      <c r="D2259" t="n">
        <v>1.34186494340157</v>
      </c>
    </row>
    <row r="2260">
      <c r="A2260" t="inlineStr">
        <is>
          <t>Djibouti</t>
        </is>
      </c>
      <c r="B2260" t="inlineStr">
        <is>
          <t>DJI</t>
        </is>
      </c>
      <c r="C2260" t="n">
        <v>2015</v>
      </c>
      <c r="D2260" t="n">
        <v>-0.847389733971996</v>
      </c>
    </row>
    <row r="2261">
      <c r="A2261" t="inlineStr">
        <is>
          <t>Djibouti</t>
        </is>
      </c>
      <c r="B2261" t="inlineStr">
        <is>
          <t>DJI</t>
        </is>
      </c>
      <c r="C2261" t="n">
        <v>2016</v>
      </c>
      <c r="D2261" t="n">
        <v>2.73841208738755</v>
      </c>
    </row>
    <row r="2262">
      <c r="A2262" t="inlineStr">
        <is>
          <t>Djibouti</t>
        </is>
      </c>
      <c r="B2262" t="inlineStr">
        <is>
          <t>DJI</t>
        </is>
      </c>
      <c r="C2262" t="n">
        <v>2017</v>
      </c>
      <c r="D2262" t="n">
        <v>0.568112117084804</v>
      </c>
    </row>
    <row r="2263">
      <c r="A2263" t="inlineStr">
        <is>
          <t>Djibouti</t>
        </is>
      </c>
      <c r="B2263" t="inlineStr">
        <is>
          <t>DJI</t>
        </is>
      </c>
      <c r="C2263" t="n">
        <v>2018</v>
      </c>
      <c r="D2263" t="n">
        <v>0.14797084987711</v>
      </c>
    </row>
    <row r="2264">
      <c r="A2264" t="inlineStr">
        <is>
          <t>Djibouti</t>
        </is>
      </c>
      <c r="B2264" t="inlineStr">
        <is>
          <t>DJI</t>
        </is>
      </c>
      <c r="C2264" t="n">
        <v>2019</v>
      </c>
      <c r="D2264" t="n">
        <v>3.31925372703827</v>
      </c>
    </row>
    <row r="2265">
      <c r="A2265" t="inlineStr">
        <is>
          <t>Djibouti</t>
        </is>
      </c>
      <c r="B2265" t="inlineStr">
        <is>
          <t>DJI</t>
        </is>
      </c>
      <c r="C2265" t="n">
        <v>2020</v>
      </c>
      <c r="D2265" t="n">
        <v>1.7774078380617</v>
      </c>
    </row>
    <row r="2266">
      <c r="A2266" t="inlineStr">
        <is>
          <t>Djibouti</t>
        </is>
      </c>
      <c r="B2266" t="inlineStr">
        <is>
          <t>DJI</t>
        </is>
      </c>
      <c r="C2266" t="n">
        <v>2021</v>
      </c>
      <c r="D2266" t="n">
        <v>1.18191775339802</v>
      </c>
    </row>
    <row r="2267">
      <c r="A2267" t="inlineStr">
        <is>
          <t>Djibouti</t>
        </is>
      </c>
      <c r="B2267" t="inlineStr">
        <is>
          <t>DJI</t>
        </is>
      </c>
      <c r="C2267" t="n">
        <v>2022</v>
      </c>
      <c r="D2267" t="n">
        <v>5.17980847967061</v>
      </c>
    </row>
    <row r="2268">
      <c r="A2268" t="inlineStr">
        <is>
          <t>Djibouti</t>
        </is>
      </c>
      <c r="B2268" t="inlineStr">
        <is>
          <t>DJI</t>
        </is>
      </c>
      <c r="C2268" t="n">
        <v>2023</v>
      </c>
      <c r="D2268" t="n">
        <v>1.49506816515088</v>
      </c>
    </row>
    <row r="2269">
      <c r="A2269" t="inlineStr">
        <is>
          <t>Dominica</t>
        </is>
      </c>
      <c r="B2269" t="inlineStr">
        <is>
          <t>DMA</t>
        </is>
      </c>
      <c r="C2269" t="n">
        <v>1967</v>
      </c>
      <c r="D2269" t="n">
        <v>0.952456544255429</v>
      </c>
    </row>
    <row r="2270">
      <c r="A2270" t="inlineStr">
        <is>
          <t>Dominica</t>
        </is>
      </c>
      <c r="B2270" t="inlineStr">
        <is>
          <t>DMA</t>
        </is>
      </c>
      <c r="C2270" t="n">
        <v>1968</v>
      </c>
      <c r="D2270" t="n">
        <v>5.36991901857967</v>
      </c>
    </row>
    <row r="2271">
      <c r="A2271" t="inlineStr">
        <is>
          <t>Dominica</t>
        </is>
      </c>
      <c r="B2271" t="inlineStr">
        <is>
          <t>DMA</t>
        </is>
      </c>
      <c r="C2271" t="n">
        <v>1969</v>
      </c>
      <c r="D2271" t="n">
        <v>4.21578868850823</v>
      </c>
    </row>
    <row r="2272">
      <c r="A2272" t="inlineStr">
        <is>
          <t>Dominica</t>
        </is>
      </c>
      <c r="B2272" t="inlineStr">
        <is>
          <t>DMA</t>
        </is>
      </c>
      <c r="C2272" t="n">
        <v>1970</v>
      </c>
      <c r="D2272" t="n">
        <v>12.3934989618914</v>
      </c>
    </row>
    <row r="2273">
      <c r="A2273" t="inlineStr">
        <is>
          <t>Dominica</t>
        </is>
      </c>
      <c r="B2273" t="inlineStr">
        <is>
          <t>DMA</t>
        </is>
      </c>
      <c r="C2273" t="n">
        <v>1971</v>
      </c>
      <c r="D2273" t="n">
        <v>3.63740603887184</v>
      </c>
    </row>
    <row r="2274">
      <c r="A2274" t="inlineStr">
        <is>
          <t>Dominica</t>
        </is>
      </c>
      <c r="B2274" t="inlineStr">
        <is>
          <t>DMA</t>
        </is>
      </c>
      <c r="C2274" t="n">
        <v>1972</v>
      </c>
      <c r="D2274" t="n">
        <v>3.68799557454748</v>
      </c>
    </row>
    <row r="2275">
      <c r="A2275" t="inlineStr">
        <is>
          <t>Dominica</t>
        </is>
      </c>
      <c r="B2275" t="inlineStr">
        <is>
          <t>DMA</t>
        </is>
      </c>
      <c r="C2275" t="n">
        <v>1973</v>
      </c>
      <c r="D2275" t="n">
        <v>12.0991167230851</v>
      </c>
    </row>
    <row r="2276">
      <c r="A2276" t="inlineStr">
        <is>
          <t>Dominica</t>
        </is>
      </c>
      <c r="B2276" t="inlineStr">
        <is>
          <t>DMA</t>
        </is>
      </c>
      <c r="C2276" t="n">
        <v>1974</v>
      </c>
      <c r="D2276" t="n">
        <v>34.3760742523203</v>
      </c>
    </row>
    <row r="2277">
      <c r="A2277" t="inlineStr">
        <is>
          <t>Dominica</t>
        </is>
      </c>
      <c r="B2277" t="inlineStr">
        <is>
          <t>DMA</t>
        </is>
      </c>
      <c r="C2277" t="n">
        <v>1975</v>
      </c>
      <c r="D2277" t="n">
        <v>19.9027884369402</v>
      </c>
    </row>
    <row r="2278">
      <c r="A2278" t="inlineStr">
        <is>
          <t>Dominica</t>
        </is>
      </c>
      <c r="B2278" t="inlineStr">
        <is>
          <t>DMA</t>
        </is>
      </c>
      <c r="C2278" t="n">
        <v>1976</v>
      </c>
      <c r="D2278" t="n">
        <v>10.9024962662686</v>
      </c>
    </row>
    <row r="2279">
      <c r="A2279" t="inlineStr">
        <is>
          <t>Dominica</t>
        </is>
      </c>
      <c r="B2279" t="inlineStr">
        <is>
          <t>DMA</t>
        </is>
      </c>
      <c r="C2279" t="n">
        <v>1977</v>
      </c>
      <c r="D2279" t="n">
        <v>9.503655252019939</v>
      </c>
    </row>
    <row r="2280">
      <c r="A2280" t="inlineStr">
        <is>
          <t>Dominica</t>
        </is>
      </c>
      <c r="B2280" t="inlineStr">
        <is>
          <t>DMA</t>
        </is>
      </c>
      <c r="C2280" t="n">
        <v>1978</v>
      </c>
      <c r="D2280" t="n">
        <v>7.71257905832727</v>
      </c>
    </row>
    <row r="2281">
      <c r="A2281" t="inlineStr">
        <is>
          <t>Dominica</t>
        </is>
      </c>
      <c r="B2281" t="inlineStr">
        <is>
          <t>DMA</t>
        </is>
      </c>
      <c r="C2281" t="n">
        <v>1981</v>
      </c>
      <c r="D2281" t="n">
        <v>13.2666874934914</v>
      </c>
    </row>
    <row r="2282">
      <c r="A2282" t="inlineStr">
        <is>
          <t>Dominica</t>
        </is>
      </c>
      <c r="B2282" t="inlineStr">
        <is>
          <t>DMA</t>
        </is>
      </c>
      <c r="C2282" t="n">
        <v>1982</v>
      </c>
      <c r="D2282" t="n">
        <v>4.39459409763738</v>
      </c>
    </row>
    <row r="2283">
      <c r="A2283" t="inlineStr">
        <is>
          <t>Dominica</t>
        </is>
      </c>
      <c r="B2283" t="inlineStr">
        <is>
          <t>DMA</t>
        </is>
      </c>
      <c r="C2283" t="n">
        <v>1983</v>
      </c>
      <c r="D2283" t="n">
        <v>4.14795244385732</v>
      </c>
    </row>
    <row r="2284">
      <c r="A2284" t="inlineStr">
        <is>
          <t>Dominica</t>
        </is>
      </c>
      <c r="B2284" t="inlineStr">
        <is>
          <t>DMA</t>
        </is>
      </c>
      <c r="C2284" t="n">
        <v>1984</v>
      </c>
      <c r="D2284" t="n">
        <v>2.2179942499574</v>
      </c>
    </row>
    <row r="2285">
      <c r="A2285" t="inlineStr">
        <is>
          <t>Dominica</t>
        </is>
      </c>
      <c r="B2285" t="inlineStr">
        <is>
          <t>DMA</t>
        </is>
      </c>
      <c r="C2285" t="n">
        <v>1985</v>
      </c>
      <c r="D2285" t="n">
        <v>3.7399799806424</v>
      </c>
    </row>
    <row r="2286">
      <c r="A2286" t="inlineStr">
        <is>
          <t>Dominica</t>
        </is>
      </c>
      <c r="B2286" t="inlineStr">
        <is>
          <t>DMA</t>
        </is>
      </c>
      <c r="C2286" t="n">
        <v>1986</v>
      </c>
      <c r="D2286" t="n">
        <v>2.77423367675706</v>
      </c>
    </row>
    <row r="2287">
      <c r="A2287" t="inlineStr">
        <is>
          <t>Dominica</t>
        </is>
      </c>
      <c r="B2287" t="inlineStr">
        <is>
          <t>DMA</t>
        </is>
      </c>
      <c r="C2287" t="n">
        <v>1987</v>
      </c>
      <c r="D2287" t="n">
        <v>4.02458043341635</v>
      </c>
    </row>
    <row r="2288">
      <c r="A2288" t="inlineStr">
        <is>
          <t>Dominica</t>
        </is>
      </c>
      <c r="B2288" t="inlineStr">
        <is>
          <t>DMA</t>
        </is>
      </c>
      <c r="C2288" t="n">
        <v>1988</v>
      </c>
      <c r="D2288" t="n">
        <v>2.92459163123741</v>
      </c>
    </row>
    <row r="2289">
      <c r="A2289" t="inlineStr">
        <is>
          <t>Dominica</t>
        </is>
      </c>
      <c r="B2289" t="inlineStr">
        <is>
          <t>DMA</t>
        </is>
      </c>
      <c r="C2289" t="n">
        <v>1989</v>
      </c>
      <c r="D2289" t="n">
        <v>6.21852149777859</v>
      </c>
    </row>
    <row r="2290">
      <c r="A2290" t="inlineStr">
        <is>
          <t>Dominica</t>
        </is>
      </c>
      <c r="B2290" t="inlineStr">
        <is>
          <t>DMA</t>
        </is>
      </c>
      <c r="C2290" t="n">
        <v>1990</v>
      </c>
      <c r="D2290" t="n">
        <v>3.19092323226821</v>
      </c>
    </row>
    <row r="2291">
      <c r="A2291" t="inlineStr">
        <is>
          <t>Dominica</t>
        </is>
      </c>
      <c r="B2291" t="inlineStr">
        <is>
          <t>DMA</t>
        </is>
      </c>
      <c r="C2291" t="n">
        <v>1991</v>
      </c>
      <c r="D2291" t="n">
        <v>5.55706153429132</v>
      </c>
    </row>
    <row r="2292">
      <c r="A2292" t="inlineStr">
        <is>
          <t>Dominica</t>
        </is>
      </c>
      <c r="B2292" t="inlineStr">
        <is>
          <t>DMA</t>
        </is>
      </c>
      <c r="C2292" t="n">
        <v>1992</v>
      </c>
      <c r="D2292" t="n">
        <v>5.47182559344178</v>
      </c>
    </row>
    <row r="2293">
      <c r="A2293" t="inlineStr">
        <is>
          <t>Dominica</t>
        </is>
      </c>
      <c r="B2293" t="inlineStr">
        <is>
          <t>DMA</t>
        </is>
      </c>
      <c r="C2293" t="n">
        <v>1993</v>
      </c>
      <c r="D2293" t="n">
        <v>1.56902604224498</v>
      </c>
    </row>
    <row r="2294">
      <c r="A2294" t="inlineStr">
        <is>
          <t>Dominica</t>
        </is>
      </c>
      <c r="B2294" t="inlineStr">
        <is>
          <t>DMA</t>
        </is>
      </c>
      <c r="C2294" t="n">
        <v>1994</v>
      </c>
      <c r="D2294" t="n">
        <v>0.0151367351744227</v>
      </c>
    </row>
    <row r="2295">
      <c r="A2295" t="inlineStr">
        <is>
          <t>Dominica</t>
        </is>
      </c>
      <c r="B2295" t="inlineStr">
        <is>
          <t>DMA</t>
        </is>
      </c>
      <c r="C2295" t="n">
        <v>1995</v>
      </c>
      <c r="D2295" t="n">
        <v>1.3175374577497</v>
      </c>
    </row>
    <row r="2296">
      <c r="A2296" t="inlineStr">
        <is>
          <t>Dominica</t>
        </is>
      </c>
      <c r="B2296" t="inlineStr">
        <is>
          <t>DMA</t>
        </is>
      </c>
      <c r="C2296" t="n">
        <v>1996</v>
      </c>
      <c r="D2296" t="n">
        <v>1.67716450485913</v>
      </c>
    </row>
    <row r="2297">
      <c r="A2297" t="inlineStr">
        <is>
          <t>Dominica</t>
        </is>
      </c>
      <c r="B2297" t="inlineStr">
        <is>
          <t>DMA</t>
        </is>
      </c>
      <c r="C2297" t="n">
        <v>1997</v>
      </c>
      <c r="D2297" t="n">
        <v>2.43629715479674</v>
      </c>
    </row>
    <row r="2298">
      <c r="A2298" t="inlineStr">
        <is>
          <t>Dominica</t>
        </is>
      </c>
      <c r="B2298" t="inlineStr">
        <is>
          <t>DMA</t>
        </is>
      </c>
      <c r="C2298" t="n">
        <v>1998</v>
      </c>
      <c r="D2298" t="n">
        <v>0.999147457910748</v>
      </c>
    </row>
    <row r="2299">
      <c r="A2299" t="inlineStr">
        <is>
          <t>Dominica</t>
        </is>
      </c>
      <c r="B2299" t="inlineStr">
        <is>
          <t>DMA</t>
        </is>
      </c>
      <c r="C2299" t="n">
        <v>1999</v>
      </c>
      <c r="D2299" t="n">
        <v>1.17947787394175</v>
      </c>
    </row>
    <row r="2300">
      <c r="A2300" t="inlineStr">
        <is>
          <t>Dominica</t>
        </is>
      </c>
      <c r="B2300" t="inlineStr">
        <is>
          <t>DMA</t>
        </is>
      </c>
      <c r="C2300" t="n">
        <v>2000</v>
      </c>
      <c r="D2300" t="n">
        <v>0.856946805358483</v>
      </c>
    </row>
    <row r="2301">
      <c r="A2301" t="inlineStr">
        <is>
          <t>Dominica</t>
        </is>
      </c>
      <c r="B2301" t="inlineStr">
        <is>
          <t>DMA</t>
        </is>
      </c>
      <c r="C2301" t="n">
        <v>2001</v>
      </c>
      <c r="D2301" t="n">
        <v>1.3038940346596</v>
      </c>
    </row>
    <row r="2302">
      <c r="A2302" t="inlineStr">
        <is>
          <t>Dominica</t>
        </is>
      </c>
      <c r="B2302" t="inlineStr">
        <is>
          <t>DMA</t>
        </is>
      </c>
      <c r="C2302" t="n">
        <v>2002</v>
      </c>
      <c r="D2302" t="n">
        <v>0.170055330197681</v>
      </c>
    </row>
    <row r="2303">
      <c r="A2303" t="inlineStr">
        <is>
          <t>Dominica</t>
        </is>
      </c>
      <c r="B2303" t="inlineStr">
        <is>
          <t>DMA</t>
        </is>
      </c>
      <c r="C2303" t="n">
        <v>2003</v>
      </c>
      <c r="D2303" t="n">
        <v>1.45336800437251</v>
      </c>
    </row>
    <row r="2304">
      <c r="A2304" t="inlineStr">
        <is>
          <t>Dominica</t>
        </is>
      </c>
      <c r="B2304" t="inlineStr">
        <is>
          <t>DMA</t>
        </is>
      </c>
      <c r="C2304" t="n">
        <v>2004</v>
      </c>
      <c r="D2304" t="n">
        <v>2.39410982050298</v>
      </c>
    </row>
    <row r="2305">
      <c r="A2305" t="inlineStr">
        <is>
          <t>Dominica</t>
        </is>
      </c>
      <c r="B2305" t="inlineStr">
        <is>
          <t>DMA</t>
        </is>
      </c>
      <c r="C2305" t="n">
        <v>2005</v>
      </c>
      <c r="D2305" t="n">
        <v>1.68190079877553</v>
      </c>
    </row>
    <row r="2306">
      <c r="A2306" t="inlineStr">
        <is>
          <t>Dominica</t>
        </is>
      </c>
      <c r="B2306" t="inlineStr">
        <is>
          <t>DMA</t>
        </is>
      </c>
      <c r="C2306" t="n">
        <v>2006</v>
      </c>
      <c r="D2306" t="n">
        <v>2.2023913263167</v>
      </c>
    </row>
    <row r="2307">
      <c r="A2307" t="inlineStr">
        <is>
          <t>Dominica</t>
        </is>
      </c>
      <c r="B2307" t="inlineStr">
        <is>
          <t>DMA</t>
        </is>
      </c>
      <c r="C2307" t="n">
        <v>2007</v>
      </c>
      <c r="D2307" t="n">
        <v>3.63222129317821</v>
      </c>
    </row>
    <row r="2308">
      <c r="A2308" t="inlineStr">
        <is>
          <t>Dominica</t>
        </is>
      </c>
      <c r="B2308" t="inlineStr">
        <is>
          <t>DMA</t>
        </is>
      </c>
      <c r="C2308" t="n">
        <v>2008</v>
      </c>
      <c r="D2308" t="n">
        <v>6.35992183336295</v>
      </c>
    </row>
    <row r="2309">
      <c r="A2309" t="inlineStr">
        <is>
          <t>Dominica</t>
        </is>
      </c>
      <c r="B2309" t="inlineStr">
        <is>
          <t>DMA</t>
        </is>
      </c>
      <c r="C2309" t="n">
        <v>2009</v>
      </c>
      <c r="D2309" t="n">
        <v>0.00626357107066859</v>
      </c>
    </row>
    <row r="2310">
      <c r="A2310" t="inlineStr">
        <is>
          <t>Dominica</t>
        </is>
      </c>
      <c r="B2310" t="inlineStr">
        <is>
          <t>DMA</t>
        </is>
      </c>
      <c r="C2310" t="n">
        <v>2010</v>
      </c>
      <c r="D2310" t="n">
        <v>2.99936630549</v>
      </c>
    </row>
    <row r="2311">
      <c r="A2311" t="inlineStr">
        <is>
          <t>Dominica</t>
        </is>
      </c>
      <c r="B2311" t="inlineStr">
        <is>
          <t>DMA</t>
        </is>
      </c>
      <c r="C2311" t="n">
        <v>2011</v>
      </c>
      <c r="D2311" t="n">
        <v>1.1312313652648</v>
      </c>
    </row>
    <row r="2312">
      <c r="A2312" t="inlineStr">
        <is>
          <t>Dominica</t>
        </is>
      </c>
      <c r="B2312" t="inlineStr">
        <is>
          <t>DMA</t>
        </is>
      </c>
      <c r="C2312" t="n">
        <v>2012</v>
      </c>
      <c r="D2312" t="n">
        <v>1.3567714780886</v>
      </c>
    </row>
    <row r="2313">
      <c r="A2313" t="inlineStr">
        <is>
          <t>Dominica</t>
        </is>
      </c>
      <c r="B2313" t="inlineStr">
        <is>
          <t>DMA</t>
        </is>
      </c>
      <c r="C2313" t="n">
        <v>2013</v>
      </c>
      <c r="D2313" t="n">
        <v>-0.0464116468805992</v>
      </c>
    </row>
    <row r="2314">
      <c r="A2314" t="inlineStr">
        <is>
          <t>Dominica</t>
        </is>
      </c>
      <c r="B2314" t="inlineStr">
        <is>
          <t>DMA</t>
        </is>
      </c>
      <c r="C2314" t="n">
        <v>2014</v>
      </c>
      <c r="D2314" t="n">
        <v>0.799250372687492</v>
      </c>
    </row>
    <row r="2315">
      <c r="A2315" t="inlineStr">
        <is>
          <t>Dominica</t>
        </is>
      </c>
      <c r="B2315" t="inlineStr">
        <is>
          <t>DMA</t>
        </is>
      </c>
      <c r="C2315" t="n">
        <v>2015</v>
      </c>
      <c r="D2315" t="n">
        <v>-0.8438269846383299</v>
      </c>
    </row>
    <row r="2316">
      <c r="A2316" t="inlineStr">
        <is>
          <t>Dominica</t>
        </is>
      </c>
      <c r="B2316" t="inlineStr">
        <is>
          <t>DMA</t>
        </is>
      </c>
      <c r="C2316" t="n">
        <v>2016</v>
      </c>
      <c r="D2316" t="n">
        <v>0.141816225732312</v>
      </c>
    </row>
    <row r="2317">
      <c r="A2317" t="inlineStr">
        <is>
          <t>Dominica</t>
        </is>
      </c>
      <c r="B2317" t="inlineStr">
        <is>
          <t>DMA</t>
        </is>
      </c>
      <c r="C2317" t="n">
        <v>2017</v>
      </c>
      <c r="D2317" t="n">
        <v>0.296252889279487</v>
      </c>
    </row>
    <row r="2318">
      <c r="A2318" t="inlineStr">
        <is>
          <t>Dominica</t>
        </is>
      </c>
      <c r="B2318" t="inlineStr">
        <is>
          <t>DMA</t>
        </is>
      </c>
      <c r="C2318" t="n">
        <v>2018</v>
      </c>
      <c r="D2318" t="n">
        <v>0.98919111918989</v>
      </c>
    </row>
    <row r="2319">
      <c r="A2319" t="inlineStr">
        <is>
          <t>Dominica</t>
        </is>
      </c>
      <c r="B2319" t="inlineStr">
        <is>
          <t>DMA</t>
        </is>
      </c>
      <c r="C2319" t="n">
        <v>2019</v>
      </c>
      <c r="D2319" t="n">
        <v>1.50462353858141</v>
      </c>
    </row>
    <row r="2320">
      <c r="A2320" t="inlineStr">
        <is>
          <t>Dominica</t>
        </is>
      </c>
      <c r="B2320" t="inlineStr">
        <is>
          <t>DMA</t>
        </is>
      </c>
      <c r="C2320" t="n">
        <v>2020</v>
      </c>
      <c r="D2320" t="n">
        <v>-0.727116412668203</v>
      </c>
    </row>
    <row r="2321">
      <c r="A2321" t="inlineStr">
        <is>
          <t>Dominica</t>
        </is>
      </c>
      <c r="B2321" t="inlineStr">
        <is>
          <t>DMA</t>
        </is>
      </c>
      <c r="C2321" t="n">
        <v>2021</v>
      </c>
      <c r="D2321" t="n">
        <v>1.4831944499819</v>
      </c>
    </row>
    <row r="2322">
      <c r="A2322" t="inlineStr">
        <is>
          <t>Dominica</t>
        </is>
      </c>
      <c r="B2322" t="inlineStr">
        <is>
          <t>DMA</t>
        </is>
      </c>
      <c r="C2322" t="n">
        <v>2022</v>
      </c>
      <c r="D2322" t="n">
        <v>7.7806152516404</v>
      </c>
    </row>
    <row r="2323">
      <c r="A2323" t="inlineStr">
        <is>
          <t>Dominica</t>
        </is>
      </c>
      <c r="B2323" t="inlineStr">
        <is>
          <t>DMA</t>
        </is>
      </c>
      <c r="C2323" t="n">
        <v>2023</v>
      </c>
      <c r="D2323" t="n">
        <v>4.22769324983409</v>
      </c>
    </row>
    <row r="2324">
      <c r="A2324" t="inlineStr">
        <is>
          <t>Denmark</t>
        </is>
      </c>
      <c r="B2324" t="inlineStr">
        <is>
          <t>DNK</t>
        </is>
      </c>
      <c r="C2324" t="n">
        <v>1960</v>
      </c>
      <c r="D2324" t="n">
        <v>1.25523012552923</v>
      </c>
    </row>
    <row r="2325">
      <c r="A2325" t="inlineStr">
        <is>
          <t>Denmark</t>
        </is>
      </c>
      <c r="B2325" t="inlineStr">
        <is>
          <t>DNK</t>
        </is>
      </c>
      <c r="C2325" t="n">
        <v>1961</v>
      </c>
      <c r="D2325" t="n">
        <v>3.45162858557827</v>
      </c>
    </row>
    <row r="2326">
      <c r="A2326" t="inlineStr">
        <is>
          <t>Denmark</t>
        </is>
      </c>
      <c r="B2326" t="inlineStr">
        <is>
          <t>DNK</t>
        </is>
      </c>
      <c r="C2326" t="n">
        <v>1962</v>
      </c>
      <c r="D2326" t="n">
        <v>7.37781954818461</v>
      </c>
    </row>
    <row r="2327">
      <c r="A2327" t="inlineStr">
        <is>
          <t>Denmark</t>
        </is>
      </c>
      <c r="B2327" t="inlineStr">
        <is>
          <t>DNK</t>
        </is>
      </c>
      <c r="C2327" t="n">
        <v>1963</v>
      </c>
      <c r="D2327" t="n">
        <v>6.10503282302931</v>
      </c>
    </row>
    <row r="2328">
      <c r="A2328" t="inlineStr">
        <is>
          <t>Denmark</t>
        </is>
      </c>
      <c r="B2328" t="inlineStr">
        <is>
          <t>DNK</t>
        </is>
      </c>
      <c r="C2328" t="n">
        <v>1964</v>
      </c>
      <c r="D2328" t="n">
        <v>3.09278350515449</v>
      </c>
    </row>
    <row r="2329">
      <c r="A2329" t="inlineStr">
        <is>
          <t>Denmark</t>
        </is>
      </c>
      <c r="B2329" t="inlineStr">
        <is>
          <t>DNK</t>
        </is>
      </c>
      <c r="C2329" t="n">
        <v>1965</v>
      </c>
      <c r="D2329" t="n">
        <v>5.44999999925051</v>
      </c>
    </row>
    <row r="2330">
      <c r="A2330" t="inlineStr">
        <is>
          <t>Denmark</t>
        </is>
      </c>
      <c r="B2330" t="inlineStr">
        <is>
          <t>DNK</t>
        </is>
      </c>
      <c r="C2330" t="n">
        <v>1966</v>
      </c>
      <c r="D2330" t="n">
        <v>7.06495969658815</v>
      </c>
    </row>
    <row r="2331">
      <c r="A2331" t="inlineStr">
        <is>
          <t>Denmark</t>
        </is>
      </c>
      <c r="B2331" t="inlineStr">
        <is>
          <t>DNK</t>
        </is>
      </c>
      <c r="C2331" t="n">
        <v>1967</v>
      </c>
      <c r="D2331" t="n">
        <v>8.20785355844014</v>
      </c>
    </row>
    <row r="2332">
      <c r="A2332" t="inlineStr">
        <is>
          <t>Denmark</t>
        </is>
      </c>
      <c r="B2332" t="inlineStr">
        <is>
          <t>DNK</t>
        </is>
      </c>
      <c r="C2332" t="n">
        <v>1968</v>
      </c>
      <c r="D2332" t="n">
        <v>8.00520710366467</v>
      </c>
    </row>
    <row r="2333">
      <c r="A2333" t="inlineStr">
        <is>
          <t>Denmark</t>
        </is>
      </c>
      <c r="B2333" t="inlineStr">
        <is>
          <t>DNK</t>
        </is>
      </c>
      <c r="C2333" t="n">
        <v>1969</v>
      </c>
      <c r="D2333" t="n">
        <v>3.48791924395193</v>
      </c>
    </row>
    <row r="2334">
      <c r="A2334" t="inlineStr">
        <is>
          <t>Denmark</t>
        </is>
      </c>
      <c r="B2334" t="inlineStr">
        <is>
          <t>DNK</t>
        </is>
      </c>
      <c r="C2334" t="n">
        <v>1970</v>
      </c>
      <c r="D2334" t="n">
        <v>6.51484141652981</v>
      </c>
    </row>
    <row r="2335">
      <c r="A2335" t="inlineStr">
        <is>
          <t>Denmark</t>
        </is>
      </c>
      <c r="B2335" t="inlineStr">
        <is>
          <t>DNK</t>
        </is>
      </c>
      <c r="C2335" t="n">
        <v>1971</v>
      </c>
      <c r="D2335" t="n">
        <v>5.8698695907191</v>
      </c>
    </row>
    <row r="2336">
      <c r="A2336" t="inlineStr">
        <is>
          <t>Denmark</t>
        </is>
      </c>
      <c r="B2336" t="inlineStr">
        <is>
          <t>DNK</t>
        </is>
      </c>
      <c r="C2336" t="n">
        <v>1972</v>
      </c>
      <c r="D2336" t="n">
        <v>6.56236090256536</v>
      </c>
    </row>
    <row r="2337">
      <c r="A2337" t="inlineStr">
        <is>
          <t>Denmark</t>
        </is>
      </c>
      <c r="B2337" t="inlineStr">
        <is>
          <t>DNK</t>
        </is>
      </c>
      <c r="C2337" t="n">
        <v>1973</v>
      </c>
      <c r="D2337" t="n">
        <v>9.30338297973673</v>
      </c>
    </row>
    <row r="2338">
      <c r="A2338" t="inlineStr">
        <is>
          <t>Denmark</t>
        </is>
      </c>
      <c r="B2338" t="inlineStr">
        <is>
          <t>DNK</t>
        </is>
      </c>
      <c r="C2338" t="n">
        <v>1974</v>
      </c>
      <c r="D2338" t="n">
        <v>15.2752062218395</v>
      </c>
    </row>
    <row r="2339">
      <c r="A2339" t="inlineStr">
        <is>
          <t>Denmark</t>
        </is>
      </c>
      <c r="B2339" t="inlineStr">
        <is>
          <t>DNK</t>
        </is>
      </c>
      <c r="C2339" t="n">
        <v>1975</v>
      </c>
      <c r="D2339" t="n">
        <v>9.605612075386761</v>
      </c>
    </row>
    <row r="2340">
      <c r="A2340" t="inlineStr">
        <is>
          <t>Denmark</t>
        </is>
      </c>
      <c r="B2340" t="inlineStr">
        <is>
          <t>DNK</t>
        </is>
      </c>
      <c r="C2340" t="n">
        <v>1976</v>
      </c>
      <c r="D2340" t="n">
        <v>9.010290835622239</v>
      </c>
    </row>
    <row r="2341">
      <c r="A2341" t="inlineStr">
        <is>
          <t>Denmark</t>
        </is>
      </c>
      <c r="B2341" t="inlineStr">
        <is>
          <t>DNK</t>
        </is>
      </c>
      <c r="C2341" t="n">
        <v>1977</v>
      </c>
      <c r="D2341" t="n">
        <v>10.9222378100329</v>
      </c>
    </row>
    <row r="2342">
      <c r="A2342" t="inlineStr">
        <is>
          <t>Denmark</t>
        </is>
      </c>
      <c r="B2342" t="inlineStr">
        <is>
          <t>DNK</t>
        </is>
      </c>
      <c r="C2342" t="n">
        <v>1978</v>
      </c>
      <c r="D2342" t="n">
        <v>10.2136545710405</v>
      </c>
    </row>
    <row r="2343">
      <c r="A2343" t="inlineStr">
        <is>
          <t>Denmark</t>
        </is>
      </c>
      <c r="B2343" t="inlineStr">
        <is>
          <t>DNK</t>
        </is>
      </c>
      <c r="C2343" t="n">
        <v>1979</v>
      </c>
      <c r="D2343" t="n">
        <v>9.611050379071219</v>
      </c>
    </row>
    <row r="2344">
      <c r="A2344" t="inlineStr">
        <is>
          <t>Denmark</t>
        </is>
      </c>
      <c r="B2344" t="inlineStr">
        <is>
          <t>DNK</t>
        </is>
      </c>
      <c r="C2344" t="n">
        <v>1980</v>
      </c>
      <c r="D2344" t="n">
        <v>12.3053240760182</v>
      </c>
    </row>
    <row r="2345">
      <c r="A2345" t="inlineStr">
        <is>
          <t>Denmark</t>
        </is>
      </c>
      <c r="B2345" t="inlineStr">
        <is>
          <t>DNK</t>
        </is>
      </c>
      <c r="C2345" t="n">
        <v>1981</v>
      </c>
      <c r="D2345" t="n">
        <v>11.7673874344181</v>
      </c>
    </row>
    <row r="2346">
      <c r="A2346" t="inlineStr">
        <is>
          <t>Denmark</t>
        </is>
      </c>
      <c r="B2346" t="inlineStr">
        <is>
          <t>DNK</t>
        </is>
      </c>
      <c r="C2346" t="n">
        <v>1982</v>
      </c>
      <c r="D2346" t="n">
        <v>10.1208256779823</v>
      </c>
    </row>
    <row r="2347">
      <c r="A2347" t="inlineStr">
        <is>
          <t>Denmark</t>
        </is>
      </c>
      <c r="B2347" t="inlineStr">
        <is>
          <t>DNK</t>
        </is>
      </c>
      <c r="C2347" t="n">
        <v>1983</v>
      </c>
      <c r="D2347" t="n">
        <v>6.90822881158842</v>
      </c>
    </row>
    <row r="2348">
      <c r="A2348" t="inlineStr">
        <is>
          <t>Denmark</t>
        </is>
      </c>
      <c r="B2348" t="inlineStr">
        <is>
          <t>DNK</t>
        </is>
      </c>
      <c r="C2348" t="n">
        <v>1984</v>
      </c>
      <c r="D2348" t="n">
        <v>6.29077936023771</v>
      </c>
    </row>
    <row r="2349">
      <c r="A2349" t="inlineStr">
        <is>
          <t>Denmark</t>
        </is>
      </c>
      <c r="B2349" t="inlineStr">
        <is>
          <t>DNK</t>
        </is>
      </c>
      <c r="C2349" t="n">
        <v>1985</v>
      </c>
      <c r="D2349" t="n">
        <v>4.6787514518325</v>
      </c>
    </row>
    <row r="2350">
      <c r="A2350" t="inlineStr">
        <is>
          <t>Denmark</t>
        </is>
      </c>
      <c r="B2350" t="inlineStr">
        <is>
          <t>DNK</t>
        </is>
      </c>
      <c r="C2350" t="n">
        <v>1986</v>
      </c>
      <c r="D2350" t="n">
        <v>3.67818411863452</v>
      </c>
    </row>
    <row r="2351">
      <c r="A2351" t="inlineStr">
        <is>
          <t>Denmark</t>
        </is>
      </c>
      <c r="B2351" t="inlineStr">
        <is>
          <t>DNK</t>
        </is>
      </c>
      <c r="C2351" t="n">
        <v>1987</v>
      </c>
      <c r="D2351" t="n">
        <v>4.01999345683163</v>
      </c>
    </row>
    <row r="2352">
      <c r="A2352" t="inlineStr">
        <is>
          <t>Denmark</t>
        </is>
      </c>
      <c r="B2352" t="inlineStr">
        <is>
          <t>DNK</t>
        </is>
      </c>
      <c r="C2352" t="n">
        <v>1988</v>
      </c>
      <c r="D2352" t="n">
        <v>4.5351330101572</v>
      </c>
    </row>
    <row r="2353">
      <c r="A2353" t="inlineStr">
        <is>
          <t>Denmark</t>
        </is>
      </c>
      <c r="B2353" t="inlineStr">
        <is>
          <t>DNK</t>
        </is>
      </c>
      <c r="C2353" t="n">
        <v>1989</v>
      </c>
      <c r="D2353" t="n">
        <v>4.77272342435522</v>
      </c>
    </row>
    <row r="2354">
      <c r="A2354" t="inlineStr">
        <is>
          <t>Denmark</t>
        </is>
      </c>
      <c r="B2354" t="inlineStr">
        <is>
          <t>DNK</t>
        </is>
      </c>
      <c r="C2354" t="n">
        <v>1990</v>
      </c>
      <c r="D2354" t="n">
        <v>2.64160306382</v>
      </c>
    </row>
    <row r="2355">
      <c r="A2355" t="inlineStr">
        <is>
          <t>Denmark</t>
        </is>
      </c>
      <c r="B2355" t="inlineStr">
        <is>
          <t>DNK</t>
        </is>
      </c>
      <c r="C2355" t="n">
        <v>1991</v>
      </c>
      <c r="D2355" t="n">
        <v>2.39515331724415</v>
      </c>
    </row>
    <row r="2356">
      <c r="A2356" t="inlineStr">
        <is>
          <t>Denmark</t>
        </is>
      </c>
      <c r="B2356" t="inlineStr">
        <is>
          <t>DNK</t>
        </is>
      </c>
      <c r="C2356" t="n">
        <v>1992</v>
      </c>
      <c r="D2356" t="n">
        <v>2.09604442933217</v>
      </c>
    </row>
    <row r="2357">
      <c r="A2357" t="inlineStr">
        <is>
          <t>Denmark</t>
        </is>
      </c>
      <c r="B2357" t="inlineStr">
        <is>
          <t>DNK</t>
        </is>
      </c>
      <c r="C2357" t="n">
        <v>1993</v>
      </c>
      <c r="D2357" t="n">
        <v>1.25785667953259</v>
      </c>
    </row>
    <row r="2358">
      <c r="A2358" t="inlineStr">
        <is>
          <t>Denmark</t>
        </is>
      </c>
      <c r="B2358" t="inlineStr">
        <is>
          <t>DNK</t>
        </is>
      </c>
      <c r="C2358" t="n">
        <v>1994</v>
      </c>
      <c r="D2358" t="n">
        <v>1.99201463809526</v>
      </c>
    </row>
    <row r="2359">
      <c r="A2359" t="inlineStr">
        <is>
          <t>Denmark</t>
        </is>
      </c>
      <c r="B2359" t="inlineStr">
        <is>
          <t>DNK</t>
        </is>
      </c>
      <c r="C2359" t="n">
        <v>1995</v>
      </c>
      <c r="D2359" t="n">
        <v>2.08360842382846</v>
      </c>
    </row>
    <row r="2360">
      <c r="A2360" t="inlineStr">
        <is>
          <t>Denmark</t>
        </is>
      </c>
      <c r="B2360" t="inlineStr">
        <is>
          <t>DNK</t>
        </is>
      </c>
      <c r="C2360" t="n">
        <v>1996</v>
      </c>
      <c r="D2360" t="n">
        <v>2.12629802275584</v>
      </c>
    </row>
    <row r="2361">
      <c r="A2361" t="inlineStr">
        <is>
          <t>Denmark</t>
        </is>
      </c>
      <c r="B2361" t="inlineStr">
        <is>
          <t>DNK</t>
        </is>
      </c>
      <c r="C2361" t="n">
        <v>1997</v>
      </c>
      <c r="D2361" t="n">
        <v>2.18216677907116</v>
      </c>
    </row>
    <row r="2362">
      <c r="A2362" t="inlineStr">
        <is>
          <t>Denmark</t>
        </is>
      </c>
      <c r="B2362" t="inlineStr">
        <is>
          <t>DNK</t>
        </is>
      </c>
      <c r="C2362" t="n">
        <v>1998</v>
      </c>
      <c r="D2362" t="n">
        <v>1.84565122007889</v>
      </c>
    </row>
    <row r="2363">
      <c r="A2363" t="inlineStr">
        <is>
          <t>Denmark</t>
        </is>
      </c>
      <c r="B2363" t="inlineStr">
        <is>
          <t>DNK</t>
        </is>
      </c>
      <c r="C2363" t="n">
        <v>1999</v>
      </c>
      <c r="D2363" t="n">
        <v>2.4977954440453</v>
      </c>
    </row>
    <row r="2364">
      <c r="A2364" t="inlineStr">
        <is>
          <t>Denmark</t>
        </is>
      </c>
      <c r="B2364" t="inlineStr">
        <is>
          <t>DNK</t>
        </is>
      </c>
      <c r="C2364" t="n">
        <v>2000</v>
      </c>
      <c r="D2364" t="n">
        <v>2.90328203236453</v>
      </c>
    </row>
    <row r="2365">
      <c r="A2365" t="inlineStr">
        <is>
          <t>Denmark</t>
        </is>
      </c>
      <c r="B2365" t="inlineStr">
        <is>
          <t>DNK</t>
        </is>
      </c>
      <c r="C2365" t="n">
        <v>2001</v>
      </c>
      <c r="D2365" t="n">
        <v>2.33787000255262</v>
      </c>
    </row>
    <row r="2366">
      <c r="A2366" t="inlineStr">
        <is>
          <t>Denmark</t>
        </is>
      </c>
      <c r="B2366" t="inlineStr">
        <is>
          <t>DNK</t>
        </is>
      </c>
      <c r="C2366" t="n">
        <v>2002</v>
      </c>
      <c r="D2366" t="n">
        <v>2.42443661219697</v>
      </c>
    </row>
    <row r="2367">
      <c r="A2367" t="inlineStr">
        <is>
          <t>Denmark</t>
        </is>
      </c>
      <c r="B2367" t="inlineStr">
        <is>
          <t>DNK</t>
        </is>
      </c>
      <c r="C2367" t="n">
        <v>2003</v>
      </c>
      <c r="D2367" t="n">
        <v>2.07507820646507</v>
      </c>
    </row>
    <row r="2368">
      <c r="A2368" t="inlineStr">
        <is>
          <t>Denmark</t>
        </is>
      </c>
      <c r="B2368" t="inlineStr">
        <is>
          <t>DNK</t>
        </is>
      </c>
      <c r="C2368" t="n">
        <v>2004</v>
      </c>
      <c r="D2368" t="n">
        <v>1.15435693124932</v>
      </c>
    </row>
    <row r="2369">
      <c r="A2369" t="inlineStr">
        <is>
          <t>Denmark</t>
        </is>
      </c>
      <c r="B2369" t="inlineStr">
        <is>
          <t>DNK</t>
        </is>
      </c>
      <c r="C2369" t="n">
        <v>2005</v>
      </c>
      <c r="D2369" t="n">
        <v>1.81781458291254</v>
      </c>
    </row>
    <row r="2370">
      <c r="A2370" t="inlineStr">
        <is>
          <t>Denmark</t>
        </is>
      </c>
      <c r="B2370" t="inlineStr">
        <is>
          <t>DNK</t>
        </is>
      </c>
      <c r="C2370" t="n">
        <v>2006</v>
      </c>
      <c r="D2370" t="n">
        <v>1.92422138464594</v>
      </c>
    </row>
    <row r="2371">
      <c r="A2371" t="inlineStr">
        <is>
          <t>Denmark</t>
        </is>
      </c>
      <c r="B2371" t="inlineStr">
        <is>
          <t>DNK</t>
        </is>
      </c>
      <c r="C2371" t="n">
        <v>2007</v>
      </c>
      <c r="D2371" t="n">
        <v>1.69326586220315</v>
      </c>
    </row>
    <row r="2372">
      <c r="A2372" t="inlineStr">
        <is>
          <t>Denmark</t>
        </is>
      </c>
      <c r="B2372" t="inlineStr">
        <is>
          <t>DNK</t>
        </is>
      </c>
      <c r="C2372" t="n">
        <v>2008</v>
      </c>
      <c r="D2372" t="n">
        <v>3.41626794258373</v>
      </c>
    </row>
    <row r="2373">
      <c r="A2373" t="inlineStr">
        <is>
          <t>Denmark</t>
        </is>
      </c>
      <c r="B2373" t="inlineStr">
        <is>
          <t>DNK</t>
        </is>
      </c>
      <c r="C2373" t="n">
        <v>2009</v>
      </c>
      <c r="D2373" t="n">
        <v>1.30470991024337</v>
      </c>
    </row>
    <row r="2374">
      <c r="A2374" t="inlineStr">
        <is>
          <t>Denmark</t>
        </is>
      </c>
      <c r="B2374" t="inlineStr">
        <is>
          <t>DNK</t>
        </is>
      </c>
      <c r="C2374" t="n">
        <v>2010</v>
      </c>
      <c r="D2374" t="n">
        <v>2.31092436974789</v>
      </c>
    </row>
    <row r="2375">
      <c r="A2375" t="inlineStr">
        <is>
          <t>Denmark</t>
        </is>
      </c>
      <c r="B2375" t="inlineStr">
        <is>
          <t>DNK</t>
        </is>
      </c>
      <c r="C2375" t="n">
        <v>2011</v>
      </c>
      <c r="D2375" t="n">
        <v>2.7586822605125</v>
      </c>
    </row>
    <row r="2376">
      <c r="A2376" t="inlineStr">
        <is>
          <t>Denmark</t>
        </is>
      </c>
      <c r="B2376" t="inlineStr">
        <is>
          <t>DNK</t>
        </is>
      </c>
      <c r="C2376" t="n">
        <v>2012</v>
      </c>
      <c r="D2376" t="n">
        <v>2.3979148566464</v>
      </c>
    </row>
    <row r="2377">
      <c r="A2377" t="inlineStr">
        <is>
          <t>Denmark</t>
        </is>
      </c>
      <c r="B2377" t="inlineStr">
        <is>
          <t>DNK</t>
        </is>
      </c>
      <c r="C2377" t="n">
        <v>2013</v>
      </c>
      <c r="D2377" t="n">
        <v>0.789071780078062</v>
      </c>
    </row>
    <row r="2378">
      <c r="A2378" t="inlineStr">
        <is>
          <t>Denmark</t>
        </is>
      </c>
      <c r="B2378" t="inlineStr">
        <is>
          <t>DNK</t>
        </is>
      </c>
      <c r="C2378" t="n">
        <v>2014</v>
      </c>
      <c r="D2378" t="n">
        <v>0.56402054044954</v>
      </c>
    </row>
    <row r="2379">
      <c r="A2379" t="inlineStr">
        <is>
          <t>Denmark</t>
        </is>
      </c>
      <c r="B2379" t="inlineStr">
        <is>
          <t>DNK</t>
        </is>
      </c>
      <c r="C2379" t="n">
        <v>2015</v>
      </c>
      <c r="D2379" t="n">
        <v>0.452034153691575</v>
      </c>
    </row>
    <row r="2380">
      <c r="A2380" t="inlineStr">
        <is>
          <t>Denmark</t>
        </is>
      </c>
      <c r="B2380" t="inlineStr">
        <is>
          <t>DNK</t>
        </is>
      </c>
      <c r="C2380" t="n">
        <v>2016</v>
      </c>
      <c r="D2380" t="n">
        <v>0.250000000000031</v>
      </c>
    </row>
    <row r="2381">
      <c r="A2381" t="inlineStr">
        <is>
          <t>Denmark</t>
        </is>
      </c>
      <c r="B2381" t="inlineStr">
        <is>
          <t>DNK</t>
        </is>
      </c>
      <c r="C2381" t="n">
        <v>2017</v>
      </c>
      <c r="D2381" t="n">
        <v>1.14713216957602</v>
      </c>
    </row>
    <row r="2382">
      <c r="A2382" t="inlineStr">
        <is>
          <t>Denmark</t>
        </is>
      </c>
      <c r="B2382" t="inlineStr">
        <is>
          <t>DNK</t>
        </is>
      </c>
      <c r="C2382" t="n">
        <v>2018</v>
      </c>
      <c r="D2382" t="n">
        <v>0.813609467455631</v>
      </c>
    </row>
    <row r="2383">
      <c r="A2383" t="inlineStr">
        <is>
          <t>Denmark</t>
        </is>
      </c>
      <c r="B2383" t="inlineStr">
        <is>
          <t>DNK</t>
        </is>
      </c>
      <c r="C2383" t="n">
        <v>2019</v>
      </c>
      <c r="D2383" t="n">
        <v>0.75813157251162</v>
      </c>
    </row>
    <row r="2384">
      <c r="A2384" t="inlineStr">
        <is>
          <t>Denmark</t>
        </is>
      </c>
      <c r="B2384" t="inlineStr">
        <is>
          <t>DNK</t>
        </is>
      </c>
      <c r="C2384" t="n">
        <v>2020</v>
      </c>
      <c r="D2384" t="n">
        <v>0.420711974110115</v>
      </c>
    </row>
    <row r="2385">
      <c r="A2385" t="inlineStr">
        <is>
          <t>Denmark</t>
        </is>
      </c>
      <c r="B2385" t="inlineStr">
        <is>
          <t>DNK</t>
        </is>
      </c>
      <c r="C2385" t="n">
        <v>2021</v>
      </c>
      <c r="D2385" t="n">
        <v>1.8530454398968</v>
      </c>
    </row>
    <row r="2386">
      <c r="A2386" t="inlineStr">
        <is>
          <t>Denmark</t>
        </is>
      </c>
      <c r="B2386" t="inlineStr">
        <is>
          <t>DNK</t>
        </is>
      </c>
      <c r="C2386" t="n">
        <v>2022</v>
      </c>
      <c r="D2386" t="n">
        <v>7.6965669988926</v>
      </c>
    </row>
    <row r="2387">
      <c r="A2387" t="inlineStr">
        <is>
          <t>Denmark</t>
        </is>
      </c>
      <c r="B2387" t="inlineStr">
        <is>
          <t>DNK</t>
        </is>
      </c>
      <c r="C2387" t="n">
        <v>2023</v>
      </c>
      <c r="D2387" t="n">
        <v>3.30517811237606</v>
      </c>
    </row>
    <row r="2388">
      <c r="A2388" t="inlineStr">
        <is>
          <t>Denmark</t>
        </is>
      </c>
      <c r="B2388" t="inlineStr">
        <is>
          <t>DNK</t>
        </is>
      </c>
      <c r="C2388" t="n">
        <v>2024</v>
      </c>
      <c r="D2388" t="n">
        <v>1.37220049768918</v>
      </c>
    </row>
    <row r="2389">
      <c r="A2389" t="inlineStr">
        <is>
          <t>Dominican Republic</t>
        </is>
      </c>
      <c r="B2389" t="inlineStr">
        <is>
          <t>DOM</t>
        </is>
      </c>
      <c r="C2389" t="n">
        <v>1960</v>
      </c>
      <c r="D2389" t="n">
        <v>-3.56219179976055</v>
      </c>
    </row>
    <row r="2390">
      <c r="A2390" t="inlineStr">
        <is>
          <t>Dominican Republic</t>
        </is>
      </c>
      <c r="B2390" t="inlineStr">
        <is>
          <t>DOM</t>
        </is>
      </c>
      <c r="C2390" t="n">
        <v>1961</v>
      </c>
      <c r="D2390" t="n">
        <v>-3.90000000099988</v>
      </c>
    </row>
    <row r="2391">
      <c r="A2391" t="inlineStr">
        <is>
          <t>Dominican Republic</t>
        </is>
      </c>
      <c r="B2391" t="inlineStr">
        <is>
          <t>DOM</t>
        </is>
      </c>
      <c r="C2391" t="n">
        <v>1962</v>
      </c>
      <c r="D2391" t="n">
        <v>9.157127991770659</v>
      </c>
    </row>
    <row r="2392">
      <c r="A2392" t="inlineStr">
        <is>
          <t>Dominican Republic</t>
        </is>
      </c>
      <c r="B2392" t="inlineStr">
        <is>
          <t>DOM</t>
        </is>
      </c>
      <c r="C2392" t="n">
        <v>1963</v>
      </c>
      <c r="D2392" t="n">
        <v>8.579599618766229</v>
      </c>
    </row>
    <row r="2393">
      <c r="A2393" t="inlineStr">
        <is>
          <t>Dominican Republic</t>
        </is>
      </c>
      <c r="B2393" t="inlineStr">
        <is>
          <t>DOM</t>
        </is>
      </c>
      <c r="C2393" t="n">
        <v>1964</v>
      </c>
      <c r="D2393" t="n">
        <v>2.10711150133545</v>
      </c>
    </row>
    <row r="2394">
      <c r="A2394" t="inlineStr">
        <is>
          <t>Dominican Republic</t>
        </is>
      </c>
      <c r="B2394" t="inlineStr">
        <is>
          <t>DOM</t>
        </is>
      </c>
      <c r="C2394" t="n">
        <v>1965</v>
      </c>
      <c r="D2394" t="n">
        <v>-1.8916595013061</v>
      </c>
    </row>
    <row r="2395">
      <c r="A2395" t="inlineStr">
        <is>
          <t>Dominican Republic</t>
        </is>
      </c>
      <c r="B2395" t="inlineStr">
        <is>
          <t>DOM</t>
        </is>
      </c>
      <c r="C2395" t="n">
        <v>1966</v>
      </c>
      <c r="D2395" t="n">
        <v>0.262927256794539</v>
      </c>
    </row>
    <row r="2396">
      <c r="A2396" t="inlineStr">
        <is>
          <t>Dominican Republic</t>
        </is>
      </c>
      <c r="B2396" t="inlineStr">
        <is>
          <t>DOM</t>
        </is>
      </c>
      <c r="C2396" t="n">
        <v>1967</v>
      </c>
      <c r="D2396" t="n">
        <v>1.23834498871987</v>
      </c>
    </row>
    <row r="2397">
      <c r="A2397" t="inlineStr">
        <is>
          <t>Dominican Republic</t>
        </is>
      </c>
      <c r="B2397" t="inlineStr">
        <is>
          <t>DOM</t>
        </is>
      </c>
      <c r="C2397" t="n">
        <v>1968</v>
      </c>
      <c r="D2397" t="n">
        <v>0.0359763993382312</v>
      </c>
    </row>
    <row r="2398">
      <c r="A2398" t="inlineStr">
        <is>
          <t>Dominican Republic</t>
        </is>
      </c>
      <c r="B2398" t="inlineStr">
        <is>
          <t>DOM</t>
        </is>
      </c>
      <c r="C2398" t="n">
        <v>1969</v>
      </c>
      <c r="D2398" t="n">
        <v>0.956628066179126</v>
      </c>
    </row>
    <row r="2399">
      <c r="A2399" t="inlineStr">
        <is>
          <t>Dominican Republic</t>
        </is>
      </c>
      <c r="B2399" t="inlineStr">
        <is>
          <t>DOM</t>
        </is>
      </c>
      <c r="C2399" t="n">
        <v>1970</v>
      </c>
      <c r="D2399" t="n">
        <v>3.81666666641709</v>
      </c>
    </row>
    <row r="2400">
      <c r="A2400" t="inlineStr">
        <is>
          <t>Dominican Republic</t>
        </is>
      </c>
      <c r="B2400" t="inlineStr">
        <is>
          <t>DOM</t>
        </is>
      </c>
      <c r="C2400" t="n">
        <v>1971</v>
      </c>
      <c r="D2400" t="n">
        <v>3.58002889678131</v>
      </c>
    </row>
    <row r="2401">
      <c r="A2401" t="inlineStr">
        <is>
          <t>Dominican Republic</t>
        </is>
      </c>
      <c r="B2401" t="inlineStr">
        <is>
          <t>DOM</t>
        </is>
      </c>
      <c r="C2401" t="n">
        <v>1972</v>
      </c>
      <c r="D2401" t="n">
        <v>8.640731556075741</v>
      </c>
    </row>
    <row r="2402">
      <c r="A2402" t="inlineStr">
        <is>
          <t>Dominican Republic</t>
        </is>
      </c>
      <c r="B2402" t="inlineStr">
        <is>
          <t>DOM</t>
        </is>
      </c>
      <c r="C2402" t="n">
        <v>1973</v>
      </c>
      <c r="D2402" t="n">
        <v>15.0795349169139</v>
      </c>
    </row>
    <row r="2403">
      <c r="A2403" t="inlineStr">
        <is>
          <t>Dominican Republic</t>
        </is>
      </c>
      <c r="B2403" t="inlineStr">
        <is>
          <t>DOM</t>
        </is>
      </c>
      <c r="C2403" t="n">
        <v>1974</v>
      </c>
      <c r="D2403" t="n">
        <v>13.1407673714854</v>
      </c>
    </row>
    <row r="2404">
      <c r="A2404" t="inlineStr">
        <is>
          <t>Dominican Republic</t>
        </is>
      </c>
      <c r="B2404" t="inlineStr">
        <is>
          <t>DOM</t>
        </is>
      </c>
      <c r="C2404" t="n">
        <v>1975</v>
      </c>
      <c r="D2404" t="n">
        <v>14.5017257437616</v>
      </c>
    </row>
    <row r="2405">
      <c r="A2405" t="inlineStr">
        <is>
          <t>Dominican Republic</t>
        </is>
      </c>
      <c r="B2405" t="inlineStr">
        <is>
          <t>DOM</t>
        </is>
      </c>
      <c r="C2405" t="n">
        <v>1976</v>
      </c>
      <c r="D2405" t="n">
        <v>7.76555023925677</v>
      </c>
    </row>
    <row r="2406">
      <c r="A2406" t="inlineStr">
        <is>
          <t>Dominican Republic</t>
        </is>
      </c>
      <c r="B2406" t="inlineStr">
        <is>
          <t>DOM</t>
        </is>
      </c>
      <c r="C2406" t="n">
        <v>1977</v>
      </c>
      <c r="D2406" t="n">
        <v>12.8535275054287</v>
      </c>
    </row>
    <row r="2407">
      <c r="A2407" t="inlineStr">
        <is>
          <t>Dominican Republic</t>
        </is>
      </c>
      <c r="B2407" t="inlineStr">
        <is>
          <t>DOM</t>
        </is>
      </c>
      <c r="C2407" t="n">
        <v>1978</v>
      </c>
      <c r="D2407" t="n">
        <v>3.47785034212178</v>
      </c>
    </row>
    <row r="2408">
      <c r="A2408" t="inlineStr">
        <is>
          <t>Dominican Republic</t>
        </is>
      </c>
      <c r="B2408" t="inlineStr">
        <is>
          <t>DOM</t>
        </is>
      </c>
      <c r="C2408" t="n">
        <v>1979</v>
      </c>
      <c r="D2408" t="n">
        <v>9.17380513351446</v>
      </c>
    </row>
    <row r="2409">
      <c r="A2409" t="inlineStr">
        <is>
          <t>Dominican Republic</t>
        </is>
      </c>
      <c r="B2409" t="inlineStr">
        <is>
          <t>DOM</t>
        </is>
      </c>
      <c r="C2409" t="n">
        <v>1980</v>
      </c>
      <c r="D2409" t="n">
        <v>16.7531356897102</v>
      </c>
    </row>
    <row r="2410">
      <c r="A2410" t="inlineStr">
        <is>
          <t>Dominican Republic</t>
        </is>
      </c>
      <c r="B2410" t="inlineStr">
        <is>
          <t>DOM</t>
        </is>
      </c>
      <c r="C2410" t="n">
        <v>1981</v>
      </c>
      <c r="D2410" t="n">
        <v>7.51463890696157</v>
      </c>
    </row>
    <row r="2411">
      <c r="A2411" t="inlineStr">
        <is>
          <t>Dominican Republic</t>
        </is>
      </c>
      <c r="B2411" t="inlineStr">
        <is>
          <t>DOM</t>
        </is>
      </c>
      <c r="C2411" t="n">
        <v>1982</v>
      </c>
      <c r="D2411" t="n">
        <v>7.64624306606148</v>
      </c>
    </row>
    <row r="2412">
      <c r="A2412" t="inlineStr">
        <is>
          <t>Dominican Republic</t>
        </is>
      </c>
      <c r="B2412" t="inlineStr">
        <is>
          <t>DOM</t>
        </is>
      </c>
      <c r="C2412" t="n">
        <v>1983</v>
      </c>
      <c r="D2412" t="n">
        <v>5.62862329448988</v>
      </c>
    </row>
    <row r="2413">
      <c r="A2413" t="inlineStr">
        <is>
          <t>Dominican Republic</t>
        </is>
      </c>
      <c r="B2413" t="inlineStr">
        <is>
          <t>DOM</t>
        </is>
      </c>
      <c r="C2413" t="n">
        <v>1984</v>
      </c>
      <c r="D2413" t="n">
        <v>20.1516781053536</v>
      </c>
    </row>
    <row r="2414">
      <c r="A2414" t="inlineStr">
        <is>
          <t>Dominican Republic</t>
        </is>
      </c>
      <c r="B2414" t="inlineStr">
        <is>
          <t>DOM</t>
        </is>
      </c>
      <c r="C2414" t="n">
        <v>1985</v>
      </c>
      <c r="D2414" t="n">
        <v>45.3361755532178</v>
      </c>
    </row>
    <row r="2415">
      <c r="A2415" t="inlineStr">
        <is>
          <t>Dominican Republic</t>
        </is>
      </c>
      <c r="B2415" t="inlineStr">
        <is>
          <t>DOM</t>
        </is>
      </c>
      <c r="C2415" t="n">
        <v>1986</v>
      </c>
      <c r="D2415" t="n">
        <v>7.6389726657993</v>
      </c>
    </row>
    <row r="2416">
      <c r="A2416" t="inlineStr">
        <is>
          <t>Dominican Republic</t>
        </is>
      </c>
      <c r="B2416" t="inlineStr">
        <is>
          <t>DOM</t>
        </is>
      </c>
      <c r="C2416" t="n">
        <v>1987</v>
      </c>
      <c r="D2416" t="n">
        <v>13.5507237827822</v>
      </c>
    </row>
    <row r="2417">
      <c r="A2417" t="inlineStr">
        <is>
          <t>Dominican Republic</t>
        </is>
      </c>
      <c r="B2417" t="inlineStr">
        <is>
          <t>DOM</t>
        </is>
      </c>
      <c r="C2417" t="n">
        <v>1988</v>
      </c>
      <c r="D2417" t="n">
        <v>43.8638323515053</v>
      </c>
    </row>
    <row r="2418">
      <c r="A2418" t="inlineStr">
        <is>
          <t>Dominican Republic</t>
        </is>
      </c>
      <c r="B2418" t="inlineStr">
        <is>
          <t>DOM</t>
        </is>
      </c>
      <c r="C2418" t="n">
        <v>1989</v>
      </c>
      <c r="D2418" t="n">
        <v>40.6579161175005</v>
      </c>
    </row>
    <row r="2419">
      <c r="A2419" t="inlineStr">
        <is>
          <t>Dominican Republic</t>
        </is>
      </c>
      <c r="B2419" t="inlineStr">
        <is>
          <t>DOM</t>
        </is>
      </c>
      <c r="C2419" t="n">
        <v>1990</v>
      </c>
      <c r="D2419" t="n">
        <v>50.4624792378524</v>
      </c>
    </row>
    <row r="2420">
      <c r="A2420" t="inlineStr">
        <is>
          <t>Dominican Republic</t>
        </is>
      </c>
      <c r="B2420" t="inlineStr">
        <is>
          <t>DOM</t>
        </is>
      </c>
      <c r="C2420" t="n">
        <v>1991</v>
      </c>
      <c r="D2420" t="n">
        <v>47.079157410536</v>
      </c>
    </row>
    <row r="2421">
      <c r="A2421" t="inlineStr">
        <is>
          <t>Dominican Republic</t>
        </is>
      </c>
      <c r="B2421" t="inlineStr">
        <is>
          <t>DOM</t>
        </is>
      </c>
      <c r="C2421" t="n">
        <v>1992</v>
      </c>
      <c r="D2421" t="n">
        <v>4.25902638893392</v>
      </c>
    </row>
    <row r="2422">
      <c r="A2422" t="inlineStr">
        <is>
          <t>Dominican Republic</t>
        </is>
      </c>
      <c r="B2422" t="inlineStr">
        <is>
          <t>DOM</t>
        </is>
      </c>
      <c r="C2422" t="n">
        <v>1993</v>
      </c>
      <c r="D2422" t="n">
        <v>5.25033880690971</v>
      </c>
    </row>
    <row r="2423">
      <c r="A2423" t="inlineStr">
        <is>
          <t>Dominican Republic</t>
        </is>
      </c>
      <c r="B2423" t="inlineStr">
        <is>
          <t>DOM</t>
        </is>
      </c>
      <c r="C2423" t="n">
        <v>1994</v>
      </c>
      <c r="D2423" t="n">
        <v>8.26076798575834</v>
      </c>
    </row>
    <row r="2424">
      <c r="A2424" t="inlineStr">
        <is>
          <t>Dominican Republic</t>
        </is>
      </c>
      <c r="B2424" t="inlineStr">
        <is>
          <t>DOM</t>
        </is>
      </c>
      <c r="C2424" t="n">
        <v>1995</v>
      </c>
      <c r="D2424" t="n">
        <v>12.5359594558963</v>
      </c>
    </row>
    <row r="2425">
      <c r="A2425" t="inlineStr">
        <is>
          <t>Dominican Republic</t>
        </is>
      </c>
      <c r="B2425" t="inlineStr">
        <is>
          <t>DOM</t>
        </is>
      </c>
      <c r="C2425" t="n">
        <v>1996</v>
      </c>
      <c r="D2425" t="n">
        <v>5.39929385038922</v>
      </c>
    </row>
    <row r="2426">
      <c r="A2426" t="inlineStr">
        <is>
          <t>Dominican Republic</t>
        </is>
      </c>
      <c r="B2426" t="inlineStr">
        <is>
          <t>DOM</t>
        </is>
      </c>
      <c r="C2426" t="n">
        <v>1997</v>
      </c>
      <c r="D2426" t="n">
        <v>8.296567547920461</v>
      </c>
    </row>
    <row r="2427">
      <c r="A2427" t="inlineStr">
        <is>
          <t>Dominican Republic</t>
        </is>
      </c>
      <c r="B2427" t="inlineStr">
        <is>
          <t>DOM</t>
        </is>
      </c>
      <c r="C2427" t="n">
        <v>1998</v>
      </c>
      <c r="D2427" t="n">
        <v>4.83166558591895</v>
      </c>
    </row>
    <row r="2428">
      <c r="A2428" t="inlineStr">
        <is>
          <t>Dominican Republic</t>
        </is>
      </c>
      <c r="B2428" t="inlineStr">
        <is>
          <t>DOM</t>
        </is>
      </c>
      <c r="C2428" t="n">
        <v>1999</v>
      </c>
      <c r="D2428" t="n">
        <v>6.47054186846928</v>
      </c>
    </row>
    <row r="2429">
      <c r="A2429" t="inlineStr">
        <is>
          <t>Dominican Republic</t>
        </is>
      </c>
      <c r="B2429" t="inlineStr">
        <is>
          <t>DOM</t>
        </is>
      </c>
      <c r="C2429" t="n">
        <v>2000</v>
      </c>
      <c r="D2429" t="n">
        <v>7.72413566181616</v>
      </c>
    </row>
    <row r="2430">
      <c r="A2430" t="inlineStr">
        <is>
          <t>Dominican Republic</t>
        </is>
      </c>
      <c r="B2430" t="inlineStr">
        <is>
          <t>DOM</t>
        </is>
      </c>
      <c r="C2430" t="n">
        <v>2001</v>
      </c>
      <c r="D2430" t="n">
        <v>8.883068488129609</v>
      </c>
    </row>
    <row r="2431">
      <c r="A2431" t="inlineStr">
        <is>
          <t>Dominican Republic</t>
        </is>
      </c>
      <c r="B2431" t="inlineStr">
        <is>
          <t>DOM</t>
        </is>
      </c>
      <c r="C2431" t="n">
        <v>2002</v>
      </c>
      <c r="D2431" t="n">
        <v>5.22336769759447</v>
      </c>
    </row>
    <row r="2432">
      <c r="A2432" t="inlineStr">
        <is>
          <t>Dominican Republic</t>
        </is>
      </c>
      <c r="B2432" t="inlineStr">
        <is>
          <t>DOM</t>
        </is>
      </c>
      <c r="C2432" t="n">
        <v>2003</v>
      </c>
      <c r="D2432" t="n">
        <v>27.4497127394395</v>
      </c>
    </row>
    <row r="2433">
      <c r="A2433" t="inlineStr">
        <is>
          <t>Dominican Republic</t>
        </is>
      </c>
      <c r="B2433" t="inlineStr">
        <is>
          <t>DOM</t>
        </is>
      </c>
      <c r="C2433" t="n">
        <v>2004</v>
      </c>
      <c r="D2433" t="n">
        <v>51.4608598338065</v>
      </c>
    </row>
    <row r="2434">
      <c r="A2434" t="inlineStr">
        <is>
          <t>Dominican Republic</t>
        </is>
      </c>
      <c r="B2434" t="inlineStr">
        <is>
          <t>DOM</t>
        </is>
      </c>
      <c r="C2434" t="n">
        <v>2005</v>
      </c>
      <c r="D2434" t="n">
        <v>4.19020260472056</v>
      </c>
    </row>
    <row r="2435">
      <c r="A2435" t="inlineStr">
        <is>
          <t>Dominican Republic</t>
        </is>
      </c>
      <c r="B2435" t="inlineStr">
        <is>
          <t>DOM</t>
        </is>
      </c>
      <c r="C2435" t="n">
        <v>2006</v>
      </c>
      <c r="D2435" t="n">
        <v>7.57280523853074</v>
      </c>
    </row>
    <row r="2436">
      <c r="A2436" t="inlineStr">
        <is>
          <t>Dominican Republic</t>
        </is>
      </c>
      <c r="B2436" t="inlineStr">
        <is>
          <t>DOM</t>
        </is>
      </c>
      <c r="C2436" t="n">
        <v>2007</v>
      </c>
      <c r="D2436" t="n">
        <v>6.14356655248047</v>
      </c>
    </row>
    <row r="2437">
      <c r="A2437" t="inlineStr">
        <is>
          <t>Dominican Republic</t>
        </is>
      </c>
      <c r="B2437" t="inlineStr">
        <is>
          <t>DOM</t>
        </is>
      </c>
      <c r="C2437" t="n">
        <v>2008</v>
      </c>
      <c r="D2437" t="n">
        <v>10.6446210953712</v>
      </c>
    </row>
    <row r="2438">
      <c r="A2438" t="inlineStr">
        <is>
          <t>Dominican Republic</t>
        </is>
      </c>
      <c r="B2438" t="inlineStr">
        <is>
          <t>DOM</t>
        </is>
      </c>
      <c r="C2438" t="n">
        <v>2009</v>
      </c>
      <c r="D2438" t="n">
        <v>1.44215131834353</v>
      </c>
    </row>
    <row r="2439">
      <c r="A2439" t="inlineStr">
        <is>
          <t>Dominican Republic</t>
        </is>
      </c>
      <c r="B2439" t="inlineStr">
        <is>
          <t>DOM</t>
        </is>
      </c>
      <c r="C2439" t="n">
        <v>2010</v>
      </c>
      <c r="D2439" t="n">
        <v>6.32993220146146</v>
      </c>
    </row>
    <row r="2440">
      <c r="A2440" t="inlineStr">
        <is>
          <t>Dominican Republic</t>
        </is>
      </c>
      <c r="B2440" t="inlineStr">
        <is>
          <t>DOM</t>
        </is>
      </c>
      <c r="C2440" t="n">
        <v>2011</v>
      </c>
      <c r="D2440" t="n">
        <v>5.79676809206533</v>
      </c>
    </row>
    <row r="2441">
      <c r="A2441" t="inlineStr">
        <is>
          <t>Dominican Republic</t>
        </is>
      </c>
      <c r="B2441" t="inlineStr">
        <is>
          <t>DOM</t>
        </is>
      </c>
      <c r="C2441" t="n">
        <v>2012</v>
      </c>
      <c r="D2441" t="n">
        <v>3.69449707884777</v>
      </c>
    </row>
    <row r="2442">
      <c r="A2442" t="inlineStr">
        <is>
          <t>Dominican Republic</t>
        </is>
      </c>
      <c r="B2442" t="inlineStr">
        <is>
          <t>DOM</t>
        </is>
      </c>
      <c r="C2442" t="n">
        <v>2013</v>
      </c>
      <c r="D2442" t="n">
        <v>4.830950967408</v>
      </c>
    </row>
    <row r="2443">
      <c r="A2443" t="inlineStr">
        <is>
          <t>Dominican Republic</t>
        </is>
      </c>
      <c r="B2443" t="inlineStr">
        <is>
          <t>DOM</t>
        </is>
      </c>
      <c r="C2443" t="n">
        <v>2014</v>
      </c>
      <c r="D2443" t="n">
        <v>2.99864226125219</v>
      </c>
    </row>
    <row r="2444">
      <c r="A2444" t="inlineStr">
        <is>
          <t>Dominican Republic</t>
        </is>
      </c>
      <c r="B2444" t="inlineStr">
        <is>
          <t>DOM</t>
        </is>
      </c>
      <c r="C2444" t="n">
        <v>2015</v>
      </c>
      <c r="D2444" t="n">
        <v>0.8367463467245571</v>
      </c>
    </row>
    <row r="2445">
      <c r="A2445" t="inlineStr">
        <is>
          <t>Dominican Republic</t>
        </is>
      </c>
      <c r="B2445" t="inlineStr">
        <is>
          <t>DOM</t>
        </is>
      </c>
      <c r="C2445" t="n">
        <v>2016</v>
      </c>
      <c r="D2445" t="n">
        <v>1.61416607245223</v>
      </c>
    </row>
    <row r="2446">
      <c r="A2446" t="inlineStr">
        <is>
          <t>Dominican Republic</t>
        </is>
      </c>
      <c r="B2446" t="inlineStr">
        <is>
          <t>DOM</t>
        </is>
      </c>
      <c r="C2446" t="n">
        <v>2017</v>
      </c>
      <c r="D2446" t="n">
        <v>3.27955694678546</v>
      </c>
    </row>
    <row r="2447">
      <c r="A2447" t="inlineStr">
        <is>
          <t>Dominican Republic</t>
        </is>
      </c>
      <c r="B2447" t="inlineStr">
        <is>
          <t>DOM</t>
        </is>
      </c>
      <c r="C2447" t="n">
        <v>2018</v>
      </c>
      <c r="D2447" t="n">
        <v>3.56443426013508</v>
      </c>
    </row>
    <row r="2448">
      <c r="A2448" t="inlineStr">
        <is>
          <t>Dominican Republic</t>
        </is>
      </c>
      <c r="B2448" t="inlineStr">
        <is>
          <t>DOM</t>
        </is>
      </c>
      <c r="C2448" t="n">
        <v>2019</v>
      </c>
      <c r="D2448" t="n">
        <v>1.81060377042959</v>
      </c>
    </row>
    <row r="2449">
      <c r="A2449" t="inlineStr">
        <is>
          <t>Dominican Republic</t>
        </is>
      </c>
      <c r="B2449" t="inlineStr">
        <is>
          <t>DOM</t>
        </is>
      </c>
      <c r="C2449" t="n">
        <v>2020</v>
      </c>
      <c r="D2449" t="n">
        <v>3.78103179915517</v>
      </c>
    </row>
    <row r="2450">
      <c r="A2450" t="inlineStr">
        <is>
          <t>Dominican Republic</t>
        </is>
      </c>
      <c r="B2450" t="inlineStr">
        <is>
          <t>DOM</t>
        </is>
      </c>
      <c r="C2450" t="n">
        <v>2021</v>
      </c>
      <c r="D2450" t="n">
        <v>8.243003479818089</v>
      </c>
    </row>
    <row r="2451">
      <c r="A2451" t="inlineStr">
        <is>
          <t>Dominican Republic</t>
        </is>
      </c>
      <c r="B2451" t="inlineStr">
        <is>
          <t>DOM</t>
        </is>
      </c>
      <c r="C2451" t="n">
        <v>2022</v>
      </c>
      <c r="D2451" t="n">
        <v>8.811092092795869</v>
      </c>
    </row>
    <row r="2452">
      <c r="A2452" t="inlineStr">
        <is>
          <t>Dominican Republic</t>
        </is>
      </c>
      <c r="B2452" t="inlineStr">
        <is>
          <t>DOM</t>
        </is>
      </c>
      <c r="C2452" t="n">
        <v>2023</v>
      </c>
      <c r="D2452" t="n">
        <v>4.78561281021135</v>
      </c>
    </row>
    <row r="2453">
      <c r="A2453" t="inlineStr">
        <is>
          <t>Dominican Republic</t>
        </is>
      </c>
      <c r="B2453" t="inlineStr">
        <is>
          <t>DOM</t>
        </is>
      </c>
      <c r="C2453" t="n">
        <v>2024</v>
      </c>
      <c r="D2453" t="n">
        <v>3.30223338951227</v>
      </c>
    </row>
    <row r="2454">
      <c r="A2454" t="inlineStr">
        <is>
          <t>Algeria</t>
        </is>
      </c>
      <c r="B2454" t="inlineStr">
        <is>
          <t>DZA</t>
        </is>
      </c>
      <c r="C2454" t="n">
        <v>1970</v>
      </c>
      <c r="D2454" t="n">
        <v>6.59999999900017</v>
      </c>
    </row>
    <row r="2455">
      <c r="A2455" t="inlineStr">
        <is>
          <t>Algeria</t>
        </is>
      </c>
      <c r="B2455" t="inlineStr">
        <is>
          <t>DZA</t>
        </is>
      </c>
      <c r="C2455" t="n">
        <v>1971</v>
      </c>
      <c r="D2455" t="n">
        <v>2.62664165105635</v>
      </c>
    </row>
    <row r="2456">
      <c r="A2456" t="inlineStr">
        <is>
          <t>Algeria</t>
        </is>
      </c>
      <c r="B2456" t="inlineStr">
        <is>
          <t>DZA</t>
        </is>
      </c>
      <c r="C2456" t="n">
        <v>1972</v>
      </c>
      <c r="D2456" t="n">
        <v>3.65630712983236</v>
      </c>
    </row>
    <row r="2457">
      <c r="A2457" t="inlineStr">
        <is>
          <t>Algeria</t>
        </is>
      </c>
      <c r="B2457" t="inlineStr">
        <is>
          <t>DZA</t>
        </is>
      </c>
      <c r="C2457" t="n">
        <v>1973</v>
      </c>
      <c r="D2457" t="n">
        <v>6.17283950622715</v>
      </c>
    </row>
    <row r="2458">
      <c r="A2458" t="inlineStr">
        <is>
          <t>Algeria</t>
        </is>
      </c>
      <c r="B2458" t="inlineStr">
        <is>
          <t>DZA</t>
        </is>
      </c>
      <c r="C2458" t="n">
        <v>1974</v>
      </c>
      <c r="D2458" t="n">
        <v>4.69961240341694</v>
      </c>
    </row>
    <row r="2459">
      <c r="A2459" t="inlineStr">
        <is>
          <t>Algeria</t>
        </is>
      </c>
      <c r="B2459" t="inlineStr">
        <is>
          <t>DZA</t>
        </is>
      </c>
      <c r="C2459" t="n">
        <v>1975</v>
      </c>
      <c r="D2459" t="n">
        <v>8.23031665265143</v>
      </c>
    </row>
    <row r="2460">
      <c r="A2460" t="inlineStr">
        <is>
          <t>Algeria</t>
        </is>
      </c>
      <c r="B2460" t="inlineStr">
        <is>
          <t>DZA</t>
        </is>
      </c>
      <c r="C2460" t="n">
        <v>1976</v>
      </c>
      <c r="D2460" t="n">
        <v>9.43073540174557</v>
      </c>
    </row>
    <row r="2461">
      <c r="A2461" t="inlineStr">
        <is>
          <t>Algeria</t>
        </is>
      </c>
      <c r="B2461" t="inlineStr">
        <is>
          <t>DZA</t>
        </is>
      </c>
      <c r="C2461" t="n">
        <v>1977</v>
      </c>
      <c r="D2461" t="n">
        <v>11.989283322105</v>
      </c>
    </row>
    <row r="2462">
      <c r="A2462" t="inlineStr">
        <is>
          <t>Algeria</t>
        </is>
      </c>
      <c r="B2462" t="inlineStr">
        <is>
          <t>DZA</t>
        </is>
      </c>
      <c r="C2462" t="n">
        <v>1978</v>
      </c>
      <c r="D2462" t="n">
        <v>17.5239234455033</v>
      </c>
    </row>
    <row r="2463">
      <c r="A2463" t="inlineStr">
        <is>
          <t>Algeria</t>
        </is>
      </c>
      <c r="B2463" t="inlineStr">
        <is>
          <t>DZA</t>
        </is>
      </c>
      <c r="C2463" t="n">
        <v>1979</v>
      </c>
      <c r="D2463" t="n">
        <v>11.3486005086091</v>
      </c>
    </row>
    <row r="2464">
      <c r="A2464" t="inlineStr">
        <is>
          <t>Algeria</t>
        </is>
      </c>
      <c r="B2464" t="inlineStr">
        <is>
          <t>DZA</t>
        </is>
      </c>
      <c r="C2464" t="n">
        <v>1980</v>
      </c>
      <c r="D2464" t="n">
        <v>9.517824497549629</v>
      </c>
    </row>
    <row r="2465">
      <c r="A2465" t="inlineStr">
        <is>
          <t>Algeria</t>
        </is>
      </c>
      <c r="B2465" t="inlineStr">
        <is>
          <t>DZA</t>
        </is>
      </c>
      <c r="C2465" t="n">
        <v>1981</v>
      </c>
      <c r="D2465" t="n">
        <v>14.6548426360634</v>
      </c>
    </row>
    <row r="2466">
      <c r="A2466" t="inlineStr">
        <is>
          <t>Algeria</t>
        </is>
      </c>
      <c r="B2466" t="inlineStr">
        <is>
          <t>DZA</t>
        </is>
      </c>
      <c r="C2466" t="n">
        <v>1982</v>
      </c>
      <c r="D2466" t="n">
        <v>6.54250963007673</v>
      </c>
    </row>
    <row r="2467">
      <c r="A2467" t="inlineStr">
        <is>
          <t>Algeria</t>
        </is>
      </c>
      <c r="B2467" t="inlineStr">
        <is>
          <t>DZA</t>
        </is>
      </c>
      <c r="C2467" t="n">
        <v>1983</v>
      </c>
      <c r="D2467" t="n">
        <v>5.9671639303272</v>
      </c>
    </row>
    <row r="2468">
      <c r="A2468" t="inlineStr">
        <is>
          <t>Algeria</t>
        </is>
      </c>
      <c r="B2468" t="inlineStr">
        <is>
          <t>DZA</t>
        </is>
      </c>
      <c r="C2468" t="n">
        <v>1984</v>
      </c>
      <c r="D2468" t="n">
        <v>8.116397955170999</v>
      </c>
    </row>
    <row r="2469">
      <c r="A2469" t="inlineStr">
        <is>
          <t>Algeria</t>
        </is>
      </c>
      <c r="B2469" t="inlineStr">
        <is>
          <t>DZA</t>
        </is>
      </c>
      <c r="C2469" t="n">
        <v>1985</v>
      </c>
      <c r="D2469" t="n">
        <v>10.4822870444467</v>
      </c>
    </row>
    <row r="2470">
      <c r="A2470" t="inlineStr">
        <is>
          <t>Algeria</t>
        </is>
      </c>
      <c r="B2470" t="inlineStr">
        <is>
          <t>DZA</t>
        </is>
      </c>
      <c r="C2470" t="n">
        <v>1986</v>
      </c>
      <c r="D2470" t="n">
        <v>12.3716091651299</v>
      </c>
    </row>
    <row r="2471">
      <c r="A2471" t="inlineStr">
        <is>
          <t>Algeria</t>
        </is>
      </c>
      <c r="B2471" t="inlineStr">
        <is>
          <t>DZA</t>
        </is>
      </c>
      <c r="C2471" t="n">
        <v>1987</v>
      </c>
      <c r="D2471" t="n">
        <v>7.44126091287247</v>
      </c>
    </row>
    <row r="2472">
      <c r="A2472" t="inlineStr">
        <is>
          <t>Algeria</t>
        </is>
      </c>
      <c r="B2472" t="inlineStr">
        <is>
          <t>DZA</t>
        </is>
      </c>
      <c r="C2472" t="n">
        <v>1988</v>
      </c>
      <c r="D2472" t="n">
        <v>5.91154496373489</v>
      </c>
    </row>
    <row r="2473">
      <c r="A2473" t="inlineStr">
        <is>
          <t>Algeria</t>
        </is>
      </c>
      <c r="B2473" t="inlineStr">
        <is>
          <t>DZA</t>
        </is>
      </c>
      <c r="C2473" t="n">
        <v>1989</v>
      </c>
      <c r="D2473" t="n">
        <v>9.30436125843166</v>
      </c>
    </row>
    <row r="2474">
      <c r="A2474" t="inlineStr">
        <is>
          <t>Algeria</t>
        </is>
      </c>
      <c r="B2474" t="inlineStr">
        <is>
          <t>DZA</t>
        </is>
      </c>
      <c r="C2474" t="n">
        <v>1990</v>
      </c>
      <c r="D2474" t="n">
        <v>16.6525343885432</v>
      </c>
    </row>
    <row r="2475">
      <c r="A2475" t="inlineStr">
        <is>
          <t>Algeria</t>
        </is>
      </c>
      <c r="B2475" t="inlineStr">
        <is>
          <t>DZA</t>
        </is>
      </c>
      <c r="C2475" t="n">
        <v>1991</v>
      </c>
      <c r="D2475" t="n">
        <v>25.8863869348513</v>
      </c>
    </row>
    <row r="2476">
      <c r="A2476" t="inlineStr">
        <is>
          <t>Algeria</t>
        </is>
      </c>
      <c r="B2476" t="inlineStr">
        <is>
          <t>DZA</t>
        </is>
      </c>
      <c r="C2476" t="n">
        <v>1992</v>
      </c>
      <c r="D2476" t="n">
        <v>31.6696619117149</v>
      </c>
    </row>
    <row r="2477">
      <c r="A2477" t="inlineStr">
        <is>
          <t>Algeria</t>
        </is>
      </c>
      <c r="B2477" t="inlineStr">
        <is>
          <t>DZA</t>
        </is>
      </c>
      <c r="C2477" t="n">
        <v>1993</v>
      </c>
      <c r="D2477" t="n">
        <v>20.5403261235827</v>
      </c>
    </row>
    <row r="2478">
      <c r="A2478" t="inlineStr">
        <is>
          <t>Algeria</t>
        </is>
      </c>
      <c r="B2478" t="inlineStr">
        <is>
          <t>DZA</t>
        </is>
      </c>
      <c r="C2478" t="n">
        <v>1994</v>
      </c>
      <c r="D2478" t="n">
        <v>29.0476561173071</v>
      </c>
    </row>
    <row r="2479">
      <c r="A2479" t="inlineStr">
        <is>
          <t>Algeria</t>
        </is>
      </c>
      <c r="B2479" t="inlineStr">
        <is>
          <t>DZA</t>
        </is>
      </c>
      <c r="C2479" t="n">
        <v>1995</v>
      </c>
      <c r="D2479" t="n">
        <v>29.7796264864999</v>
      </c>
    </row>
    <row r="2480">
      <c r="A2480" t="inlineStr">
        <is>
          <t>Algeria</t>
        </is>
      </c>
      <c r="B2480" t="inlineStr">
        <is>
          <t>DZA</t>
        </is>
      </c>
      <c r="C2480" t="n">
        <v>1996</v>
      </c>
      <c r="D2480" t="n">
        <v>18.6790758601749</v>
      </c>
    </row>
    <row r="2481">
      <c r="A2481" t="inlineStr">
        <is>
          <t>Algeria</t>
        </is>
      </c>
      <c r="B2481" t="inlineStr">
        <is>
          <t>DZA</t>
        </is>
      </c>
      <c r="C2481" t="n">
        <v>1997</v>
      </c>
      <c r="D2481" t="n">
        <v>5.73352275357187</v>
      </c>
    </row>
    <row r="2482">
      <c r="A2482" t="inlineStr">
        <is>
          <t>Algeria</t>
        </is>
      </c>
      <c r="B2482" t="inlineStr">
        <is>
          <t>DZA</t>
        </is>
      </c>
      <c r="C2482" t="n">
        <v>1998</v>
      </c>
      <c r="D2482" t="n">
        <v>4.95016163793114</v>
      </c>
    </row>
    <row r="2483">
      <c r="A2483" t="inlineStr">
        <is>
          <t>Algeria</t>
        </is>
      </c>
      <c r="B2483" t="inlineStr">
        <is>
          <t>DZA</t>
        </is>
      </c>
      <c r="C2483" t="n">
        <v>1999</v>
      </c>
      <c r="D2483" t="n">
        <v>2.64551113392799</v>
      </c>
    </row>
    <row r="2484">
      <c r="A2484" t="inlineStr">
        <is>
          <t>Algeria</t>
        </is>
      </c>
      <c r="B2484" t="inlineStr">
        <is>
          <t>DZA</t>
        </is>
      </c>
      <c r="C2484" t="n">
        <v>2000</v>
      </c>
      <c r="D2484" t="n">
        <v>0.339163189071768</v>
      </c>
    </row>
    <row r="2485">
      <c r="A2485" t="inlineStr">
        <is>
          <t>Algeria</t>
        </is>
      </c>
      <c r="B2485" t="inlineStr">
        <is>
          <t>DZA</t>
        </is>
      </c>
      <c r="C2485" t="n">
        <v>2001</v>
      </c>
      <c r="D2485" t="n">
        <v>4.22598834854673</v>
      </c>
    </row>
    <row r="2486">
      <c r="A2486" t="inlineStr">
        <is>
          <t>Algeria</t>
        </is>
      </c>
      <c r="B2486" t="inlineStr">
        <is>
          <t>DZA</t>
        </is>
      </c>
      <c r="C2486" t="n">
        <v>2002</v>
      </c>
      <c r="D2486" t="n">
        <v>1.41830192345051</v>
      </c>
    </row>
    <row r="2487">
      <c r="A2487" t="inlineStr">
        <is>
          <t>Algeria</t>
        </is>
      </c>
      <c r="B2487" t="inlineStr">
        <is>
          <t>DZA</t>
        </is>
      </c>
      <c r="C2487" t="n">
        <v>2003</v>
      </c>
      <c r="D2487" t="n">
        <v>4.268953958395</v>
      </c>
    </row>
    <row r="2488">
      <c r="A2488" t="inlineStr">
        <is>
          <t>Algeria</t>
        </is>
      </c>
      <c r="B2488" t="inlineStr">
        <is>
          <t>DZA</t>
        </is>
      </c>
      <c r="C2488" t="n">
        <v>2004</v>
      </c>
      <c r="D2488" t="n">
        <v>3.96180030257187</v>
      </c>
    </row>
    <row r="2489">
      <c r="A2489" t="inlineStr">
        <is>
          <t>Algeria</t>
        </is>
      </c>
      <c r="B2489" t="inlineStr">
        <is>
          <t>DZA</t>
        </is>
      </c>
      <c r="C2489" t="n">
        <v>2005</v>
      </c>
      <c r="D2489" t="n">
        <v>1.38244656662118</v>
      </c>
    </row>
    <row r="2490">
      <c r="A2490" t="inlineStr">
        <is>
          <t>Algeria</t>
        </is>
      </c>
      <c r="B2490" t="inlineStr">
        <is>
          <t>DZA</t>
        </is>
      </c>
      <c r="C2490" t="n">
        <v>2006</v>
      </c>
      <c r="D2490" t="n">
        <v>2.31149918514424</v>
      </c>
    </row>
    <row r="2491">
      <c r="A2491" t="inlineStr">
        <is>
          <t>Algeria</t>
        </is>
      </c>
      <c r="B2491" t="inlineStr">
        <is>
          <t>DZA</t>
        </is>
      </c>
      <c r="C2491" t="n">
        <v>2007</v>
      </c>
      <c r="D2491" t="n">
        <v>3.67899574741699</v>
      </c>
    </row>
    <row r="2492">
      <c r="A2492" t="inlineStr">
        <is>
          <t>Algeria</t>
        </is>
      </c>
      <c r="B2492" t="inlineStr">
        <is>
          <t>DZA</t>
        </is>
      </c>
      <c r="C2492" t="n">
        <v>2008</v>
      </c>
      <c r="D2492" t="n">
        <v>4.85859062814939</v>
      </c>
    </row>
    <row r="2493">
      <c r="A2493" t="inlineStr">
        <is>
          <t>Algeria</t>
        </is>
      </c>
      <c r="B2493" t="inlineStr">
        <is>
          <t>DZA</t>
        </is>
      </c>
      <c r="C2493" t="n">
        <v>2009</v>
      </c>
      <c r="D2493" t="n">
        <v>5.73706036145628</v>
      </c>
    </row>
    <row r="2494">
      <c r="A2494" t="inlineStr">
        <is>
          <t>Algeria</t>
        </is>
      </c>
      <c r="B2494" t="inlineStr">
        <is>
          <t>DZA</t>
        </is>
      </c>
      <c r="C2494" t="n">
        <v>2010</v>
      </c>
      <c r="D2494" t="n">
        <v>3.91106195534028</v>
      </c>
    </row>
    <row r="2495">
      <c r="A2495" t="inlineStr">
        <is>
          <t>Algeria</t>
        </is>
      </c>
      <c r="B2495" t="inlineStr">
        <is>
          <t>DZA</t>
        </is>
      </c>
      <c r="C2495" t="n">
        <v>2011</v>
      </c>
      <c r="D2495" t="n">
        <v>4.5242115050527</v>
      </c>
    </row>
    <row r="2496">
      <c r="A2496" t="inlineStr">
        <is>
          <t>Algeria</t>
        </is>
      </c>
      <c r="B2496" t="inlineStr">
        <is>
          <t>DZA</t>
        </is>
      </c>
      <c r="C2496" t="n">
        <v>2012</v>
      </c>
      <c r="D2496" t="n">
        <v>8.891450910623171</v>
      </c>
    </row>
    <row r="2497">
      <c r="A2497" t="inlineStr">
        <is>
          <t>Algeria</t>
        </is>
      </c>
      <c r="B2497" t="inlineStr">
        <is>
          <t>DZA</t>
        </is>
      </c>
      <c r="C2497" t="n">
        <v>2013</v>
      </c>
      <c r="D2497" t="n">
        <v>3.25423910998847</v>
      </c>
    </row>
    <row r="2498">
      <c r="A2498" t="inlineStr">
        <is>
          <t>Algeria</t>
        </is>
      </c>
      <c r="B2498" t="inlineStr">
        <is>
          <t>DZA</t>
        </is>
      </c>
      <c r="C2498" t="n">
        <v>2014</v>
      </c>
      <c r="D2498" t="n">
        <v>2.91692692067458</v>
      </c>
    </row>
    <row r="2499">
      <c r="A2499" t="inlineStr">
        <is>
          <t>Algeria</t>
        </is>
      </c>
      <c r="B2499" t="inlineStr">
        <is>
          <t>DZA</t>
        </is>
      </c>
      <c r="C2499" t="n">
        <v>2015</v>
      </c>
      <c r="D2499" t="n">
        <v>4.78444700693889</v>
      </c>
    </row>
    <row r="2500">
      <c r="A2500" t="inlineStr">
        <is>
          <t>Algeria</t>
        </is>
      </c>
      <c r="B2500" t="inlineStr">
        <is>
          <t>DZA</t>
        </is>
      </c>
      <c r="C2500" t="n">
        <v>2016</v>
      </c>
      <c r="D2500" t="n">
        <v>6.39769480268757</v>
      </c>
    </row>
    <row r="2501">
      <c r="A2501" t="inlineStr">
        <is>
          <t>Algeria</t>
        </is>
      </c>
      <c r="B2501" t="inlineStr">
        <is>
          <t>DZA</t>
        </is>
      </c>
      <c r="C2501" t="n">
        <v>2017</v>
      </c>
      <c r="D2501" t="n">
        <v>5.59111590961664</v>
      </c>
    </row>
    <row r="2502">
      <c r="A2502" t="inlineStr">
        <is>
          <t>Algeria</t>
        </is>
      </c>
      <c r="B2502" t="inlineStr">
        <is>
          <t>DZA</t>
        </is>
      </c>
      <c r="C2502" t="n">
        <v>2018</v>
      </c>
      <c r="D2502" t="n">
        <v>4.26999020467084</v>
      </c>
    </row>
    <row r="2503">
      <c r="A2503" t="inlineStr">
        <is>
          <t>Algeria</t>
        </is>
      </c>
      <c r="B2503" t="inlineStr">
        <is>
          <t>DZA</t>
        </is>
      </c>
      <c r="C2503" t="n">
        <v>2019</v>
      </c>
      <c r="D2503" t="n">
        <v>1.95176821052892</v>
      </c>
    </row>
    <row r="2504">
      <c r="A2504" t="inlineStr">
        <is>
          <t>Algeria</t>
        </is>
      </c>
      <c r="B2504" t="inlineStr">
        <is>
          <t>DZA</t>
        </is>
      </c>
      <c r="C2504" t="n">
        <v>2020</v>
      </c>
      <c r="D2504" t="n">
        <v>2.41513094083414</v>
      </c>
    </row>
    <row r="2505">
      <c r="A2505" t="inlineStr">
        <is>
          <t>Algeria</t>
        </is>
      </c>
      <c r="B2505" t="inlineStr">
        <is>
          <t>DZA</t>
        </is>
      </c>
      <c r="C2505" t="n">
        <v>2021</v>
      </c>
      <c r="D2505" t="n">
        <v>7.22606307415477</v>
      </c>
    </row>
    <row r="2506">
      <c r="A2506" t="inlineStr">
        <is>
          <t>Algeria</t>
        </is>
      </c>
      <c r="B2506" t="inlineStr">
        <is>
          <t>DZA</t>
        </is>
      </c>
      <c r="C2506" t="n">
        <v>2022</v>
      </c>
      <c r="D2506" t="n">
        <v>9.26551551551553</v>
      </c>
    </row>
    <row r="2507">
      <c r="A2507" t="inlineStr">
        <is>
          <t>Algeria</t>
        </is>
      </c>
      <c r="B2507" t="inlineStr">
        <is>
          <t>DZA</t>
        </is>
      </c>
      <c r="C2507" t="n">
        <v>2023</v>
      </c>
      <c r="D2507" t="n">
        <v>9.322173759283221</v>
      </c>
    </row>
    <row r="2508">
      <c r="A2508" t="inlineStr">
        <is>
          <t>Algeria</t>
        </is>
      </c>
      <c r="B2508" t="inlineStr">
        <is>
          <t>DZA</t>
        </is>
      </c>
      <c r="C2508" t="n">
        <v>2024</v>
      </c>
      <c r="D2508" t="n">
        <v>4.04611455313434</v>
      </c>
    </row>
    <row r="2509">
      <c r="A2509" t="inlineStr">
        <is>
          <t>East Asia &amp; Pacific (excluding high income)</t>
        </is>
      </c>
      <c r="B2509" t="inlineStr">
        <is>
          <t>EAP</t>
        </is>
      </c>
      <c r="C2509" t="n">
        <v>1977</v>
      </c>
      <c r="D2509" t="n">
        <v>7.60126687769027</v>
      </c>
    </row>
    <row r="2510">
      <c r="A2510" t="inlineStr">
        <is>
          <t>East Asia &amp; Pacific (excluding high income)</t>
        </is>
      </c>
      <c r="B2510" t="inlineStr">
        <is>
          <t>EAP</t>
        </is>
      </c>
      <c r="C2510" t="n">
        <v>1978</v>
      </c>
      <c r="D2510" t="n">
        <v>6.26304801670155</v>
      </c>
    </row>
    <row r="2511">
      <c r="A2511" t="inlineStr">
        <is>
          <t>East Asia &amp; Pacific (excluding high income)</t>
        </is>
      </c>
      <c r="B2511" t="inlineStr">
        <is>
          <t>EAP</t>
        </is>
      </c>
      <c r="C2511" t="n">
        <v>1979</v>
      </c>
      <c r="D2511" t="n">
        <v>7.80675824952114</v>
      </c>
    </row>
    <row r="2512">
      <c r="A2512" t="inlineStr">
        <is>
          <t>East Asia &amp; Pacific (excluding high income)</t>
        </is>
      </c>
      <c r="B2512" t="inlineStr">
        <is>
          <t>EAP</t>
        </is>
      </c>
      <c r="C2512" t="n">
        <v>1980</v>
      </c>
      <c r="D2512" t="n">
        <v>14.4928744064522</v>
      </c>
    </row>
    <row r="2513">
      <c r="A2513" t="inlineStr">
        <is>
          <t>East Asia &amp; Pacific (excluding high income)</t>
        </is>
      </c>
      <c r="B2513" t="inlineStr">
        <is>
          <t>EAP</t>
        </is>
      </c>
      <c r="C2513" t="n">
        <v>1981</v>
      </c>
      <c r="D2513" t="n">
        <v>12.6629930710215</v>
      </c>
    </row>
    <row r="2514">
      <c r="A2514" t="inlineStr">
        <is>
          <t>East Asia &amp; Pacific (excluding high income)</t>
        </is>
      </c>
      <c r="B2514" t="inlineStr">
        <is>
          <t>EAP</t>
        </is>
      </c>
      <c r="C2514" t="n">
        <v>1982</v>
      </c>
      <c r="D2514" t="n">
        <v>7.03155689389481</v>
      </c>
    </row>
    <row r="2515">
      <c r="A2515" t="inlineStr">
        <is>
          <t>East Asia &amp; Pacific (excluding high income)</t>
        </is>
      </c>
      <c r="B2515" t="inlineStr">
        <is>
          <t>EAP</t>
        </is>
      </c>
      <c r="C2515" t="n">
        <v>1983</v>
      </c>
      <c r="D2515" t="n">
        <v>6.70418399801423</v>
      </c>
    </row>
    <row r="2516">
      <c r="A2516" t="inlineStr">
        <is>
          <t>East Asia &amp; Pacific (excluding high income)</t>
        </is>
      </c>
      <c r="B2516" t="inlineStr">
        <is>
          <t>EAP</t>
        </is>
      </c>
      <c r="C2516" t="n">
        <v>1984</v>
      </c>
      <c r="D2516" t="n">
        <v>5.5164001084304</v>
      </c>
    </row>
    <row r="2517">
      <c r="A2517" t="inlineStr">
        <is>
          <t>East Asia &amp; Pacific (excluding high income)</t>
        </is>
      </c>
      <c r="B2517" t="inlineStr">
        <is>
          <t>EAP</t>
        </is>
      </c>
      <c r="C2517" t="n">
        <v>1985</v>
      </c>
      <c r="D2517" t="n">
        <v>4.72453615680211</v>
      </c>
    </row>
    <row r="2518">
      <c r="A2518" t="inlineStr">
        <is>
          <t>East Asia &amp; Pacific (excluding high income)</t>
        </is>
      </c>
      <c r="B2518" t="inlineStr">
        <is>
          <t>EAP</t>
        </is>
      </c>
      <c r="C2518" t="n">
        <v>1986</v>
      </c>
      <c r="D2518" t="n">
        <v>5.45375218150084</v>
      </c>
    </row>
    <row r="2519">
      <c r="A2519" t="inlineStr">
        <is>
          <t>East Asia &amp; Pacific (excluding high income)</t>
        </is>
      </c>
      <c r="B2519" t="inlineStr">
        <is>
          <t>EAP</t>
        </is>
      </c>
      <c r="C2519" t="n">
        <v>1987</v>
      </c>
      <c r="D2519" t="n">
        <v>5.17488127323863</v>
      </c>
    </row>
    <row r="2520">
      <c r="A2520" t="inlineStr">
        <is>
          <t>East Asia &amp; Pacific (excluding high income)</t>
        </is>
      </c>
      <c r="B2520" t="inlineStr">
        <is>
          <t>EAP</t>
        </is>
      </c>
      <c r="C2520" t="n">
        <v>1988</v>
      </c>
      <c r="D2520" t="n">
        <v>9.34212688547206</v>
      </c>
    </row>
    <row r="2521">
      <c r="A2521" t="inlineStr">
        <is>
          <t>East Asia &amp; Pacific (excluding high income)</t>
        </is>
      </c>
      <c r="B2521" t="inlineStr">
        <is>
          <t>EAP</t>
        </is>
      </c>
      <c r="C2521" t="n">
        <v>1989</v>
      </c>
      <c r="D2521" t="n">
        <v>6.46256171146444</v>
      </c>
    </row>
    <row r="2522">
      <c r="A2522" t="inlineStr">
        <is>
          <t>East Asia &amp; Pacific (excluding high income)</t>
        </is>
      </c>
      <c r="B2522" t="inlineStr">
        <is>
          <t>EAP</t>
        </is>
      </c>
      <c r="C2522" t="n">
        <v>1990</v>
      </c>
      <c r="D2522" t="n">
        <v>8.19137132040974</v>
      </c>
    </row>
    <row r="2523">
      <c r="A2523" t="inlineStr">
        <is>
          <t>East Asia &amp; Pacific (excluding high income)</t>
        </is>
      </c>
      <c r="B2523" t="inlineStr">
        <is>
          <t>EAP</t>
        </is>
      </c>
      <c r="C2523" t="n">
        <v>1991</v>
      </c>
      <c r="D2523" t="n">
        <v>6.96568127760753</v>
      </c>
    </row>
    <row r="2524">
      <c r="A2524" t="inlineStr">
        <is>
          <t>East Asia &amp; Pacific (excluding high income)</t>
        </is>
      </c>
      <c r="B2524" t="inlineStr">
        <is>
          <t>EAP</t>
        </is>
      </c>
      <c r="C2524" t="n">
        <v>1992</v>
      </c>
      <c r="D2524" t="n">
        <v>7.52351717022748</v>
      </c>
    </row>
    <row r="2525">
      <c r="A2525" t="inlineStr">
        <is>
          <t>East Asia &amp; Pacific (excluding high income)</t>
        </is>
      </c>
      <c r="B2525" t="inlineStr">
        <is>
          <t>EAP</t>
        </is>
      </c>
      <c r="C2525" t="n">
        <v>1993</v>
      </c>
      <c r="D2525" t="n">
        <v>5.73690583357397</v>
      </c>
    </row>
    <row r="2526">
      <c r="A2526" t="inlineStr">
        <is>
          <t>East Asia &amp; Pacific (excluding high income)</t>
        </is>
      </c>
      <c r="B2526" t="inlineStr">
        <is>
          <t>EAP</t>
        </is>
      </c>
      <c r="C2526" t="n">
        <v>1994</v>
      </c>
      <c r="D2526" t="n">
        <v>7.65824302019538</v>
      </c>
    </row>
    <row r="2527">
      <c r="A2527" t="inlineStr">
        <is>
          <t>East Asia &amp; Pacific (excluding high income)</t>
        </is>
      </c>
      <c r="B2527" t="inlineStr">
        <is>
          <t>EAP</t>
        </is>
      </c>
      <c r="C2527" t="n">
        <v>1995</v>
      </c>
      <c r="D2527" t="n">
        <v>5.81818181818192</v>
      </c>
    </row>
    <row r="2528">
      <c r="A2528" t="inlineStr">
        <is>
          <t>East Asia &amp; Pacific (excluding high income)</t>
        </is>
      </c>
      <c r="B2528" t="inlineStr">
        <is>
          <t>EAP</t>
        </is>
      </c>
      <c r="C2528" t="n">
        <v>1996</v>
      </c>
      <c r="D2528" t="n">
        <v>7.31348259330353</v>
      </c>
    </row>
    <row r="2529">
      <c r="A2529" t="inlineStr">
        <is>
          <t>East Asia &amp; Pacific (excluding high income)</t>
        </is>
      </c>
      <c r="B2529" t="inlineStr">
        <is>
          <t>EAP</t>
        </is>
      </c>
      <c r="C2529" t="n">
        <v>1997</v>
      </c>
      <c r="D2529" t="n">
        <v>5.60802843389853</v>
      </c>
    </row>
    <row r="2530">
      <c r="A2530" t="inlineStr">
        <is>
          <t>East Asia &amp; Pacific (excluding high income)</t>
        </is>
      </c>
      <c r="B2530" t="inlineStr">
        <is>
          <t>EAP</t>
        </is>
      </c>
      <c r="C2530" t="n">
        <v>1998</v>
      </c>
      <c r="D2530" t="n">
        <v>8.614831536472909</v>
      </c>
    </row>
    <row r="2531">
      <c r="A2531" t="inlineStr">
        <is>
          <t>East Asia &amp; Pacific (excluding high income)</t>
        </is>
      </c>
      <c r="B2531" t="inlineStr">
        <is>
          <t>EAP</t>
        </is>
      </c>
      <c r="C2531" t="n">
        <v>1999</v>
      </c>
      <c r="D2531" t="n">
        <v>4.29072851723813</v>
      </c>
    </row>
    <row r="2532">
      <c r="A2532" t="inlineStr">
        <is>
          <t>East Asia &amp; Pacific (excluding high income)</t>
        </is>
      </c>
      <c r="B2532" t="inlineStr">
        <is>
          <t>EAP</t>
        </is>
      </c>
      <c r="C2532" t="n">
        <v>2000</v>
      </c>
      <c r="D2532" t="n">
        <v>2.15851810619419</v>
      </c>
    </row>
    <row r="2533">
      <c r="A2533" t="inlineStr">
        <is>
          <t>East Asia &amp; Pacific (excluding high income)</t>
        </is>
      </c>
      <c r="B2533" t="inlineStr">
        <is>
          <t>EAP</t>
        </is>
      </c>
      <c r="C2533" t="n">
        <v>2001</v>
      </c>
      <c r="D2533" t="n">
        <v>4.27267024465105</v>
      </c>
    </row>
    <row r="2534">
      <c r="A2534" t="inlineStr">
        <is>
          <t>East Asia &amp; Pacific (excluding high income)</t>
        </is>
      </c>
      <c r="B2534" t="inlineStr">
        <is>
          <t>EAP</t>
        </is>
      </c>
      <c r="C2534" t="n">
        <v>2002</v>
      </c>
      <c r="D2534" t="n">
        <v>2.72277227722765</v>
      </c>
    </row>
    <row r="2535">
      <c r="A2535" t="inlineStr">
        <is>
          <t>East Asia &amp; Pacific (excluding high income)</t>
        </is>
      </c>
      <c r="B2535" t="inlineStr">
        <is>
          <t>EAP</t>
        </is>
      </c>
      <c r="C2535" t="n">
        <v>2003</v>
      </c>
      <c r="D2535" t="n">
        <v>3.70369797528482</v>
      </c>
    </row>
    <row r="2536">
      <c r="A2536" t="inlineStr">
        <is>
          <t>East Asia &amp; Pacific (excluding high income)</t>
        </is>
      </c>
      <c r="B2536" t="inlineStr">
        <is>
          <t>EAP</t>
        </is>
      </c>
      <c r="C2536" t="n">
        <v>2004</v>
      </c>
      <c r="D2536" t="n">
        <v>4.42677525782239</v>
      </c>
    </row>
    <row r="2537">
      <c r="A2537" t="inlineStr">
        <is>
          <t>East Asia &amp; Pacific (excluding high income)</t>
        </is>
      </c>
      <c r="B2537" t="inlineStr">
        <is>
          <t>EAP</t>
        </is>
      </c>
      <c r="C2537" t="n">
        <v>2005</v>
      </c>
      <c r="D2537" t="n">
        <v>5.52861156446484</v>
      </c>
    </row>
    <row r="2538">
      <c r="A2538" t="inlineStr">
        <is>
          <t>East Asia &amp; Pacific (excluding high income)</t>
        </is>
      </c>
      <c r="B2538" t="inlineStr">
        <is>
          <t>EAP</t>
        </is>
      </c>
      <c r="C2538" t="n">
        <v>2006</v>
      </c>
      <c r="D2538" t="n">
        <v>4.86632048837464</v>
      </c>
    </row>
    <row r="2539">
      <c r="A2539" t="inlineStr">
        <is>
          <t>East Asia &amp; Pacific (excluding high income)</t>
        </is>
      </c>
      <c r="B2539" t="inlineStr">
        <is>
          <t>EAP</t>
        </is>
      </c>
      <c r="C2539" t="n">
        <v>2007</v>
      </c>
      <c r="D2539" t="n">
        <v>4.81676767378834</v>
      </c>
    </row>
    <row r="2540">
      <c r="A2540" t="inlineStr">
        <is>
          <t>East Asia &amp; Pacific (excluding high income)</t>
        </is>
      </c>
      <c r="B2540" t="inlineStr">
        <is>
          <t>EAP</t>
        </is>
      </c>
      <c r="C2540" t="n">
        <v>2008</v>
      </c>
      <c r="D2540" t="n">
        <v>10.2266645473148</v>
      </c>
    </row>
    <row r="2541">
      <c r="A2541" t="inlineStr">
        <is>
          <t>East Asia &amp; Pacific (excluding high income)</t>
        </is>
      </c>
      <c r="B2541" t="inlineStr">
        <is>
          <t>EAP</t>
        </is>
      </c>
      <c r="C2541" t="n">
        <v>2009</v>
      </c>
      <c r="D2541" t="n">
        <v>4.21903052064628</v>
      </c>
    </row>
    <row r="2542">
      <c r="A2542" t="inlineStr">
        <is>
          <t>East Asia &amp; Pacific (excluding high income)</t>
        </is>
      </c>
      <c r="B2542" t="inlineStr">
        <is>
          <t>EAP</t>
        </is>
      </c>
      <c r="C2542" t="n">
        <v>2010</v>
      </c>
      <c r="D2542" t="n">
        <v>3.68901229670766</v>
      </c>
    </row>
    <row r="2543">
      <c r="A2543" t="inlineStr">
        <is>
          <t>East Asia &amp; Pacific (excluding high income)</t>
        </is>
      </c>
      <c r="B2543" t="inlineStr">
        <is>
          <t>EAP</t>
        </is>
      </c>
      <c r="C2543" t="n">
        <v>2011</v>
      </c>
      <c r="D2543" t="n">
        <v>5.29573185230292</v>
      </c>
    </row>
    <row r="2544">
      <c r="A2544" t="inlineStr">
        <is>
          <t>East Asia &amp; Pacific (excluding high income)</t>
        </is>
      </c>
      <c r="B2544" t="inlineStr">
        <is>
          <t>EAP</t>
        </is>
      </c>
      <c r="C2544" t="n">
        <v>2012</v>
      </c>
      <c r="D2544" t="n">
        <v>3.02696391124796</v>
      </c>
    </row>
    <row r="2545">
      <c r="A2545" t="inlineStr">
        <is>
          <t>East Asia &amp; Pacific (excluding high income)</t>
        </is>
      </c>
      <c r="B2545" t="inlineStr">
        <is>
          <t>EAP</t>
        </is>
      </c>
      <c r="C2545" t="n">
        <v>2013</v>
      </c>
      <c r="D2545" t="n">
        <v>2.91354193604001</v>
      </c>
    </row>
    <row r="2546">
      <c r="A2546" t="inlineStr">
        <is>
          <t>East Asia &amp; Pacific (excluding high income)</t>
        </is>
      </c>
      <c r="B2546" t="inlineStr">
        <is>
          <t>EAP</t>
        </is>
      </c>
      <c r="C2546" t="n">
        <v>2014</v>
      </c>
      <c r="D2546" t="n">
        <v>3.14299050879095</v>
      </c>
    </row>
    <row r="2547">
      <c r="A2547" t="inlineStr">
        <is>
          <t>East Asia &amp; Pacific (excluding high income)</t>
        </is>
      </c>
      <c r="B2547" t="inlineStr">
        <is>
          <t>EAP</t>
        </is>
      </c>
      <c r="C2547" t="n">
        <v>2015</v>
      </c>
      <c r="D2547" t="n">
        <v>1.22393195511119</v>
      </c>
    </row>
    <row r="2548">
      <c r="A2548" t="inlineStr">
        <is>
          <t>East Asia &amp; Pacific (excluding high income)</t>
        </is>
      </c>
      <c r="B2548" t="inlineStr">
        <is>
          <t>EAP</t>
        </is>
      </c>
      <c r="C2548" t="n">
        <v>2016</v>
      </c>
      <c r="D2548" t="n">
        <v>1.91731090233378</v>
      </c>
    </row>
    <row r="2549">
      <c r="A2549" t="inlineStr">
        <is>
          <t>East Asia &amp; Pacific (excluding high income)</t>
        </is>
      </c>
      <c r="B2549" t="inlineStr">
        <is>
          <t>EAP</t>
        </is>
      </c>
      <c r="C2549" t="n">
        <v>2017</v>
      </c>
      <c r="D2549" t="n">
        <v>2.91263557371478</v>
      </c>
    </row>
    <row r="2550">
      <c r="A2550" t="inlineStr">
        <is>
          <t>East Asia &amp; Pacific (excluding high income)</t>
        </is>
      </c>
      <c r="B2550" t="inlineStr">
        <is>
          <t>EAP</t>
        </is>
      </c>
      <c r="C2550" t="n">
        <v>2018</v>
      </c>
      <c r="D2550" t="n">
        <v>3.1983464156241</v>
      </c>
    </row>
    <row r="2551">
      <c r="A2551" t="inlineStr">
        <is>
          <t>East Asia &amp; Pacific (excluding high income)</t>
        </is>
      </c>
      <c r="B2551" t="inlineStr">
        <is>
          <t>EAP</t>
        </is>
      </c>
      <c r="C2551" t="n">
        <v>2019</v>
      </c>
      <c r="D2551" t="n">
        <v>1.94257500833107</v>
      </c>
    </row>
    <row r="2552">
      <c r="A2552" t="inlineStr">
        <is>
          <t>East Asia &amp; Pacific (excluding high income)</t>
        </is>
      </c>
      <c r="B2552" t="inlineStr">
        <is>
          <t>EAP</t>
        </is>
      </c>
      <c r="C2552" t="n">
        <v>2020</v>
      </c>
      <c r="D2552" t="n">
        <v>2.40629214387011</v>
      </c>
    </row>
    <row r="2553">
      <c r="A2553" t="inlineStr">
        <is>
          <t>East Asia &amp; Pacific (excluding high income)</t>
        </is>
      </c>
      <c r="B2553" t="inlineStr">
        <is>
          <t>EAP</t>
        </is>
      </c>
      <c r="C2553" t="n">
        <v>2021</v>
      </c>
      <c r="D2553" t="n">
        <v>2.69891859529198</v>
      </c>
    </row>
    <row r="2554">
      <c r="A2554" t="inlineStr">
        <is>
          <t>East Asia &amp; Pacific (excluding high income)</t>
        </is>
      </c>
      <c r="B2554" t="inlineStr">
        <is>
          <t>EAP</t>
        </is>
      </c>
      <c r="C2554" t="n">
        <v>2022</v>
      </c>
      <c r="D2554" t="n">
        <v>5.46343652028003</v>
      </c>
    </row>
    <row r="2555">
      <c r="A2555" t="inlineStr">
        <is>
          <t>East Asia &amp; Pacific (excluding high income)</t>
        </is>
      </c>
      <c r="B2555" t="inlineStr">
        <is>
          <t>EAP</t>
        </is>
      </c>
      <c r="C2555" t="n">
        <v>2023</v>
      </c>
      <c r="D2555" t="n">
        <v>5.88585897042164</v>
      </c>
    </row>
    <row r="2556">
      <c r="A2556" t="inlineStr">
        <is>
          <t>Early-demographic dividend</t>
        </is>
      </c>
      <c r="B2556" t="inlineStr">
        <is>
          <t>EAR</t>
        </is>
      </c>
      <c r="C2556" t="n">
        <v>1966</v>
      </c>
      <c r="D2556" t="n">
        <v>4.47981069723109</v>
      </c>
    </row>
    <row r="2557">
      <c r="A2557" t="inlineStr">
        <is>
          <t>Early-demographic dividend</t>
        </is>
      </c>
      <c r="B2557" t="inlineStr">
        <is>
          <t>EAR</t>
        </is>
      </c>
      <c r="C2557" t="n">
        <v>1967</v>
      </c>
      <c r="D2557" t="n">
        <v>1.97774154682666</v>
      </c>
    </row>
    <row r="2558">
      <c r="A2558" t="inlineStr">
        <is>
          <t>Early-demographic dividend</t>
        </is>
      </c>
      <c r="B2558" t="inlineStr">
        <is>
          <t>EAR</t>
        </is>
      </c>
      <c r="C2558" t="n">
        <v>1968</v>
      </c>
      <c r="D2558" t="n">
        <v>2.07922185813623</v>
      </c>
    </row>
    <row r="2559">
      <c r="A2559" t="inlineStr">
        <is>
          <t>Early-demographic dividend</t>
        </is>
      </c>
      <c r="B2559" t="inlineStr">
        <is>
          <t>EAR</t>
        </is>
      </c>
      <c r="C2559" t="n">
        <v>1969</v>
      </c>
      <c r="D2559" t="n">
        <v>2.9751392473965</v>
      </c>
    </row>
    <row r="2560">
      <c r="A2560" t="inlineStr">
        <is>
          <t>Early-demographic dividend</t>
        </is>
      </c>
      <c r="B2560" t="inlineStr">
        <is>
          <t>EAR</t>
        </is>
      </c>
      <c r="C2560" t="n">
        <v>1970</v>
      </c>
      <c r="D2560" t="n">
        <v>3.8126649076679</v>
      </c>
    </row>
    <row r="2561">
      <c r="A2561" t="inlineStr">
        <is>
          <t>Early-demographic dividend</t>
        </is>
      </c>
      <c r="B2561" t="inlineStr">
        <is>
          <t>EAR</t>
        </is>
      </c>
      <c r="C2561" t="n">
        <v>1971</v>
      </c>
      <c r="D2561" t="n">
        <v>4.19529837265423</v>
      </c>
    </row>
    <row r="2562">
      <c r="A2562" t="inlineStr">
        <is>
          <t>Early-demographic dividend</t>
        </is>
      </c>
      <c r="B2562" t="inlineStr">
        <is>
          <t>EAR</t>
        </is>
      </c>
      <c r="C2562" t="n">
        <v>1972</v>
      </c>
      <c r="D2562" t="n">
        <v>6.07499999951511</v>
      </c>
    </row>
    <row r="2563">
      <c r="A2563" t="inlineStr">
        <is>
          <t>Early-demographic dividend</t>
        </is>
      </c>
      <c r="B2563" t="inlineStr">
        <is>
          <t>EAR</t>
        </is>
      </c>
      <c r="C2563" t="n">
        <v>1973</v>
      </c>
      <c r="D2563" t="n">
        <v>12.0819394612938</v>
      </c>
    </row>
    <row r="2564">
      <c r="A2564" t="inlineStr">
        <is>
          <t>Early-demographic dividend</t>
        </is>
      </c>
      <c r="B2564" t="inlineStr">
        <is>
          <t>EAR</t>
        </is>
      </c>
      <c r="C2564" t="n">
        <v>1974</v>
      </c>
      <c r="D2564" t="n">
        <v>19.0704733006475</v>
      </c>
    </row>
    <row r="2565">
      <c r="A2565" t="inlineStr">
        <is>
          <t>Early-demographic dividend</t>
        </is>
      </c>
      <c r="B2565" t="inlineStr">
        <is>
          <t>EAR</t>
        </is>
      </c>
      <c r="C2565" t="n">
        <v>1975</v>
      </c>
      <c r="D2565" t="n">
        <v>12.8791818338341</v>
      </c>
    </row>
    <row r="2566">
      <c r="A2566" t="inlineStr">
        <is>
          <t>Early-demographic dividend</t>
        </is>
      </c>
      <c r="B2566" t="inlineStr">
        <is>
          <t>EAR</t>
        </is>
      </c>
      <c r="C2566" t="n">
        <v>1976</v>
      </c>
      <c r="D2566" t="n">
        <v>10.1220840734224</v>
      </c>
    </row>
    <row r="2567">
      <c r="A2567" t="inlineStr">
        <is>
          <t>Early-demographic dividend</t>
        </is>
      </c>
      <c r="B2567" t="inlineStr">
        <is>
          <t>EAR</t>
        </is>
      </c>
      <c r="C2567" t="n">
        <v>1977</v>
      </c>
      <c r="D2567" t="n">
        <v>12.1569315041025</v>
      </c>
    </row>
    <row r="2568">
      <c r="A2568" t="inlineStr">
        <is>
          <t>Early-demographic dividend</t>
        </is>
      </c>
      <c r="B2568" t="inlineStr">
        <is>
          <t>EAR</t>
        </is>
      </c>
      <c r="C2568" t="n">
        <v>1978</v>
      </c>
      <c r="D2568" t="n">
        <v>9.314183695608239</v>
      </c>
    </row>
    <row r="2569">
      <c r="A2569" t="inlineStr">
        <is>
          <t>Early-demographic dividend</t>
        </is>
      </c>
      <c r="B2569" t="inlineStr">
        <is>
          <t>EAR</t>
        </is>
      </c>
      <c r="C2569" t="n">
        <v>1979</v>
      </c>
      <c r="D2569" t="n">
        <v>11.5424155726988</v>
      </c>
    </row>
    <row r="2570">
      <c r="A2570" t="inlineStr">
        <is>
          <t>Early-demographic dividend</t>
        </is>
      </c>
      <c r="B2570" t="inlineStr">
        <is>
          <t>EAR</t>
        </is>
      </c>
      <c r="C2570" t="n">
        <v>1980</v>
      </c>
      <c r="D2570" t="n">
        <v>14.6845027763768</v>
      </c>
    </row>
    <row r="2571">
      <c r="A2571" t="inlineStr">
        <is>
          <t>Early-demographic dividend</t>
        </is>
      </c>
      <c r="B2571" t="inlineStr">
        <is>
          <t>EAR</t>
        </is>
      </c>
      <c r="C2571" t="n">
        <v>1981</v>
      </c>
      <c r="D2571" t="n">
        <v>12.413261372398</v>
      </c>
    </row>
    <row r="2572">
      <c r="A2572" t="inlineStr">
        <is>
          <t>Early-demographic dividend</t>
        </is>
      </c>
      <c r="B2572" t="inlineStr">
        <is>
          <t>EAR</t>
        </is>
      </c>
      <c r="C2572" t="n">
        <v>1982</v>
      </c>
      <c r="D2572" t="n">
        <v>10.2217271376892</v>
      </c>
    </row>
    <row r="2573">
      <c r="A2573" t="inlineStr">
        <is>
          <t>Early-demographic dividend</t>
        </is>
      </c>
      <c r="B2573" t="inlineStr">
        <is>
          <t>EAR</t>
        </is>
      </c>
      <c r="C2573" t="n">
        <v>1983</v>
      </c>
      <c r="D2573" t="n">
        <v>10.2436633526545</v>
      </c>
    </row>
    <row r="2574">
      <c r="A2574" t="inlineStr">
        <is>
          <t>Early-demographic dividend</t>
        </is>
      </c>
      <c r="B2574" t="inlineStr">
        <is>
          <t>EAR</t>
        </is>
      </c>
      <c r="C2574" t="n">
        <v>1984</v>
      </c>
      <c r="D2574" t="n">
        <v>8.497371412819801</v>
      </c>
    </row>
    <row r="2575">
      <c r="A2575" t="inlineStr">
        <is>
          <t>Early-demographic dividend</t>
        </is>
      </c>
      <c r="B2575" t="inlineStr">
        <is>
          <t>EAR</t>
        </is>
      </c>
      <c r="C2575" t="n">
        <v>1985</v>
      </c>
      <c r="D2575" t="n">
        <v>9.3533308127415</v>
      </c>
    </row>
    <row r="2576">
      <c r="A2576" t="inlineStr">
        <is>
          <t>Early-demographic dividend</t>
        </is>
      </c>
      <c r="B2576" t="inlineStr">
        <is>
          <t>EAR</t>
        </is>
      </c>
      <c r="C2576" t="n">
        <v>1986</v>
      </c>
      <c r="D2576" t="n">
        <v>10.0017155606022</v>
      </c>
    </row>
    <row r="2577">
      <c r="A2577" t="inlineStr">
        <is>
          <t>Early-demographic dividend</t>
        </is>
      </c>
      <c r="B2577" t="inlineStr">
        <is>
          <t>EAR</t>
        </is>
      </c>
      <c r="C2577" t="n">
        <v>1987</v>
      </c>
      <c r="D2577" t="n">
        <v>9.753003101709981</v>
      </c>
    </row>
    <row r="2578">
      <c r="A2578" t="inlineStr">
        <is>
          <t>Early-demographic dividend</t>
        </is>
      </c>
      <c r="B2578" t="inlineStr">
        <is>
          <t>EAR</t>
        </is>
      </c>
      <c r="C2578" t="n">
        <v>1988</v>
      </c>
      <c r="D2578" t="n">
        <v>8.98300338208989</v>
      </c>
    </row>
    <row r="2579">
      <c r="A2579" t="inlineStr">
        <is>
          <t>Early-demographic dividend</t>
        </is>
      </c>
      <c r="B2579" t="inlineStr">
        <is>
          <t>EAR</t>
        </is>
      </c>
      <c r="C2579" t="n">
        <v>1989</v>
      </c>
      <c r="D2579" t="n">
        <v>9.075624085378591</v>
      </c>
    </row>
    <row r="2580">
      <c r="A2580" t="inlineStr">
        <is>
          <t>Early-demographic dividend</t>
        </is>
      </c>
      <c r="B2580" t="inlineStr">
        <is>
          <t>EAR</t>
        </is>
      </c>
      <c r="C2580" t="n">
        <v>1990</v>
      </c>
      <c r="D2580" t="n">
        <v>11.9060546010382</v>
      </c>
    </row>
    <row r="2581">
      <c r="A2581" t="inlineStr">
        <is>
          <t>Early-demographic dividend</t>
        </is>
      </c>
      <c r="B2581" t="inlineStr">
        <is>
          <t>EAR</t>
        </is>
      </c>
      <c r="C2581" t="n">
        <v>1991</v>
      </c>
      <c r="D2581" t="n">
        <v>15.050130775937</v>
      </c>
    </row>
    <row r="2582">
      <c r="A2582" t="inlineStr">
        <is>
          <t>Early-demographic dividend</t>
        </is>
      </c>
      <c r="B2582" t="inlineStr">
        <is>
          <t>EAR</t>
        </is>
      </c>
      <c r="C2582" t="n">
        <v>1992</v>
      </c>
      <c r="D2582" t="n">
        <v>10.5274440119592</v>
      </c>
    </row>
    <row r="2583">
      <c r="A2583" t="inlineStr">
        <is>
          <t>Early-demographic dividend</t>
        </is>
      </c>
      <c r="B2583" t="inlineStr">
        <is>
          <t>EAR</t>
        </is>
      </c>
      <c r="C2583" t="n">
        <v>1993</v>
      </c>
      <c r="D2583" t="n">
        <v>9.97366476029209</v>
      </c>
    </row>
    <row r="2584">
      <c r="A2584" t="inlineStr">
        <is>
          <t>Early-demographic dividend</t>
        </is>
      </c>
      <c r="B2584" t="inlineStr">
        <is>
          <t>EAR</t>
        </is>
      </c>
      <c r="C2584" t="n">
        <v>1994</v>
      </c>
      <c r="D2584" t="n">
        <v>9.59324963960295</v>
      </c>
    </row>
    <row r="2585">
      <c r="A2585" t="inlineStr">
        <is>
          <t>Early-demographic dividend</t>
        </is>
      </c>
      <c r="B2585" t="inlineStr">
        <is>
          <t>EAR</t>
        </is>
      </c>
      <c r="C2585" t="n">
        <v>1995</v>
      </c>
      <c r="D2585" t="n">
        <v>10.0221733553239</v>
      </c>
    </row>
    <row r="2586">
      <c r="A2586" t="inlineStr">
        <is>
          <t>Early-demographic dividend</t>
        </is>
      </c>
      <c r="B2586" t="inlineStr">
        <is>
          <t>EAR</t>
        </is>
      </c>
      <c r="C2586" t="n">
        <v>1996</v>
      </c>
      <c r="D2586" t="n">
        <v>8.51995195925336</v>
      </c>
    </row>
    <row r="2587">
      <c r="A2587" t="inlineStr">
        <is>
          <t>Early-demographic dividend</t>
        </is>
      </c>
      <c r="B2587" t="inlineStr">
        <is>
          <t>EAR</t>
        </is>
      </c>
      <c r="C2587" t="n">
        <v>1997</v>
      </c>
      <c r="D2587" t="n">
        <v>7.01828599869913</v>
      </c>
    </row>
    <row r="2588">
      <c r="A2588" t="inlineStr">
        <is>
          <t>Early-demographic dividend</t>
        </is>
      </c>
      <c r="B2588" t="inlineStr">
        <is>
          <t>EAR</t>
        </is>
      </c>
      <c r="C2588" t="n">
        <v>1998</v>
      </c>
      <c r="D2588" t="n">
        <v>6.420732429713</v>
      </c>
    </row>
    <row r="2589">
      <c r="A2589" t="inlineStr">
        <is>
          <t>Early-demographic dividend</t>
        </is>
      </c>
      <c r="B2589" t="inlineStr">
        <is>
          <t>EAR</t>
        </is>
      </c>
      <c r="C2589" t="n">
        <v>1999</v>
      </c>
      <c r="D2589" t="n">
        <v>5.02321078556241</v>
      </c>
    </row>
    <row r="2590">
      <c r="A2590" t="inlineStr">
        <is>
          <t>Early-demographic dividend</t>
        </is>
      </c>
      <c r="B2590" t="inlineStr">
        <is>
          <t>EAR</t>
        </is>
      </c>
      <c r="C2590" t="n">
        <v>2000</v>
      </c>
      <c r="D2590" t="n">
        <v>3.89952980284712</v>
      </c>
    </row>
    <row r="2591">
      <c r="A2591" t="inlineStr">
        <is>
          <t>Early-demographic dividend</t>
        </is>
      </c>
      <c r="B2591" t="inlineStr">
        <is>
          <t>EAR</t>
        </is>
      </c>
      <c r="C2591" t="n">
        <v>2001</v>
      </c>
      <c r="D2591" t="n">
        <v>3.7508205747202</v>
      </c>
    </row>
    <row r="2592">
      <c r="A2592" t="inlineStr">
        <is>
          <t>Early-demographic dividend</t>
        </is>
      </c>
      <c r="B2592" t="inlineStr">
        <is>
          <t>EAR</t>
        </is>
      </c>
      <c r="C2592" t="n">
        <v>2002</v>
      </c>
      <c r="D2592" t="n">
        <v>4.24026660688645</v>
      </c>
    </row>
    <row r="2593">
      <c r="A2593" t="inlineStr">
        <is>
          <t>Early-demographic dividend</t>
        </is>
      </c>
      <c r="B2593" t="inlineStr">
        <is>
          <t>EAR</t>
        </is>
      </c>
      <c r="C2593" t="n">
        <v>2003</v>
      </c>
      <c r="D2593" t="n">
        <v>5.45293224327203</v>
      </c>
    </row>
    <row r="2594">
      <c r="A2594" t="inlineStr">
        <is>
          <t>Early-demographic dividend</t>
        </is>
      </c>
      <c r="B2594" t="inlineStr">
        <is>
          <t>EAR</t>
        </is>
      </c>
      <c r="C2594" t="n">
        <v>2004</v>
      </c>
      <c r="D2594" t="n">
        <v>4.43526108410782</v>
      </c>
    </row>
    <row r="2595">
      <c r="A2595" t="inlineStr">
        <is>
          <t>Early-demographic dividend</t>
        </is>
      </c>
      <c r="B2595" t="inlineStr">
        <is>
          <t>EAR</t>
        </is>
      </c>
      <c r="C2595" t="n">
        <v>2005</v>
      </c>
      <c r="D2595" t="n">
        <v>4.8217005071285</v>
      </c>
    </row>
    <row r="2596">
      <c r="A2596" t="inlineStr">
        <is>
          <t>Early-demographic dividend</t>
        </is>
      </c>
      <c r="B2596" t="inlineStr">
        <is>
          <t>EAR</t>
        </is>
      </c>
      <c r="C2596" t="n">
        <v>2006</v>
      </c>
      <c r="D2596" t="n">
        <v>5.68713772607966</v>
      </c>
    </row>
    <row r="2597">
      <c r="A2597" t="inlineStr">
        <is>
          <t>Early-demographic dividend</t>
        </is>
      </c>
      <c r="B2597" t="inlineStr">
        <is>
          <t>EAR</t>
        </is>
      </c>
      <c r="C2597" t="n">
        <v>2007</v>
      </c>
      <c r="D2597" t="n">
        <v>6.17781214809388</v>
      </c>
    </row>
    <row r="2598">
      <c r="A2598" t="inlineStr">
        <is>
          <t>Early-demographic dividend</t>
        </is>
      </c>
      <c r="B2598" t="inlineStr">
        <is>
          <t>EAR</t>
        </is>
      </c>
      <c r="C2598" t="n">
        <v>2008</v>
      </c>
      <c r="D2598" t="n">
        <v>10.4469875128222</v>
      </c>
    </row>
    <row r="2599">
      <c r="A2599" t="inlineStr">
        <is>
          <t>Early-demographic dividend</t>
        </is>
      </c>
      <c r="B2599" t="inlineStr">
        <is>
          <t>EAR</t>
        </is>
      </c>
      <c r="C2599" t="n">
        <v>2009</v>
      </c>
      <c r="D2599" t="n">
        <v>4.37376887067268</v>
      </c>
    </row>
    <row r="2600">
      <c r="A2600" t="inlineStr">
        <is>
          <t>Early-demographic dividend</t>
        </is>
      </c>
      <c r="B2600" t="inlineStr">
        <is>
          <t>EAR</t>
        </is>
      </c>
      <c r="C2600" t="n">
        <v>2010</v>
      </c>
      <c r="D2600" t="n">
        <v>4.3974138315007</v>
      </c>
    </row>
    <row r="2601">
      <c r="A2601" t="inlineStr">
        <is>
          <t>Early-demographic dividend</t>
        </is>
      </c>
      <c r="B2601" t="inlineStr">
        <is>
          <t>EAR</t>
        </is>
      </c>
      <c r="C2601" t="n">
        <v>2011</v>
      </c>
      <c r="D2601" t="n">
        <v>5.81149209022697</v>
      </c>
    </row>
    <row r="2602">
      <c r="A2602" t="inlineStr">
        <is>
          <t>Early-demographic dividend</t>
        </is>
      </c>
      <c r="B2602" t="inlineStr">
        <is>
          <t>EAR</t>
        </is>
      </c>
      <c r="C2602" t="n">
        <v>2012</v>
      </c>
      <c r="D2602" t="n">
        <v>5.01827254237431</v>
      </c>
    </row>
    <row r="2603">
      <c r="A2603" t="inlineStr">
        <is>
          <t>Early-demographic dividend</t>
        </is>
      </c>
      <c r="B2603" t="inlineStr">
        <is>
          <t>EAR</t>
        </is>
      </c>
      <c r="C2603" t="n">
        <v>2013</v>
      </c>
      <c r="D2603" t="n">
        <v>4.82778705505168</v>
      </c>
    </row>
    <row r="2604">
      <c r="A2604" t="inlineStr">
        <is>
          <t>Early-demographic dividend</t>
        </is>
      </c>
      <c r="B2604" t="inlineStr">
        <is>
          <t>EAR</t>
        </is>
      </c>
      <c r="C2604" t="n">
        <v>2014</v>
      </c>
      <c r="D2604" t="n">
        <v>4.07392957476225</v>
      </c>
    </row>
    <row r="2605">
      <c r="A2605" t="inlineStr">
        <is>
          <t>Early-demographic dividend</t>
        </is>
      </c>
      <c r="B2605" t="inlineStr">
        <is>
          <t>EAR</t>
        </is>
      </c>
      <c r="C2605" t="n">
        <v>2015</v>
      </c>
      <c r="D2605" t="n">
        <v>3.12900274473925</v>
      </c>
    </row>
    <row r="2606">
      <c r="A2606" t="inlineStr">
        <is>
          <t>Early-demographic dividend</t>
        </is>
      </c>
      <c r="B2606" t="inlineStr">
        <is>
          <t>EAR</t>
        </is>
      </c>
      <c r="C2606" t="n">
        <v>2016</v>
      </c>
      <c r="D2606" t="n">
        <v>3.52317317628473</v>
      </c>
    </row>
    <row r="2607">
      <c r="A2607" t="inlineStr">
        <is>
          <t>Early-demographic dividend</t>
        </is>
      </c>
      <c r="B2607" t="inlineStr">
        <is>
          <t>EAR</t>
        </is>
      </c>
      <c r="C2607" t="n">
        <v>2017</v>
      </c>
      <c r="D2607" t="n">
        <v>3.60247741348943</v>
      </c>
    </row>
    <row r="2608">
      <c r="A2608" t="inlineStr">
        <is>
          <t>Early-demographic dividend</t>
        </is>
      </c>
      <c r="B2608" t="inlineStr">
        <is>
          <t>EAR</t>
        </is>
      </c>
      <c r="C2608" t="n">
        <v>2018</v>
      </c>
      <c r="D2608" t="n">
        <v>3.95721831216162</v>
      </c>
    </row>
    <row r="2609">
      <c r="A2609" t="inlineStr">
        <is>
          <t>Early-demographic dividend</t>
        </is>
      </c>
      <c r="B2609" t="inlineStr">
        <is>
          <t>EAR</t>
        </is>
      </c>
      <c r="C2609" t="n">
        <v>2019</v>
      </c>
      <c r="D2609" t="n">
        <v>2.75980873474443</v>
      </c>
    </row>
    <row r="2610">
      <c r="A2610" t="inlineStr">
        <is>
          <t>Early-demographic dividend</t>
        </is>
      </c>
      <c r="B2610" t="inlineStr">
        <is>
          <t>EAR</t>
        </is>
      </c>
      <c r="C2610" t="n">
        <v>2020</v>
      </c>
      <c r="D2610" t="n">
        <v>2.95192253170018</v>
      </c>
    </row>
    <row r="2611">
      <c r="A2611" t="inlineStr">
        <is>
          <t>Early-demographic dividend</t>
        </is>
      </c>
      <c r="B2611" t="inlineStr">
        <is>
          <t>EAR</t>
        </is>
      </c>
      <c r="C2611" t="n">
        <v>2021</v>
      </c>
      <c r="D2611" t="n">
        <v>4.03843012730298</v>
      </c>
    </row>
    <row r="2612">
      <c r="A2612" t="inlineStr">
        <is>
          <t>Early-demographic dividend</t>
        </is>
      </c>
      <c r="B2612" t="inlineStr">
        <is>
          <t>EAR</t>
        </is>
      </c>
      <c r="C2612" t="n">
        <v>2022</v>
      </c>
      <c r="D2612" t="n">
        <v>7.11924444078175</v>
      </c>
    </row>
    <row r="2613">
      <c r="A2613" t="inlineStr">
        <is>
          <t>Early-demographic dividend</t>
        </is>
      </c>
      <c r="B2613" t="inlineStr">
        <is>
          <t>EAR</t>
        </is>
      </c>
      <c r="C2613" t="n">
        <v>2023</v>
      </c>
      <c r="D2613" t="n">
        <v>5.88289680163219</v>
      </c>
    </row>
    <row r="2614">
      <c r="A2614" t="inlineStr">
        <is>
          <t>East Asia &amp; Pacific</t>
        </is>
      </c>
      <c r="B2614" t="inlineStr">
        <is>
          <t>EAS</t>
        </is>
      </c>
      <c r="C2614" t="n">
        <v>1987</v>
      </c>
      <c r="D2614" t="n">
        <v>4.68598778792504</v>
      </c>
    </row>
    <row r="2615">
      <c r="A2615" t="inlineStr">
        <is>
          <t>East Asia &amp; Pacific</t>
        </is>
      </c>
      <c r="B2615" t="inlineStr">
        <is>
          <t>EAS</t>
        </is>
      </c>
      <c r="C2615" t="n">
        <v>1988</v>
      </c>
      <c r="D2615" t="n">
        <v>7.8873239436618</v>
      </c>
    </row>
    <row r="2616">
      <c r="A2616" t="inlineStr">
        <is>
          <t>East Asia &amp; Pacific</t>
        </is>
      </c>
      <c r="B2616" t="inlineStr">
        <is>
          <t>EAS</t>
        </is>
      </c>
      <c r="C2616" t="n">
        <v>1989</v>
      </c>
      <c r="D2616" t="n">
        <v>6.41553963494971</v>
      </c>
    </row>
    <row r="2617">
      <c r="A2617" t="inlineStr">
        <is>
          <t>East Asia &amp; Pacific</t>
        </is>
      </c>
      <c r="B2617" t="inlineStr">
        <is>
          <t>EAS</t>
        </is>
      </c>
      <c r="C2617" t="n">
        <v>1990</v>
      </c>
      <c r="D2617" t="n">
        <v>7.81919144730547</v>
      </c>
    </row>
    <row r="2618">
      <c r="A2618" t="inlineStr">
        <is>
          <t>East Asia &amp; Pacific</t>
        </is>
      </c>
      <c r="B2618" t="inlineStr">
        <is>
          <t>EAS</t>
        </is>
      </c>
      <c r="C2618" t="n">
        <v>1991</v>
      </c>
      <c r="D2618" t="n">
        <v>6.49734555984545</v>
      </c>
    </row>
    <row r="2619">
      <c r="A2619" t="inlineStr">
        <is>
          <t>East Asia &amp; Pacific</t>
        </is>
      </c>
      <c r="B2619" t="inlineStr">
        <is>
          <t>EAS</t>
        </is>
      </c>
      <c r="C2619" t="n">
        <v>1992</v>
      </c>
      <c r="D2619" t="n">
        <v>6.21328146355184</v>
      </c>
    </row>
    <row r="2620">
      <c r="A2620" t="inlineStr">
        <is>
          <t>East Asia &amp; Pacific</t>
        </is>
      </c>
      <c r="B2620" t="inlineStr">
        <is>
          <t>EAS</t>
        </is>
      </c>
      <c r="C2620" t="n">
        <v>1993</v>
      </c>
      <c r="D2620" t="n">
        <v>4.887555452635</v>
      </c>
    </row>
    <row r="2621">
      <c r="A2621" t="inlineStr">
        <is>
          <t>East Asia &amp; Pacific</t>
        </is>
      </c>
      <c r="B2621" t="inlineStr">
        <is>
          <t>EAS</t>
        </is>
      </c>
      <c r="C2621" t="n">
        <v>1994</v>
      </c>
      <c r="D2621" t="n">
        <v>5.64990893945513</v>
      </c>
    </row>
    <row r="2622">
      <c r="A2622" t="inlineStr">
        <is>
          <t>East Asia &amp; Pacific</t>
        </is>
      </c>
      <c r="B2622" t="inlineStr">
        <is>
          <t>EAS</t>
        </is>
      </c>
      <c r="C2622" t="n">
        <v>1995</v>
      </c>
      <c r="D2622" t="n">
        <v>4.62776659959759</v>
      </c>
    </row>
    <row r="2623">
      <c r="A2623" t="inlineStr">
        <is>
          <t>East Asia &amp; Pacific</t>
        </is>
      </c>
      <c r="B2623" t="inlineStr">
        <is>
          <t>EAS</t>
        </is>
      </c>
      <c r="C2623" t="n">
        <v>1996</v>
      </c>
      <c r="D2623" t="n">
        <v>5.52480986015136</v>
      </c>
    </row>
    <row r="2624">
      <c r="A2624" t="inlineStr">
        <is>
          <t>East Asia &amp; Pacific</t>
        </is>
      </c>
      <c r="B2624" t="inlineStr">
        <is>
          <t>EAS</t>
        </is>
      </c>
      <c r="C2624" t="n">
        <v>1997</v>
      </c>
      <c r="D2624" t="n">
        <v>3.72765760183632</v>
      </c>
    </row>
    <row r="2625">
      <c r="A2625" t="inlineStr">
        <is>
          <t>East Asia &amp; Pacific</t>
        </is>
      </c>
      <c r="B2625" t="inlineStr">
        <is>
          <t>EAS</t>
        </is>
      </c>
      <c r="C2625" t="n">
        <v>1998</v>
      </c>
      <c r="D2625" t="n">
        <v>5.49101180380943</v>
      </c>
    </row>
    <row r="2626">
      <c r="A2626" t="inlineStr">
        <is>
          <t>East Asia &amp; Pacific</t>
        </is>
      </c>
      <c r="B2626" t="inlineStr">
        <is>
          <t>EAS</t>
        </is>
      </c>
      <c r="C2626" t="n">
        <v>1999</v>
      </c>
      <c r="D2626" t="n">
        <v>1.98382427234186</v>
      </c>
    </row>
    <row r="2627">
      <c r="A2627" t="inlineStr">
        <is>
          <t>East Asia &amp; Pacific</t>
        </is>
      </c>
      <c r="B2627" t="inlineStr">
        <is>
          <t>EAS</t>
        </is>
      </c>
      <c r="C2627" t="n">
        <v>2000</v>
      </c>
      <c r="D2627" t="n">
        <v>1.59196917460972</v>
      </c>
    </row>
    <row r="2628">
      <c r="A2628" t="inlineStr">
        <is>
          <t>East Asia &amp; Pacific</t>
        </is>
      </c>
      <c r="B2628" t="inlineStr">
        <is>
          <t>EAS</t>
        </is>
      </c>
      <c r="C2628" t="n">
        <v>2001</v>
      </c>
      <c r="D2628" t="n">
        <v>3.57755452095074</v>
      </c>
    </row>
    <row r="2629">
      <c r="A2629" t="inlineStr">
        <is>
          <t>East Asia &amp; Pacific</t>
        </is>
      </c>
      <c r="B2629" t="inlineStr">
        <is>
          <t>EAS</t>
        </is>
      </c>
      <c r="C2629" t="n">
        <v>2002</v>
      </c>
      <c r="D2629" t="n">
        <v>1.88572000240366</v>
      </c>
    </row>
    <row r="2630">
      <c r="A2630" t="inlineStr">
        <is>
          <t>East Asia &amp; Pacific</t>
        </is>
      </c>
      <c r="B2630" t="inlineStr">
        <is>
          <t>EAS</t>
        </is>
      </c>
      <c r="C2630" t="n">
        <v>2003</v>
      </c>
      <c r="D2630" t="n">
        <v>2.28915662650607</v>
      </c>
    </row>
    <row r="2631">
      <c r="A2631" t="inlineStr">
        <is>
          <t>East Asia &amp; Pacific</t>
        </is>
      </c>
      <c r="B2631" t="inlineStr">
        <is>
          <t>EAS</t>
        </is>
      </c>
      <c r="C2631" t="n">
        <v>2004</v>
      </c>
      <c r="D2631" t="n">
        <v>3.23751394003321</v>
      </c>
    </row>
    <row r="2632">
      <c r="A2632" t="inlineStr">
        <is>
          <t>East Asia &amp; Pacific</t>
        </is>
      </c>
      <c r="B2632" t="inlineStr">
        <is>
          <t>EAS</t>
        </is>
      </c>
      <c r="C2632" t="n">
        <v>2005</v>
      </c>
      <c r="D2632" t="n">
        <v>3.03702332617012</v>
      </c>
    </row>
    <row r="2633">
      <c r="A2633" t="inlineStr">
        <is>
          <t>East Asia &amp; Pacific</t>
        </is>
      </c>
      <c r="B2633" t="inlineStr">
        <is>
          <t>EAS</t>
        </is>
      </c>
      <c r="C2633" t="n">
        <v>2006</v>
      </c>
      <c r="D2633" t="n">
        <v>3.93616259929866</v>
      </c>
    </row>
    <row r="2634">
      <c r="A2634" t="inlineStr">
        <is>
          <t>East Asia &amp; Pacific</t>
        </is>
      </c>
      <c r="B2634" t="inlineStr">
        <is>
          <t>EAS</t>
        </is>
      </c>
      <c r="C2634" t="n">
        <v>2007</v>
      </c>
      <c r="D2634" t="n">
        <v>3.76400259181595</v>
      </c>
    </row>
    <row r="2635">
      <c r="A2635" t="inlineStr">
        <is>
          <t>East Asia &amp; Pacific</t>
        </is>
      </c>
      <c r="B2635" t="inlineStr">
        <is>
          <t>EAS</t>
        </is>
      </c>
      <c r="C2635" t="n">
        <v>2008</v>
      </c>
      <c r="D2635" t="n">
        <v>8.342086349209559</v>
      </c>
    </row>
    <row r="2636">
      <c r="A2636" t="inlineStr">
        <is>
          <t>East Asia &amp; Pacific</t>
        </is>
      </c>
      <c r="B2636" t="inlineStr">
        <is>
          <t>EAS</t>
        </is>
      </c>
      <c r="C2636" t="n">
        <v>2009</v>
      </c>
      <c r="D2636" t="n">
        <v>1.6217301400345</v>
      </c>
    </row>
    <row r="2637">
      <c r="A2637" t="inlineStr">
        <is>
          <t>East Asia &amp; Pacific</t>
        </is>
      </c>
      <c r="B2637" t="inlineStr">
        <is>
          <t>EAS</t>
        </is>
      </c>
      <c r="C2637" t="n">
        <v>2010</v>
      </c>
      <c r="D2637" t="n">
        <v>3.05730563962442</v>
      </c>
    </row>
    <row r="2638">
      <c r="A2638" t="inlineStr">
        <is>
          <t>East Asia &amp; Pacific</t>
        </is>
      </c>
      <c r="B2638" t="inlineStr">
        <is>
          <t>EAS</t>
        </is>
      </c>
      <c r="C2638" t="n">
        <v>2011</v>
      </c>
      <c r="D2638" t="n">
        <v>5.0214601462073</v>
      </c>
    </row>
    <row r="2639">
      <c r="A2639" t="inlineStr">
        <is>
          <t>East Asia &amp; Pacific</t>
        </is>
      </c>
      <c r="B2639" t="inlineStr">
        <is>
          <t>EAS</t>
        </is>
      </c>
      <c r="C2639" t="n">
        <v>2012</v>
      </c>
      <c r="D2639" t="n">
        <v>2.97460779814473</v>
      </c>
    </row>
    <row r="2640">
      <c r="A2640" t="inlineStr">
        <is>
          <t>East Asia &amp; Pacific</t>
        </is>
      </c>
      <c r="B2640" t="inlineStr">
        <is>
          <t>EAS</t>
        </is>
      </c>
      <c r="C2640" t="n">
        <v>2013</v>
      </c>
      <c r="D2640" t="n">
        <v>2.58268766141795</v>
      </c>
    </row>
    <row r="2641">
      <c r="A2641" t="inlineStr">
        <is>
          <t>East Asia &amp; Pacific</t>
        </is>
      </c>
      <c r="B2641" t="inlineStr">
        <is>
          <t>EAS</t>
        </is>
      </c>
      <c r="C2641" t="n">
        <v>2014</v>
      </c>
      <c r="D2641" t="n">
        <v>2.51087633253706</v>
      </c>
    </row>
    <row r="2642">
      <c r="A2642" t="inlineStr">
        <is>
          <t>East Asia &amp; Pacific</t>
        </is>
      </c>
      <c r="B2642" t="inlineStr">
        <is>
          <t>EAS</t>
        </is>
      </c>
      <c r="C2642" t="n">
        <v>2015</v>
      </c>
      <c r="D2642" t="n">
        <v>0.795279630579839</v>
      </c>
    </row>
    <row r="2643">
      <c r="A2643" t="inlineStr">
        <is>
          <t>East Asia &amp; Pacific</t>
        </is>
      </c>
      <c r="B2643" t="inlineStr">
        <is>
          <t>EAS</t>
        </is>
      </c>
      <c r="C2643" t="n">
        <v>2016</v>
      </c>
      <c r="D2643" t="n">
        <v>1.27699094497324</v>
      </c>
    </row>
    <row r="2644">
      <c r="A2644" t="inlineStr">
        <is>
          <t>East Asia &amp; Pacific</t>
        </is>
      </c>
      <c r="B2644" t="inlineStr">
        <is>
          <t>EAS</t>
        </is>
      </c>
      <c r="C2644" t="n">
        <v>2017</v>
      </c>
      <c r="D2644" t="n">
        <v>1.8003422246862</v>
      </c>
    </row>
    <row r="2645">
      <c r="A2645" t="inlineStr">
        <is>
          <t>East Asia &amp; Pacific</t>
        </is>
      </c>
      <c r="B2645" t="inlineStr">
        <is>
          <t>EAS</t>
        </is>
      </c>
      <c r="C2645" t="n">
        <v>2018</v>
      </c>
      <c r="D2645" t="n">
        <v>2.368549058067</v>
      </c>
    </row>
    <row r="2646">
      <c r="A2646" t="inlineStr">
        <is>
          <t>East Asia &amp; Pacific</t>
        </is>
      </c>
      <c r="B2646" t="inlineStr">
        <is>
          <t>EAS</t>
        </is>
      </c>
      <c r="C2646" t="n">
        <v>2019</v>
      </c>
      <c r="D2646" t="n">
        <v>1.70397863236265</v>
      </c>
    </row>
    <row r="2647">
      <c r="A2647" t="inlineStr">
        <is>
          <t>East Asia &amp; Pacific</t>
        </is>
      </c>
      <c r="B2647" t="inlineStr">
        <is>
          <t>EAS</t>
        </is>
      </c>
      <c r="C2647" t="n">
        <v>2020</v>
      </c>
      <c r="D2647" t="n">
        <v>0.846905537459305</v>
      </c>
    </row>
    <row r="2648">
      <c r="A2648" t="inlineStr">
        <is>
          <t>East Asia &amp; Pacific</t>
        </is>
      </c>
      <c r="B2648" t="inlineStr">
        <is>
          <t>EAS</t>
        </is>
      </c>
      <c r="C2648" t="n">
        <v>2021</v>
      </c>
      <c r="D2648" t="n">
        <v>2.47710241465447</v>
      </c>
    </row>
    <row r="2649">
      <c r="A2649" t="inlineStr">
        <is>
          <t>East Asia &amp; Pacific</t>
        </is>
      </c>
      <c r="B2649" t="inlineStr">
        <is>
          <t>EAS</t>
        </is>
      </c>
      <c r="C2649" t="n">
        <v>2022</v>
      </c>
      <c r="D2649" t="n">
        <v>5.40874375479067</v>
      </c>
    </row>
    <row r="2650">
      <c r="A2650" t="inlineStr">
        <is>
          <t>East Asia &amp; Pacific</t>
        </is>
      </c>
      <c r="B2650" t="inlineStr">
        <is>
          <t>EAS</t>
        </is>
      </c>
      <c r="C2650" t="n">
        <v>2023</v>
      </c>
      <c r="D2650" t="n">
        <v>4.24579935926737</v>
      </c>
    </row>
    <row r="2651">
      <c r="A2651" t="inlineStr">
        <is>
          <t>Europe &amp; Central Asia (excluding high income)</t>
        </is>
      </c>
      <c r="B2651" t="inlineStr">
        <is>
          <t>ECA</t>
        </is>
      </c>
      <c r="C2651" t="n">
        <v>1994</v>
      </c>
      <c r="D2651" t="n">
        <v>891.187748133705</v>
      </c>
    </row>
    <row r="2652">
      <c r="A2652" t="inlineStr">
        <is>
          <t>Europe &amp; Central Asia (excluding high income)</t>
        </is>
      </c>
      <c r="B2652" t="inlineStr">
        <is>
          <t>ECA</t>
        </is>
      </c>
      <c r="C2652" t="n">
        <v>1995</v>
      </c>
      <c r="D2652" t="n">
        <v>162.717152150377</v>
      </c>
    </row>
    <row r="2653">
      <c r="A2653" t="inlineStr">
        <is>
          <t>Europe &amp; Central Asia (excluding high income)</t>
        </is>
      </c>
      <c r="B2653" t="inlineStr">
        <is>
          <t>ECA</t>
        </is>
      </c>
      <c r="C2653" t="n">
        <v>1996</v>
      </c>
      <c r="D2653" t="n">
        <v>35.5649400436339</v>
      </c>
    </row>
    <row r="2654">
      <c r="A2654" t="inlineStr">
        <is>
          <t>Europe &amp; Central Asia (excluding high income)</t>
        </is>
      </c>
      <c r="B2654" t="inlineStr">
        <is>
          <t>ECA</t>
        </is>
      </c>
      <c r="C2654" t="n">
        <v>1997</v>
      </c>
      <c r="D2654" t="n">
        <v>16.6743202378393</v>
      </c>
    </row>
    <row r="2655">
      <c r="A2655" t="inlineStr">
        <is>
          <t>Europe &amp; Central Asia (excluding high income)</t>
        </is>
      </c>
      <c r="B2655" t="inlineStr">
        <is>
          <t>ECA</t>
        </is>
      </c>
      <c r="C2655" t="n">
        <v>1998</v>
      </c>
      <c r="D2655" t="n">
        <v>9.56493445426184</v>
      </c>
    </row>
    <row r="2656">
      <c r="A2656" t="inlineStr">
        <is>
          <t>Europe &amp; Central Asia (excluding high income)</t>
        </is>
      </c>
      <c r="B2656" t="inlineStr">
        <is>
          <t>ECA</t>
        </is>
      </c>
      <c r="C2656" t="n">
        <v>1999</v>
      </c>
      <c r="D2656" t="n">
        <v>20.938173814012</v>
      </c>
    </row>
    <row r="2657">
      <c r="A2657" t="inlineStr">
        <is>
          <t>Europe &amp; Central Asia (excluding high income)</t>
        </is>
      </c>
      <c r="B2657" t="inlineStr">
        <is>
          <t>ECA</t>
        </is>
      </c>
      <c r="C2657" t="n">
        <v>2000</v>
      </c>
      <c r="D2657" t="n">
        <v>15.9408124351878</v>
      </c>
    </row>
    <row r="2658">
      <c r="A2658" t="inlineStr">
        <is>
          <t>Europe &amp; Central Asia (excluding high income)</t>
        </is>
      </c>
      <c r="B2658" t="inlineStr">
        <is>
          <t>ECA</t>
        </is>
      </c>
      <c r="C2658" t="n">
        <v>2001</v>
      </c>
      <c r="D2658" t="n">
        <v>8.354137771613379</v>
      </c>
    </row>
    <row r="2659">
      <c r="A2659" t="inlineStr">
        <is>
          <t>Europe &amp; Central Asia (excluding high income)</t>
        </is>
      </c>
      <c r="B2659" t="inlineStr">
        <is>
          <t>ECA</t>
        </is>
      </c>
      <c r="C2659" t="n">
        <v>2002</v>
      </c>
      <c r="D2659" t="n">
        <v>5.58783730000794</v>
      </c>
    </row>
    <row r="2660">
      <c r="A2660" t="inlineStr">
        <is>
          <t>Europe &amp; Central Asia (excluding high income)</t>
        </is>
      </c>
      <c r="B2660" t="inlineStr">
        <is>
          <t>ECA</t>
        </is>
      </c>
      <c r="C2660" t="n">
        <v>2003</v>
      </c>
      <c r="D2660" t="n">
        <v>4.95061559256827</v>
      </c>
    </row>
    <row r="2661">
      <c r="A2661" t="inlineStr">
        <is>
          <t>Europe &amp; Central Asia (excluding high income)</t>
        </is>
      </c>
      <c r="B2661" t="inlineStr">
        <is>
          <t>ECA</t>
        </is>
      </c>
      <c r="C2661" t="n">
        <v>2004</v>
      </c>
      <c r="D2661" t="n">
        <v>6.92165787428848</v>
      </c>
    </row>
    <row r="2662">
      <c r="A2662" t="inlineStr">
        <is>
          <t>Europe &amp; Central Asia (excluding high income)</t>
        </is>
      </c>
      <c r="B2662" t="inlineStr">
        <is>
          <t>ECA</t>
        </is>
      </c>
      <c r="C2662" t="n">
        <v>2005</v>
      </c>
      <c r="D2662" t="n">
        <v>7.87957982963885</v>
      </c>
    </row>
    <row r="2663">
      <c r="A2663" t="inlineStr">
        <is>
          <t>Europe &amp; Central Asia (excluding high income)</t>
        </is>
      </c>
      <c r="B2663" t="inlineStr">
        <is>
          <t>ECA</t>
        </is>
      </c>
      <c r="C2663" t="n">
        <v>2006</v>
      </c>
      <c r="D2663" t="n">
        <v>7.663026931994</v>
      </c>
    </row>
    <row r="2664">
      <c r="A2664" t="inlineStr">
        <is>
          <t>Europe &amp; Central Asia (excluding high income)</t>
        </is>
      </c>
      <c r="B2664" t="inlineStr">
        <is>
          <t>ECA</t>
        </is>
      </c>
      <c r="C2664" t="n">
        <v>2007</v>
      </c>
      <c r="D2664" t="n">
        <v>8.591466822389741</v>
      </c>
    </row>
    <row r="2665">
      <c r="A2665" t="inlineStr">
        <is>
          <t>Europe &amp; Central Asia (excluding high income)</t>
        </is>
      </c>
      <c r="B2665" t="inlineStr">
        <is>
          <t>ECA</t>
        </is>
      </c>
      <c r="C2665" t="n">
        <v>2008</v>
      </c>
      <c r="D2665" t="n">
        <v>11.4275575758332</v>
      </c>
    </row>
    <row r="2666">
      <c r="A2666" t="inlineStr">
        <is>
          <t>Europe &amp; Central Asia (excluding high income)</t>
        </is>
      </c>
      <c r="B2666" t="inlineStr">
        <is>
          <t>ECA</t>
        </is>
      </c>
      <c r="C2666" t="n">
        <v>2009</v>
      </c>
      <c r="D2666" t="n">
        <v>3.43674527945797</v>
      </c>
    </row>
    <row r="2667">
      <c r="A2667" t="inlineStr">
        <is>
          <t>Europe &amp; Central Asia (excluding high income)</t>
        </is>
      </c>
      <c r="B2667" t="inlineStr">
        <is>
          <t>ECA</t>
        </is>
      </c>
      <c r="C2667" t="n">
        <v>2010</v>
      </c>
      <c r="D2667" t="n">
        <v>6.77774669133379</v>
      </c>
    </row>
    <row r="2668">
      <c r="A2668" t="inlineStr">
        <is>
          <t>Europe &amp; Central Asia (excluding high income)</t>
        </is>
      </c>
      <c r="B2668" t="inlineStr">
        <is>
          <t>ECA</t>
        </is>
      </c>
      <c r="C2668" t="n">
        <v>2011</v>
      </c>
      <c r="D2668" t="n">
        <v>7.8583333333334</v>
      </c>
    </row>
    <row r="2669">
      <c r="A2669" t="inlineStr">
        <is>
          <t>Europe &amp; Central Asia (excluding high income)</t>
        </is>
      </c>
      <c r="B2669" t="inlineStr">
        <is>
          <t>ECA</t>
        </is>
      </c>
      <c r="C2669" t="n">
        <v>2012</v>
      </c>
      <c r="D2669" t="n">
        <v>3.31605566687647</v>
      </c>
    </row>
    <row r="2670">
      <c r="A2670" t="inlineStr">
        <is>
          <t>Europe &amp; Central Asia (excluding high income)</t>
        </is>
      </c>
      <c r="B2670" t="inlineStr">
        <is>
          <t>ECA</t>
        </is>
      </c>
      <c r="C2670" t="n">
        <v>2013</v>
      </c>
      <c r="D2670" t="n">
        <v>4.59787897363118</v>
      </c>
    </row>
    <row r="2671">
      <c r="A2671" t="inlineStr">
        <is>
          <t>Europe &amp; Central Asia (excluding high income)</t>
        </is>
      </c>
      <c r="B2671" t="inlineStr">
        <is>
          <t>ECA</t>
        </is>
      </c>
      <c r="C2671" t="n">
        <v>2014</v>
      </c>
      <c r="D2671" t="n">
        <v>3.06881210379543</v>
      </c>
    </row>
    <row r="2672">
      <c r="A2672" t="inlineStr">
        <is>
          <t>Europe &amp; Central Asia (excluding high income)</t>
        </is>
      </c>
      <c r="B2672" t="inlineStr">
        <is>
          <t>ECA</t>
        </is>
      </c>
      <c r="C2672" t="n">
        <v>2015</v>
      </c>
      <c r="D2672" t="n">
        <v>4.02768573742726</v>
      </c>
    </row>
    <row r="2673">
      <c r="A2673" t="inlineStr">
        <is>
          <t>Europe &amp; Central Asia (excluding high income)</t>
        </is>
      </c>
      <c r="B2673" t="inlineStr">
        <is>
          <t>ECA</t>
        </is>
      </c>
      <c r="C2673" t="n">
        <v>2016</v>
      </c>
      <c r="D2673" t="n">
        <v>2.13492713939121</v>
      </c>
    </row>
    <row r="2674">
      <c r="A2674" t="inlineStr">
        <is>
          <t>Europe &amp; Central Asia (excluding high income)</t>
        </is>
      </c>
      <c r="B2674" t="inlineStr">
        <is>
          <t>ECA</t>
        </is>
      </c>
      <c r="C2674" t="n">
        <v>2017</v>
      </c>
      <c r="D2674" t="n">
        <v>4.60357355778866</v>
      </c>
    </row>
    <row r="2675">
      <c r="A2675" t="inlineStr">
        <is>
          <t>Europe &amp; Central Asia (excluding high income)</t>
        </is>
      </c>
      <c r="B2675" t="inlineStr">
        <is>
          <t>ECA</t>
        </is>
      </c>
      <c r="C2675" t="n">
        <v>2018</v>
      </c>
      <c r="D2675" t="n">
        <v>2.56572880132719</v>
      </c>
    </row>
    <row r="2676">
      <c r="A2676" t="inlineStr">
        <is>
          <t>Europe &amp; Central Asia (excluding high income)</t>
        </is>
      </c>
      <c r="B2676" t="inlineStr">
        <is>
          <t>ECA</t>
        </is>
      </c>
      <c r="C2676" t="n">
        <v>2019</v>
      </c>
      <c r="D2676" t="n">
        <v>2.64328192719554</v>
      </c>
    </row>
    <row r="2677">
      <c r="A2677" t="inlineStr">
        <is>
          <t>Europe &amp; Central Asia (excluding high income)</t>
        </is>
      </c>
      <c r="B2677" t="inlineStr">
        <is>
          <t>ECA</t>
        </is>
      </c>
      <c r="C2677" t="n">
        <v>2020</v>
      </c>
      <c r="D2677" t="n">
        <v>2.74615078213777</v>
      </c>
    </row>
    <row r="2678">
      <c r="A2678" t="inlineStr">
        <is>
          <t>Europe &amp; Central Asia (excluding high income)</t>
        </is>
      </c>
      <c r="B2678" t="inlineStr">
        <is>
          <t>ECA</t>
        </is>
      </c>
      <c r="C2678" t="n">
        <v>2021</v>
      </c>
      <c r="D2678" t="n">
        <v>6.91756771076075</v>
      </c>
    </row>
    <row r="2679">
      <c r="A2679" t="inlineStr">
        <is>
          <t>Europe &amp; Central Asia (excluding high income)</t>
        </is>
      </c>
      <c r="B2679" t="inlineStr">
        <is>
          <t>ECA</t>
        </is>
      </c>
      <c r="C2679" t="n">
        <v>2022</v>
      </c>
      <c r="D2679" t="n">
        <v>13.8875841659221</v>
      </c>
    </row>
    <row r="2680">
      <c r="A2680" t="inlineStr">
        <is>
          <t>Europe &amp; Central Asia (excluding high income)</t>
        </is>
      </c>
      <c r="B2680" t="inlineStr">
        <is>
          <t>ECA</t>
        </is>
      </c>
      <c r="C2680" t="n">
        <v>2023</v>
      </c>
      <c r="D2680" t="n">
        <v>9.073651498090481</v>
      </c>
    </row>
    <row r="2681">
      <c r="A2681" t="inlineStr">
        <is>
          <t>Europe &amp; Central Asia</t>
        </is>
      </c>
      <c r="B2681" t="inlineStr">
        <is>
          <t>ECS</t>
        </is>
      </c>
      <c r="C2681" t="n">
        <v>1992</v>
      </c>
      <c r="D2681" t="n">
        <v>5.9245312622849</v>
      </c>
    </row>
    <row r="2682">
      <c r="A2682" t="inlineStr">
        <is>
          <t>Europe &amp; Central Asia</t>
        </is>
      </c>
      <c r="B2682" t="inlineStr">
        <is>
          <t>ECS</t>
        </is>
      </c>
      <c r="C2682" t="n">
        <v>1993</v>
      </c>
      <c r="D2682" t="n">
        <v>14.4112644439348</v>
      </c>
    </row>
    <row r="2683">
      <c r="A2683" t="inlineStr">
        <is>
          <t>Europe &amp; Central Asia</t>
        </is>
      </c>
      <c r="B2683" t="inlineStr">
        <is>
          <t>ECS</t>
        </is>
      </c>
      <c r="C2683" t="n">
        <v>1994</v>
      </c>
      <c r="D2683" t="n">
        <v>12.1447980115689</v>
      </c>
    </row>
    <row r="2684">
      <c r="A2684" t="inlineStr">
        <is>
          <t>Europe &amp; Central Asia</t>
        </is>
      </c>
      <c r="B2684" t="inlineStr">
        <is>
          <t>ECS</t>
        </is>
      </c>
      <c r="C2684" t="n">
        <v>1995</v>
      </c>
      <c r="D2684" t="n">
        <v>8.96251888719981</v>
      </c>
    </row>
    <row r="2685">
      <c r="A2685" t="inlineStr">
        <is>
          <t>Europe &amp; Central Asia</t>
        </is>
      </c>
      <c r="B2685" t="inlineStr">
        <is>
          <t>ECS</t>
        </is>
      </c>
      <c r="C2685" t="n">
        <v>1996</v>
      </c>
      <c r="D2685" t="n">
        <v>8.19455217632728</v>
      </c>
    </row>
    <row r="2686">
      <c r="A2686" t="inlineStr">
        <is>
          <t>Europe &amp; Central Asia</t>
        </is>
      </c>
      <c r="B2686" t="inlineStr">
        <is>
          <t>ECS</t>
        </is>
      </c>
      <c r="C2686" t="n">
        <v>1997</v>
      </c>
      <c r="D2686" t="n">
        <v>5.5360026677348</v>
      </c>
    </row>
    <row r="2687">
      <c r="A2687" t="inlineStr">
        <is>
          <t>Europe &amp; Central Asia</t>
        </is>
      </c>
      <c r="B2687" t="inlineStr">
        <is>
          <t>ECS</t>
        </is>
      </c>
      <c r="C2687" t="n">
        <v>1998</v>
      </c>
      <c r="D2687" t="n">
        <v>4.64421422660787</v>
      </c>
    </row>
    <row r="2688">
      <c r="A2688" t="inlineStr">
        <is>
          <t>Europe &amp; Central Asia</t>
        </is>
      </c>
      <c r="B2688" t="inlineStr">
        <is>
          <t>ECS</t>
        </is>
      </c>
      <c r="C2688" t="n">
        <v>1999</v>
      </c>
      <c r="D2688" t="n">
        <v>2.36481836111807</v>
      </c>
    </row>
    <row r="2689">
      <c r="A2689" t="inlineStr">
        <is>
          <t>Europe &amp; Central Asia</t>
        </is>
      </c>
      <c r="B2689" t="inlineStr">
        <is>
          <t>ECS</t>
        </is>
      </c>
      <c r="C2689" t="n">
        <v>2000</v>
      </c>
      <c r="D2689" t="n">
        <v>3.77538829151734</v>
      </c>
    </row>
    <row r="2690">
      <c r="A2690" t="inlineStr">
        <is>
          <t>Europe &amp; Central Asia</t>
        </is>
      </c>
      <c r="B2690" t="inlineStr">
        <is>
          <t>ECS</t>
        </is>
      </c>
      <c r="C2690" t="n">
        <v>2001</v>
      </c>
      <c r="D2690" t="n">
        <v>4.26287228873703</v>
      </c>
    </row>
    <row r="2691">
      <c r="A2691" t="inlineStr">
        <is>
          <t>Europe &amp; Central Asia</t>
        </is>
      </c>
      <c r="B2691" t="inlineStr">
        <is>
          <t>ECS</t>
        </is>
      </c>
      <c r="C2691" t="n">
        <v>2002</v>
      </c>
      <c r="D2691" t="n">
        <v>2.78615988589508</v>
      </c>
    </row>
    <row r="2692">
      <c r="A2692" t="inlineStr">
        <is>
          <t>Europe &amp; Central Asia</t>
        </is>
      </c>
      <c r="B2692" t="inlineStr">
        <is>
          <t>ECS</t>
        </is>
      </c>
      <c r="C2692" t="n">
        <v>2003</v>
      </c>
      <c r="D2692" t="n">
        <v>2.34864169582755</v>
      </c>
    </row>
    <row r="2693">
      <c r="A2693" t="inlineStr">
        <is>
          <t>Europe &amp; Central Asia</t>
        </is>
      </c>
      <c r="B2693" t="inlineStr">
        <is>
          <t>ECS</t>
        </is>
      </c>
      <c r="C2693" t="n">
        <v>2004</v>
      </c>
      <c r="D2693" t="n">
        <v>2.82947796214664</v>
      </c>
    </row>
    <row r="2694">
      <c r="A2694" t="inlineStr">
        <is>
          <t>Europe &amp; Central Asia</t>
        </is>
      </c>
      <c r="B2694" t="inlineStr">
        <is>
          <t>ECS</t>
        </is>
      </c>
      <c r="C2694" t="n">
        <v>2005</v>
      </c>
      <c r="D2694" t="n">
        <v>2.60932308197748</v>
      </c>
    </row>
    <row r="2695">
      <c r="A2695" t="inlineStr">
        <is>
          <t>Europe &amp; Central Asia</t>
        </is>
      </c>
      <c r="B2695" t="inlineStr">
        <is>
          <t>ECS</t>
        </is>
      </c>
      <c r="C2695" t="n">
        <v>2006</v>
      </c>
      <c r="D2695" t="n">
        <v>3.19288637808747</v>
      </c>
    </row>
    <row r="2696">
      <c r="A2696" t="inlineStr">
        <is>
          <t>Europe &amp; Central Asia</t>
        </is>
      </c>
      <c r="B2696" t="inlineStr">
        <is>
          <t>ECS</t>
        </is>
      </c>
      <c r="C2696" t="n">
        <v>2007</v>
      </c>
      <c r="D2696" t="n">
        <v>2.91598261872856</v>
      </c>
    </row>
    <row r="2697">
      <c r="A2697" t="inlineStr">
        <is>
          <t>Europe &amp; Central Asia</t>
        </is>
      </c>
      <c r="B2697" t="inlineStr">
        <is>
          <t>ECS</t>
        </is>
      </c>
      <c r="C2697" t="n">
        <v>2008</v>
      </c>
      <c r="D2697" t="n">
        <v>6.05974046339707</v>
      </c>
    </row>
    <row r="2698">
      <c r="A2698" t="inlineStr">
        <is>
          <t>Europe &amp; Central Asia</t>
        </is>
      </c>
      <c r="B2698" t="inlineStr">
        <is>
          <t>ECS</t>
        </is>
      </c>
      <c r="C2698" t="n">
        <v>2009</v>
      </c>
      <c r="D2698" t="n">
        <v>1.53607650014279</v>
      </c>
    </row>
    <row r="2699">
      <c r="A2699" t="inlineStr">
        <is>
          <t>Europe &amp; Central Asia</t>
        </is>
      </c>
      <c r="B2699" t="inlineStr">
        <is>
          <t>ECS</t>
        </is>
      </c>
      <c r="C2699" t="n">
        <v>2010</v>
      </c>
      <c r="D2699" t="n">
        <v>2.42447361791627</v>
      </c>
    </row>
    <row r="2700">
      <c r="A2700" t="inlineStr">
        <is>
          <t>Europe &amp; Central Asia</t>
        </is>
      </c>
      <c r="B2700" t="inlineStr">
        <is>
          <t>ECS</t>
        </is>
      </c>
      <c r="C2700" t="n">
        <v>2011</v>
      </c>
      <c r="D2700" t="n">
        <v>3.8561124468282</v>
      </c>
    </row>
    <row r="2701">
      <c r="A2701" t="inlineStr">
        <is>
          <t>Europe &amp; Central Asia</t>
        </is>
      </c>
      <c r="B2701" t="inlineStr">
        <is>
          <t>ECS</t>
        </is>
      </c>
      <c r="C2701" t="n">
        <v>2012</v>
      </c>
      <c r="D2701" t="n">
        <v>2.77333854051586</v>
      </c>
    </row>
    <row r="2702">
      <c r="A2702" t="inlineStr">
        <is>
          <t>Europe &amp; Central Asia</t>
        </is>
      </c>
      <c r="B2702" t="inlineStr">
        <is>
          <t>ECS</t>
        </is>
      </c>
      <c r="C2702" t="n">
        <v>2013</v>
      </c>
      <c r="D2702" t="n">
        <v>1.73403963519162</v>
      </c>
    </row>
    <row r="2703">
      <c r="A2703" t="inlineStr">
        <is>
          <t>Europe &amp; Central Asia</t>
        </is>
      </c>
      <c r="B2703" t="inlineStr">
        <is>
          <t>ECS</t>
        </is>
      </c>
      <c r="C2703" t="n">
        <v>2014</v>
      </c>
      <c r="D2703" t="n">
        <v>0.620490636732421</v>
      </c>
    </row>
    <row r="2704">
      <c r="A2704" t="inlineStr">
        <is>
          <t>Europe &amp; Central Asia</t>
        </is>
      </c>
      <c r="B2704" t="inlineStr">
        <is>
          <t>ECS</t>
        </is>
      </c>
      <c r="C2704" t="n">
        <v>2015</v>
      </c>
      <c r="D2704" t="n">
        <v>0.36804684232536</v>
      </c>
    </row>
    <row r="2705">
      <c r="A2705" t="inlineStr">
        <is>
          <t>Europe &amp; Central Asia</t>
        </is>
      </c>
      <c r="B2705" t="inlineStr">
        <is>
          <t>ECS</t>
        </is>
      </c>
      <c r="C2705" t="n">
        <v>2016</v>
      </c>
      <c r="D2705" t="n">
        <v>0.356684500891695</v>
      </c>
    </row>
    <row r="2706">
      <c r="A2706" t="inlineStr">
        <is>
          <t>Europe &amp; Central Asia</t>
        </is>
      </c>
      <c r="B2706" t="inlineStr">
        <is>
          <t>ECS</t>
        </is>
      </c>
      <c r="C2706" t="n">
        <v>2017</v>
      </c>
      <c r="D2706" t="n">
        <v>1.91558846458258</v>
      </c>
    </row>
    <row r="2707">
      <c r="A2707" t="inlineStr">
        <is>
          <t>Europe &amp; Central Asia</t>
        </is>
      </c>
      <c r="B2707" t="inlineStr">
        <is>
          <t>ECS</t>
        </is>
      </c>
      <c r="C2707" t="n">
        <v>2018</v>
      </c>
      <c r="D2707" t="n">
        <v>2.01321972250337</v>
      </c>
    </row>
    <row r="2708">
      <c r="A2708" t="inlineStr">
        <is>
          <t>Europe &amp; Central Asia</t>
        </is>
      </c>
      <c r="B2708" t="inlineStr">
        <is>
          <t>ECS</t>
        </is>
      </c>
      <c r="C2708" t="n">
        <v>2019</v>
      </c>
      <c r="D2708" t="n">
        <v>1.76373586528842</v>
      </c>
    </row>
    <row r="2709">
      <c r="A2709" t="inlineStr">
        <is>
          <t>Europe &amp; Central Asia</t>
        </is>
      </c>
      <c r="B2709" t="inlineStr">
        <is>
          <t>ECS</t>
        </is>
      </c>
      <c r="C2709" t="n">
        <v>2020</v>
      </c>
      <c r="D2709" t="n">
        <v>1.19998396936028</v>
      </c>
    </row>
    <row r="2710">
      <c r="A2710" t="inlineStr">
        <is>
          <t>Europe &amp; Central Asia</t>
        </is>
      </c>
      <c r="B2710" t="inlineStr">
        <is>
          <t>ECS</t>
        </is>
      </c>
      <c r="C2710" t="n">
        <v>2021</v>
      </c>
      <c r="D2710" t="n">
        <v>3.19017771027093</v>
      </c>
    </row>
    <row r="2711">
      <c r="A2711" t="inlineStr">
        <is>
          <t>Europe &amp; Central Asia</t>
        </is>
      </c>
      <c r="B2711" t="inlineStr">
        <is>
          <t>ECS</t>
        </is>
      </c>
      <c r="C2711" t="n">
        <v>2022</v>
      </c>
      <c r="D2711" t="n">
        <v>10.7805806758686</v>
      </c>
    </row>
    <row r="2712">
      <c r="A2712" t="inlineStr">
        <is>
          <t>Europe &amp; Central Asia</t>
        </is>
      </c>
      <c r="B2712" t="inlineStr">
        <is>
          <t>ECS</t>
        </is>
      </c>
      <c r="C2712" t="n">
        <v>2023</v>
      </c>
      <c r="D2712" t="n">
        <v>7.44687717385838</v>
      </c>
    </row>
    <row r="2713">
      <c r="A2713" t="inlineStr">
        <is>
          <t>Ecuador</t>
        </is>
      </c>
      <c r="B2713" t="inlineStr">
        <is>
          <t>ECU</t>
        </is>
      </c>
      <c r="C2713" t="n">
        <v>1960</v>
      </c>
      <c r="D2713" t="n">
        <v>1.67659912611285</v>
      </c>
    </row>
    <row r="2714">
      <c r="A2714" t="inlineStr">
        <is>
          <t>Ecuador</t>
        </is>
      </c>
      <c r="B2714" t="inlineStr">
        <is>
          <t>ECU</t>
        </is>
      </c>
      <c r="C2714" t="n">
        <v>1961</v>
      </c>
      <c r="D2714" t="n">
        <v>3.98562050634913</v>
      </c>
    </row>
    <row r="2715">
      <c r="A2715" t="inlineStr">
        <is>
          <t>Ecuador</t>
        </is>
      </c>
      <c r="B2715" t="inlineStr">
        <is>
          <t>ECU</t>
        </is>
      </c>
      <c r="C2715" t="n">
        <v>1962</v>
      </c>
      <c r="D2715" t="n">
        <v>2.87088531460987</v>
      </c>
    </row>
    <row r="2716">
      <c r="A2716" t="inlineStr">
        <is>
          <t>Ecuador</t>
        </is>
      </c>
      <c r="B2716" t="inlineStr">
        <is>
          <t>ECU</t>
        </is>
      </c>
      <c r="C2716" t="n">
        <v>1963</v>
      </c>
      <c r="D2716" t="n">
        <v>5.93950905922402</v>
      </c>
    </row>
    <row r="2717">
      <c r="A2717" t="inlineStr">
        <is>
          <t>Ecuador</t>
        </is>
      </c>
      <c r="B2717" t="inlineStr">
        <is>
          <t>ECU</t>
        </is>
      </c>
      <c r="C2717" t="n">
        <v>1964</v>
      </c>
      <c r="D2717" t="n">
        <v>4.03420453764312</v>
      </c>
    </row>
    <row r="2718">
      <c r="A2718" t="inlineStr">
        <is>
          <t>Ecuador</t>
        </is>
      </c>
      <c r="B2718" t="inlineStr">
        <is>
          <t>ECU</t>
        </is>
      </c>
      <c r="C2718" t="n">
        <v>1965</v>
      </c>
      <c r="D2718" t="n">
        <v>3.06907066175736</v>
      </c>
    </row>
    <row r="2719">
      <c r="A2719" t="inlineStr">
        <is>
          <t>Ecuador</t>
        </is>
      </c>
      <c r="B2719" t="inlineStr">
        <is>
          <t>ECU</t>
        </is>
      </c>
      <c r="C2719" t="n">
        <v>1966</v>
      </c>
      <c r="D2719" t="n">
        <v>5.45372692773346</v>
      </c>
    </row>
    <row r="2720">
      <c r="A2720" t="inlineStr">
        <is>
          <t>Ecuador</t>
        </is>
      </c>
      <c r="B2720" t="inlineStr">
        <is>
          <t>ECU</t>
        </is>
      </c>
      <c r="C2720" t="n">
        <v>1967</v>
      </c>
      <c r="D2720" t="n">
        <v>3.81813815731002</v>
      </c>
    </row>
    <row r="2721">
      <c r="A2721" t="inlineStr">
        <is>
          <t>Ecuador</t>
        </is>
      </c>
      <c r="B2721" t="inlineStr">
        <is>
          <t>ECU</t>
        </is>
      </c>
      <c r="C2721" t="n">
        <v>1968</v>
      </c>
      <c r="D2721" t="n">
        <v>4.31765612971037</v>
      </c>
    </row>
    <row r="2722">
      <c r="A2722" t="inlineStr">
        <is>
          <t>Ecuador</t>
        </is>
      </c>
      <c r="B2722" t="inlineStr">
        <is>
          <t>ECU</t>
        </is>
      </c>
      <c r="C2722" t="n">
        <v>1969</v>
      </c>
      <c r="D2722" t="n">
        <v>6.32668144851309</v>
      </c>
    </row>
    <row r="2723">
      <c r="A2723" t="inlineStr">
        <is>
          <t>Ecuador</t>
        </is>
      </c>
      <c r="B2723" t="inlineStr">
        <is>
          <t>ECU</t>
        </is>
      </c>
      <c r="C2723" t="n">
        <v>1970</v>
      </c>
      <c r="D2723" t="n">
        <v>5.17127612015708</v>
      </c>
    </row>
    <row r="2724">
      <c r="A2724" t="inlineStr">
        <is>
          <t>Ecuador</t>
        </is>
      </c>
      <c r="B2724" t="inlineStr">
        <is>
          <t>ECU</t>
        </is>
      </c>
      <c r="C2724" t="n">
        <v>1971</v>
      </c>
      <c r="D2724" t="n">
        <v>9.521670780048471</v>
      </c>
    </row>
    <row r="2725">
      <c r="A2725" t="inlineStr">
        <is>
          <t>Ecuador</t>
        </is>
      </c>
      <c r="B2725" t="inlineStr">
        <is>
          <t>ECU</t>
        </is>
      </c>
      <c r="C2725" t="n">
        <v>1972</v>
      </c>
      <c r="D2725" t="n">
        <v>7.52511790034726</v>
      </c>
    </row>
    <row r="2726">
      <c r="A2726" t="inlineStr">
        <is>
          <t>Ecuador</t>
        </is>
      </c>
      <c r="B2726" t="inlineStr">
        <is>
          <t>ECU</t>
        </is>
      </c>
      <c r="C2726" t="n">
        <v>1973</v>
      </c>
      <c r="D2726" t="n">
        <v>12.1281464590342</v>
      </c>
    </row>
    <row r="2727">
      <c r="A2727" t="inlineStr">
        <is>
          <t>Ecuador</t>
        </is>
      </c>
      <c r="B2727" t="inlineStr">
        <is>
          <t>ECU</t>
        </is>
      </c>
      <c r="C2727" t="n">
        <v>1974</v>
      </c>
      <c r="D2727" t="n">
        <v>22.7040816226158</v>
      </c>
    </row>
    <row r="2728">
      <c r="A2728" t="inlineStr">
        <is>
          <t>Ecuador</t>
        </is>
      </c>
      <c r="B2728" t="inlineStr">
        <is>
          <t>ECU</t>
        </is>
      </c>
      <c r="C2728" t="n">
        <v>1975</v>
      </c>
      <c r="D2728" t="n">
        <v>14.2896742946894</v>
      </c>
    </row>
    <row r="2729">
      <c r="A2729" t="inlineStr">
        <is>
          <t>Ecuador</t>
        </is>
      </c>
      <c r="B2729" t="inlineStr">
        <is>
          <t>ECU</t>
        </is>
      </c>
      <c r="C2729" t="n">
        <v>1976</v>
      </c>
      <c r="D2729" t="n">
        <v>10.1746301165654</v>
      </c>
    </row>
    <row r="2730">
      <c r="A2730" t="inlineStr">
        <is>
          <t>Ecuador</t>
        </is>
      </c>
      <c r="B2730" t="inlineStr">
        <is>
          <t>ECU</t>
        </is>
      </c>
      <c r="C2730" t="n">
        <v>1977</v>
      </c>
      <c r="D2730" t="n">
        <v>12.9444138723701</v>
      </c>
    </row>
    <row r="2731">
      <c r="A2731" t="inlineStr">
        <is>
          <t>Ecuador</t>
        </is>
      </c>
      <c r="B2731" t="inlineStr">
        <is>
          <t>ECU</t>
        </is>
      </c>
      <c r="C2731" t="n">
        <v>1978</v>
      </c>
      <c r="D2731" t="n">
        <v>13.098138583854</v>
      </c>
    </row>
    <row r="2732">
      <c r="A2732" t="inlineStr">
        <is>
          <t>Ecuador</t>
        </is>
      </c>
      <c r="B2732" t="inlineStr">
        <is>
          <t>ECU</t>
        </is>
      </c>
      <c r="C2732" t="n">
        <v>1979</v>
      </c>
      <c r="D2732" t="n">
        <v>10.1171908690016</v>
      </c>
    </row>
    <row r="2733">
      <c r="A2733" t="inlineStr">
        <is>
          <t>Ecuador</t>
        </is>
      </c>
      <c r="B2733" t="inlineStr">
        <is>
          <t>ECU</t>
        </is>
      </c>
      <c r="C2733" t="n">
        <v>1980</v>
      </c>
      <c r="D2733" t="n">
        <v>11.9092893836134</v>
      </c>
    </row>
    <row r="2734">
      <c r="A2734" t="inlineStr">
        <is>
          <t>Ecuador</t>
        </is>
      </c>
      <c r="B2734" t="inlineStr">
        <is>
          <t>ECU</t>
        </is>
      </c>
      <c r="C2734" t="n">
        <v>1981</v>
      </c>
      <c r="D2734" t="n">
        <v>14.0479686718868</v>
      </c>
    </row>
    <row r="2735">
      <c r="A2735" t="inlineStr">
        <is>
          <t>Ecuador</t>
        </is>
      </c>
      <c r="B2735" t="inlineStr">
        <is>
          <t>ECU</t>
        </is>
      </c>
      <c r="C2735" t="n">
        <v>1982</v>
      </c>
      <c r="D2735" t="n">
        <v>16.2844880461285</v>
      </c>
    </row>
    <row r="2736">
      <c r="A2736" t="inlineStr">
        <is>
          <t>Ecuador</t>
        </is>
      </c>
      <c r="B2736" t="inlineStr">
        <is>
          <t>ECU</t>
        </is>
      </c>
      <c r="C2736" t="n">
        <v>1983</v>
      </c>
      <c r="D2736" t="n">
        <v>48.4182220804492</v>
      </c>
    </row>
    <row r="2737">
      <c r="A2737" t="inlineStr">
        <is>
          <t>Ecuador</t>
        </is>
      </c>
      <c r="B2737" t="inlineStr">
        <is>
          <t>ECU</t>
        </is>
      </c>
      <c r="C2737" t="n">
        <v>1984</v>
      </c>
      <c r="D2737" t="n">
        <v>31.2195815120372</v>
      </c>
    </row>
    <row r="2738">
      <c r="A2738" t="inlineStr">
        <is>
          <t>Ecuador</t>
        </is>
      </c>
      <c r="B2738" t="inlineStr">
        <is>
          <t>ECU</t>
        </is>
      </c>
      <c r="C2738" t="n">
        <v>1985</v>
      </c>
      <c r="D2738" t="n">
        <v>27.9936107429224</v>
      </c>
    </row>
    <row r="2739">
      <c r="A2739" t="inlineStr">
        <is>
          <t>Ecuador</t>
        </is>
      </c>
      <c r="B2739" t="inlineStr">
        <is>
          <t>ECU</t>
        </is>
      </c>
      <c r="C2739" t="n">
        <v>1986</v>
      </c>
      <c r="D2739" t="n">
        <v>23.0302261142618</v>
      </c>
    </row>
    <row r="2740">
      <c r="A2740" t="inlineStr">
        <is>
          <t>Ecuador</t>
        </is>
      </c>
      <c r="B2740" t="inlineStr">
        <is>
          <t>ECU</t>
        </is>
      </c>
      <c r="C2740" t="n">
        <v>1987</v>
      </c>
      <c r="D2740" t="n">
        <v>29.5039972488395</v>
      </c>
    </row>
    <row r="2741">
      <c r="A2741" t="inlineStr">
        <is>
          <t>Ecuador</t>
        </is>
      </c>
      <c r="B2741" t="inlineStr">
        <is>
          <t>ECU</t>
        </is>
      </c>
      <c r="C2741" t="n">
        <v>1988</v>
      </c>
      <c r="D2741" t="n">
        <v>58.2162865413938</v>
      </c>
    </row>
    <row r="2742">
      <c r="A2742" t="inlineStr">
        <is>
          <t>Ecuador</t>
        </is>
      </c>
      <c r="B2742" t="inlineStr">
        <is>
          <t>ECU</t>
        </is>
      </c>
      <c r="C2742" t="n">
        <v>1989</v>
      </c>
      <c r="D2742" t="n">
        <v>75.64819010263859</v>
      </c>
    </row>
    <row r="2743">
      <c r="A2743" t="inlineStr">
        <is>
          <t>Ecuador</t>
        </is>
      </c>
      <c r="B2743" t="inlineStr">
        <is>
          <t>ECU</t>
        </is>
      </c>
      <c r="C2743" t="n">
        <v>1990</v>
      </c>
      <c r="D2743" t="n">
        <v>48.5191129963729</v>
      </c>
    </row>
    <row r="2744">
      <c r="A2744" t="inlineStr">
        <is>
          <t>Ecuador</t>
        </is>
      </c>
      <c r="B2744" t="inlineStr">
        <is>
          <t>ECU</t>
        </is>
      </c>
      <c r="C2744" t="n">
        <v>1991</v>
      </c>
      <c r="D2744" t="n">
        <v>48.718080675219</v>
      </c>
    </row>
    <row r="2745">
      <c r="A2745" t="inlineStr">
        <is>
          <t>Ecuador</t>
        </is>
      </c>
      <c r="B2745" t="inlineStr">
        <is>
          <t>ECU</t>
        </is>
      </c>
      <c r="C2745" t="n">
        <v>1992</v>
      </c>
      <c r="D2745" t="n">
        <v>54.6078215093597</v>
      </c>
    </row>
    <row r="2746">
      <c r="A2746" t="inlineStr">
        <is>
          <t>Ecuador</t>
        </is>
      </c>
      <c r="B2746" t="inlineStr">
        <is>
          <t>ECU</t>
        </is>
      </c>
      <c r="C2746" t="n">
        <v>1993</v>
      </c>
      <c r="D2746" t="n">
        <v>44.9550537592163</v>
      </c>
    </row>
    <row r="2747">
      <c r="A2747" t="inlineStr">
        <is>
          <t>Ecuador</t>
        </is>
      </c>
      <c r="B2747" t="inlineStr">
        <is>
          <t>ECU</t>
        </is>
      </c>
      <c r="C2747" t="n">
        <v>1994</v>
      </c>
      <c r="D2747" t="n">
        <v>27.3108817940495</v>
      </c>
    </row>
    <row r="2748">
      <c r="A2748" t="inlineStr">
        <is>
          <t>Ecuador</t>
        </is>
      </c>
      <c r="B2748" t="inlineStr">
        <is>
          <t>ECU</t>
        </is>
      </c>
      <c r="C2748" t="n">
        <v>1995</v>
      </c>
      <c r="D2748" t="n">
        <v>22.9341344145802</v>
      </c>
    </row>
    <row r="2749">
      <c r="A2749" t="inlineStr">
        <is>
          <t>Ecuador</t>
        </is>
      </c>
      <c r="B2749" t="inlineStr">
        <is>
          <t>ECU</t>
        </is>
      </c>
      <c r="C2749" t="n">
        <v>1996</v>
      </c>
      <c r="D2749" t="n">
        <v>24.4114592150674</v>
      </c>
    </row>
    <row r="2750">
      <c r="A2750" t="inlineStr">
        <is>
          <t>Ecuador</t>
        </is>
      </c>
      <c r="B2750" t="inlineStr">
        <is>
          <t>ECU</t>
        </is>
      </c>
      <c r="C2750" t="n">
        <v>1997</v>
      </c>
      <c r="D2750" t="n">
        <v>30.6575675722173</v>
      </c>
    </row>
    <row r="2751">
      <c r="A2751" t="inlineStr">
        <is>
          <t>Ecuador</t>
        </is>
      </c>
      <c r="B2751" t="inlineStr">
        <is>
          <t>ECU</t>
        </is>
      </c>
      <c r="C2751" t="n">
        <v>1998</v>
      </c>
      <c r="D2751" t="n">
        <v>36.0984331623886</v>
      </c>
    </row>
    <row r="2752">
      <c r="A2752" t="inlineStr">
        <is>
          <t>Ecuador</t>
        </is>
      </c>
      <c r="B2752" t="inlineStr">
        <is>
          <t>ECU</t>
        </is>
      </c>
      <c r="C2752" t="n">
        <v>1999</v>
      </c>
      <c r="D2752" t="n">
        <v>52.2420051858225</v>
      </c>
    </row>
    <row r="2753">
      <c r="A2753" t="inlineStr">
        <is>
          <t>Ecuador</t>
        </is>
      </c>
      <c r="B2753" t="inlineStr">
        <is>
          <t>ECU</t>
        </is>
      </c>
      <c r="C2753" t="n">
        <v>2000</v>
      </c>
      <c r="D2753" t="n">
        <v>96.0963756926096</v>
      </c>
    </row>
    <row r="2754">
      <c r="A2754" t="inlineStr">
        <is>
          <t>Ecuador</t>
        </is>
      </c>
      <c r="B2754" t="inlineStr">
        <is>
          <t>ECU</t>
        </is>
      </c>
      <c r="C2754" t="n">
        <v>2001</v>
      </c>
      <c r="D2754" t="n">
        <v>37.6767454518094</v>
      </c>
    </row>
    <row r="2755">
      <c r="A2755" t="inlineStr">
        <is>
          <t>Ecuador</t>
        </is>
      </c>
      <c r="B2755" t="inlineStr">
        <is>
          <t>ECU</t>
        </is>
      </c>
      <c r="C2755" t="n">
        <v>2002</v>
      </c>
      <c r="D2755" t="n">
        <v>12.4835980082095</v>
      </c>
    </row>
    <row r="2756">
      <c r="A2756" t="inlineStr">
        <is>
          <t>Ecuador</t>
        </is>
      </c>
      <c r="B2756" t="inlineStr">
        <is>
          <t>ECU</t>
        </is>
      </c>
      <c r="C2756" t="n">
        <v>2003</v>
      </c>
      <c r="D2756" t="n">
        <v>7.92936487461556</v>
      </c>
    </row>
    <row r="2757">
      <c r="A2757" t="inlineStr">
        <is>
          <t>Ecuador</t>
        </is>
      </c>
      <c r="B2757" t="inlineStr">
        <is>
          <t>ECU</t>
        </is>
      </c>
      <c r="C2757" t="n">
        <v>2004</v>
      </c>
      <c r="D2757" t="n">
        <v>2.74323198926704</v>
      </c>
    </row>
    <row r="2758">
      <c r="A2758" t="inlineStr">
        <is>
          <t>Ecuador</t>
        </is>
      </c>
      <c r="B2758" t="inlineStr">
        <is>
          <t>ECU</t>
        </is>
      </c>
      <c r="C2758" t="n">
        <v>2005</v>
      </c>
      <c r="D2758" t="n">
        <v>2.1682770118372</v>
      </c>
    </row>
    <row r="2759">
      <c r="A2759" t="inlineStr">
        <is>
          <t>Ecuador</t>
        </is>
      </c>
      <c r="B2759" t="inlineStr">
        <is>
          <t>ECU</t>
        </is>
      </c>
      <c r="C2759" t="n">
        <v>2006</v>
      </c>
      <c r="D2759" t="n">
        <v>3.29874846258215</v>
      </c>
    </row>
    <row r="2760">
      <c r="A2760" t="inlineStr">
        <is>
          <t>Ecuador</t>
        </is>
      </c>
      <c r="B2760" t="inlineStr">
        <is>
          <t>ECU</t>
        </is>
      </c>
      <c r="C2760" t="n">
        <v>2007</v>
      </c>
      <c r="D2760" t="n">
        <v>2.27618478002121</v>
      </c>
    </row>
    <row r="2761">
      <c r="A2761" t="inlineStr">
        <is>
          <t>Ecuador</t>
        </is>
      </c>
      <c r="B2761" t="inlineStr">
        <is>
          <t>ECU</t>
        </is>
      </c>
      <c r="C2761" t="n">
        <v>2008</v>
      </c>
      <c r="D2761" t="n">
        <v>8.400095939874619</v>
      </c>
    </row>
    <row r="2762">
      <c r="A2762" t="inlineStr">
        <is>
          <t>Ecuador</t>
        </is>
      </c>
      <c r="B2762" t="inlineStr">
        <is>
          <t>ECU</t>
        </is>
      </c>
      <c r="C2762" t="n">
        <v>2009</v>
      </c>
      <c r="D2762" t="n">
        <v>5.15996829181047</v>
      </c>
    </row>
    <row r="2763">
      <c r="A2763" t="inlineStr">
        <is>
          <t>Ecuador</t>
        </is>
      </c>
      <c r="B2763" t="inlineStr">
        <is>
          <t>ECU</t>
        </is>
      </c>
      <c r="C2763" t="n">
        <v>2010</v>
      </c>
      <c r="D2763" t="n">
        <v>3.55437734567843</v>
      </c>
    </row>
    <row r="2764">
      <c r="A2764" t="inlineStr">
        <is>
          <t>Ecuador</t>
        </is>
      </c>
      <c r="B2764" t="inlineStr">
        <is>
          <t>ECU</t>
        </is>
      </c>
      <c r="C2764" t="n">
        <v>2011</v>
      </c>
      <c r="D2764" t="n">
        <v>4.4745326579584</v>
      </c>
    </row>
    <row r="2765">
      <c r="A2765" t="inlineStr">
        <is>
          <t>Ecuador</t>
        </is>
      </c>
      <c r="B2765" t="inlineStr">
        <is>
          <t>ECU</t>
        </is>
      </c>
      <c r="C2765" t="n">
        <v>2012</v>
      </c>
      <c r="D2765" t="n">
        <v>5.10172180958666</v>
      </c>
    </row>
    <row r="2766">
      <c r="A2766" t="inlineStr">
        <is>
          <t>Ecuador</t>
        </is>
      </c>
      <c r="B2766" t="inlineStr">
        <is>
          <t>ECU</t>
        </is>
      </c>
      <c r="C2766" t="n">
        <v>2013</v>
      </c>
      <c r="D2766" t="n">
        <v>2.72177577710371</v>
      </c>
    </row>
    <row r="2767">
      <c r="A2767" t="inlineStr">
        <is>
          <t>Ecuador</t>
        </is>
      </c>
      <c r="B2767" t="inlineStr">
        <is>
          <t>ECU</t>
        </is>
      </c>
      <c r="C2767" t="n">
        <v>2014</v>
      </c>
      <c r="D2767" t="n">
        <v>3.58922016616663</v>
      </c>
    </row>
    <row r="2768">
      <c r="A2768" t="inlineStr">
        <is>
          <t>Ecuador</t>
        </is>
      </c>
      <c r="B2768" t="inlineStr">
        <is>
          <t>ECU</t>
        </is>
      </c>
      <c r="C2768" t="n">
        <v>2015</v>
      </c>
      <c r="D2768" t="n">
        <v>3.96664623255358</v>
      </c>
    </row>
    <row r="2769">
      <c r="A2769" t="inlineStr">
        <is>
          <t>Ecuador</t>
        </is>
      </c>
      <c r="B2769" t="inlineStr">
        <is>
          <t>ECU</t>
        </is>
      </c>
      <c r="C2769" t="n">
        <v>2016</v>
      </c>
      <c r="D2769" t="n">
        <v>1.72826463324533</v>
      </c>
    </row>
    <row r="2770">
      <c r="A2770" t="inlineStr">
        <is>
          <t>Ecuador</t>
        </is>
      </c>
      <c r="B2770" t="inlineStr">
        <is>
          <t>ECU</t>
        </is>
      </c>
      <c r="C2770" t="n">
        <v>2017</v>
      </c>
      <c r="D2770" t="n">
        <v>0.417335588666825</v>
      </c>
    </row>
    <row r="2771">
      <c r="A2771" t="inlineStr">
        <is>
          <t>Ecuador</t>
        </is>
      </c>
      <c r="B2771" t="inlineStr">
        <is>
          <t>ECU</t>
        </is>
      </c>
      <c r="C2771" t="n">
        <v>2018</v>
      </c>
      <c r="D2771" t="n">
        <v>-0.224103246005552</v>
      </c>
    </row>
    <row r="2772">
      <c r="A2772" t="inlineStr">
        <is>
          <t>Ecuador</t>
        </is>
      </c>
      <c r="B2772" t="inlineStr">
        <is>
          <t>ECU</t>
        </is>
      </c>
      <c r="C2772" t="n">
        <v>2019</v>
      </c>
      <c r="D2772" t="n">
        <v>0.266012515466155</v>
      </c>
    </row>
    <row r="2773">
      <c r="A2773" t="inlineStr">
        <is>
          <t>Ecuador</t>
        </is>
      </c>
      <c r="B2773" t="inlineStr">
        <is>
          <t>ECU</t>
        </is>
      </c>
      <c r="C2773" t="n">
        <v>2020</v>
      </c>
      <c r="D2773" t="n">
        <v>-0.338872392562139</v>
      </c>
    </row>
    <row r="2774">
      <c r="A2774" t="inlineStr">
        <is>
          <t>Ecuador</t>
        </is>
      </c>
      <c r="B2774" t="inlineStr">
        <is>
          <t>ECU</t>
        </is>
      </c>
      <c r="C2774" t="n">
        <v>2021</v>
      </c>
      <c r="D2774" t="n">
        <v>0.133251386096389</v>
      </c>
    </row>
    <row r="2775">
      <c r="A2775" t="inlineStr">
        <is>
          <t>Ecuador</t>
        </is>
      </c>
      <c r="B2775" t="inlineStr">
        <is>
          <t>ECU</t>
        </is>
      </c>
      <c r="C2775" t="n">
        <v>2022</v>
      </c>
      <c r="D2775" t="n">
        <v>3.46616972213077</v>
      </c>
    </row>
    <row r="2776">
      <c r="A2776" t="inlineStr">
        <is>
          <t>Ecuador</t>
        </is>
      </c>
      <c r="B2776" t="inlineStr">
        <is>
          <t>ECU</t>
        </is>
      </c>
      <c r="C2776" t="n">
        <v>2023</v>
      </c>
      <c r="D2776" t="n">
        <v>2.21568764237058</v>
      </c>
    </row>
    <row r="2777">
      <c r="A2777" t="inlineStr">
        <is>
          <t>Ecuador</t>
        </is>
      </c>
      <c r="B2777" t="inlineStr">
        <is>
          <t>ECU</t>
        </is>
      </c>
      <c r="C2777" t="n">
        <v>2024</v>
      </c>
      <c r="D2777" t="n">
        <v>1.54732515615369</v>
      </c>
    </row>
    <row r="2778">
      <c r="A2778" t="inlineStr">
        <is>
          <t>Egypt, Arab Rep.</t>
        </is>
      </c>
      <c r="B2778" t="inlineStr">
        <is>
          <t>EGY</t>
        </is>
      </c>
      <c r="C2778" t="n">
        <v>1960</v>
      </c>
      <c r="D2778" t="n">
        <v>0.332829047091752</v>
      </c>
    </row>
    <row r="2779">
      <c r="A2779" t="inlineStr">
        <is>
          <t>Egypt, Arab Rep.</t>
        </is>
      </c>
      <c r="B2779" t="inlineStr">
        <is>
          <t>EGY</t>
        </is>
      </c>
      <c r="C2779" t="n">
        <v>1961</v>
      </c>
      <c r="D2779" t="n">
        <v>0.693606754935329</v>
      </c>
    </row>
    <row r="2780">
      <c r="A2780" t="inlineStr">
        <is>
          <t>Egypt, Arab Rep.</t>
        </is>
      </c>
      <c r="B2780" t="inlineStr">
        <is>
          <t>EGY</t>
        </is>
      </c>
      <c r="C2780" t="n">
        <v>1962</v>
      </c>
      <c r="D2780" t="n">
        <v>-3.00307658790784</v>
      </c>
    </row>
    <row r="2781">
      <c r="A2781" t="inlineStr">
        <is>
          <t>Egypt, Arab Rep.</t>
        </is>
      </c>
      <c r="B2781" t="inlineStr">
        <is>
          <t>EGY</t>
        </is>
      </c>
      <c r="C2781" t="n">
        <v>1963</v>
      </c>
      <c r="D2781" t="n">
        <v>0.74664570813543</v>
      </c>
    </row>
    <row r="2782">
      <c r="A2782" t="inlineStr">
        <is>
          <t>Egypt, Arab Rep.</t>
        </is>
      </c>
      <c r="B2782" t="inlineStr">
        <is>
          <t>EGY</t>
        </is>
      </c>
      <c r="C2782" t="n">
        <v>1964</v>
      </c>
      <c r="D2782" t="n">
        <v>3.66098294885468</v>
      </c>
    </row>
    <row r="2783">
      <c r="A2783" t="inlineStr">
        <is>
          <t>Egypt, Arab Rep.</t>
        </is>
      </c>
      <c r="B2783" t="inlineStr">
        <is>
          <t>EGY</t>
        </is>
      </c>
      <c r="C2783" t="n">
        <v>1965</v>
      </c>
      <c r="D2783" t="n">
        <v>14.8390044616241</v>
      </c>
    </row>
    <row r="2784">
      <c r="A2784" t="inlineStr">
        <is>
          <t>Egypt, Arab Rep.</t>
        </is>
      </c>
      <c r="B2784" t="inlineStr">
        <is>
          <t>EGY</t>
        </is>
      </c>
      <c r="C2784" t="n">
        <v>1966</v>
      </c>
      <c r="D2784" t="n">
        <v>9.0364406581763</v>
      </c>
    </row>
    <row r="2785">
      <c r="A2785" t="inlineStr">
        <is>
          <t>Egypt, Arab Rep.</t>
        </is>
      </c>
      <c r="B2785" t="inlineStr">
        <is>
          <t>EGY</t>
        </is>
      </c>
      <c r="C2785" t="n">
        <v>1967</v>
      </c>
      <c r="D2785" t="n">
        <v>0.70189748435374</v>
      </c>
    </row>
    <row r="2786">
      <c r="A2786" t="inlineStr">
        <is>
          <t>Egypt, Arab Rep.</t>
        </is>
      </c>
      <c r="B2786" t="inlineStr">
        <is>
          <t>EGY</t>
        </is>
      </c>
      <c r="C2786" t="n">
        <v>1968</v>
      </c>
      <c r="D2786" t="n">
        <v>-1.6757594245691</v>
      </c>
    </row>
    <row r="2787">
      <c r="A2787" t="inlineStr">
        <is>
          <t>Egypt, Arab Rep.</t>
        </is>
      </c>
      <c r="B2787" t="inlineStr">
        <is>
          <t>EGY</t>
        </is>
      </c>
      <c r="C2787" t="n">
        <v>1969</v>
      </c>
      <c r="D2787" t="n">
        <v>3.40982028243742</v>
      </c>
    </row>
    <row r="2788">
      <c r="A2788" t="inlineStr">
        <is>
          <t>Egypt, Arab Rep.</t>
        </is>
      </c>
      <c r="B2788" t="inlineStr">
        <is>
          <t>EGY</t>
        </is>
      </c>
      <c r="C2788" t="n">
        <v>1970</v>
      </c>
      <c r="D2788" t="n">
        <v>3.76289859580536</v>
      </c>
    </row>
    <row r="2789">
      <c r="A2789" t="inlineStr">
        <is>
          <t>Egypt, Arab Rep.</t>
        </is>
      </c>
      <c r="B2789" t="inlineStr">
        <is>
          <t>EGY</t>
        </is>
      </c>
      <c r="C2789" t="n">
        <v>1971</v>
      </c>
      <c r="D2789" t="n">
        <v>3.14042171394198</v>
      </c>
    </row>
    <row r="2790">
      <c r="A2790" t="inlineStr">
        <is>
          <t>Egypt, Arab Rep.</t>
        </is>
      </c>
      <c r="B2790" t="inlineStr">
        <is>
          <t>EGY</t>
        </is>
      </c>
      <c r="C2790" t="n">
        <v>1972</v>
      </c>
      <c r="D2790" t="n">
        <v>2.10236334610113</v>
      </c>
    </row>
    <row r="2791">
      <c r="A2791" t="inlineStr">
        <is>
          <t>Egypt, Arab Rep.</t>
        </is>
      </c>
      <c r="B2791" t="inlineStr">
        <is>
          <t>EGY</t>
        </is>
      </c>
      <c r="C2791" t="n">
        <v>1973</v>
      </c>
      <c r="D2791" t="n">
        <v>5.11218403908757</v>
      </c>
    </row>
    <row r="2792">
      <c r="A2792" t="inlineStr">
        <is>
          <t>Egypt, Arab Rep.</t>
        </is>
      </c>
      <c r="B2792" t="inlineStr">
        <is>
          <t>EGY</t>
        </is>
      </c>
      <c r="C2792" t="n">
        <v>1974</v>
      </c>
      <c r="D2792" t="n">
        <v>10.0243177516484</v>
      </c>
    </row>
    <row r="2793">
      <c r="A2793" t="inlineStr">
        <is>
          <t>Egypt, Arab Rep.</t>
        </is>
      </c>
      <c r="B2793" t="inlineStr">
        <is>
          <t>EGY</t>
        </is>
      </c>
      <c r="C2793" t="n">
        <v>1975</v>
      </c>
      <c r="D2793" t="n">
        <v>9.66969548151245</v>
      </c>
    </row>
    <row r="2794">
      <c r="A2794" t="inlineStr">
        <is>
          <t>Egypt, Arab Rep.</t>
        </is>
      </c>
      <c r="B2794" t="inlineStr">
        <is>
          <t>EGY</t>
        </is>
      </c>
      <c r="C2794" t="n">
        <v>1976</v>
      </c>
      <c r="D2794" t="n">
        <v>10.3174158877413</v>
      </c>
    </row>
    <row r="2795">
      <c r="A2795" t="inlineStr">
        <is>
          <t>Egypt, Arab Rep.</t>
        </is>
      </c>
      <c r="B2795" t="inlineStr">
        <is>
          <t>EGY</t>
        </is>
      </c>
      <c r="C2795" t="n">
        <v>1977</v>
      </c>
      <c r="D2795" t="n">
        <v>12.7321627929891</v>
      </c>
    </row>
    <row r="2796">
      <c r="A2796" t="inlineStr">
        <is>
          <t>Egypt, Arab Rep.</t>
        </is>
      </c>
      <c r="B2796" t="inlineStr">
        <is>
          <t>EGY</t>
        </is>
      </c>
      <c r="C2796" t="n">
        <v>1978</v>
      </c>
      <c r="D2796" t="n">
        <v>11.078100382614</v>
      </c>
    </row>
    <row r="2797">
      <c r="A2797" t="inlineStr">
        <is>
          <t>Egypt, Arab Rep.</t>
        </is>
      </c>
      <c r="B2797" t="inlineStr">
        <is>
          <t>EGY</t>
        </is>
      </c>
      <c r="C2797" t="n">
        <v>1979</v>
      </c>
      <c r="D2797" t="n">
        <v>9.904360512311291</v>
      </c>
    </row>
    <row r="2798">
      <c r="A2798" t="inlineStr">
        <is>
          <t>Egypt, Arab Rep.</t>
        </is>
      </c>
      <c r="B2798" t="inlineStr">
        <is>
          <t>EGY</t>
        </is>
      </c>
      <c r="C2798" t="n">
        <v>1980</v>
      </c>
      <c r="D2798" t="n">
        <v>20.8192249324218</v>
      </c>
    </row>
    <row r="2799">
      <c r="A2799" t="inlineStr">
        <is>
          <t>Egypt, Arab Rep.</t>
        </is>
      </c>
      <c r="B2799" t="inlineStr">
        <is>
          <t>EGY</t>
        </is>
      </c>
      <c r="C2799" t="n">
        <v>1981</v>
      </c>
      <c r="D2799" t="n">
        <v>10.3172842245396</v>
      </c>
    </row>
    <row r="2800">
      <c r="A2800" t="inlineStr">
        <is>
          <t>Egypt, Arab Rep.</t>
        </is>
      </c>
      <c r="B2800" t="inlineStr">
        <is>
          <t>EGY</t>
        </is>
      </c>
      <c r="C2800" t="n">
        <v>1982</v>
      </c>
      <c r="D2800" t="n">
        <v>14.8230088495577</v>
      </c>
    </row>
    <row r="2801">
      <c r="A2801" t="inlineStr">
        <is>
          <t>Egypt, Arab Rep.</t>
        </is>
      </c>
      <c r="B2801" t="inlineStr">
        <is>
          <t>EGY</t>
        </is>
      </c>
      <c r="C2801" t="n">
        <v>1983</v>
      </c>
      <c r="D2801" t="n">
        <v>16.079873883342</v>
      </c>
    </row>
    <row r="2802">
      <c r="A2802" t="inlineStr">
        <is>
          <t>Egypt, Arab Rep.</t>
        </is>
      </c>
      <c r="B2802" t="inlineStr">
        <is>
          <t>EGY</t>
        </is>
      </c>
      <c r="C2802" t="n">
        <v>1984</v>
      </c>
      <c r="D2802" t="n">
        <v>17.0363663799608</v>
      </c>
    </row>
    <row r="2803">
      <c r="A2803" t="inlineStr">
        <is>
          <t>Egypt, Arab Rep.</t>
        </is>
      </c>
      <c r="B2803" t="inlineStr">
        <is>
          <t>EGY</t>
        </is>
      </c>
      <c r="C2803" t="n">
        <v>1985</v>
      </c>
      <c r="D2803" t="n">
        <v>12.1067560598247</v>
      </c>
    </row>
    <row r="2804">
      <c r="A2804" t="inlineStr">
        <is>
          <t>Egypt, Arab Rep.</t>
        </is>
      </c>
      <c r="B2804" t="inlineStr">
        <is>
          <t>EGY</t>
        </is>
      </c>
      <c r="C2804" t="n">
        <v>1986</v>
      </c>
      <c r="D2804" t="n">
        <v>23.8642898217366</v>
      </c>
    </row>
    <row r="2805">
      <c r="A2805" t="inlineStr">
        <is>
          <t>Egypt, Arab Rep.</t>
        </is>
      </c>
      <c r="B2805" t="inlineStr">
        <is>
          <t>EGY</t>
        </is>
      </c>
      <c r="C2805" t="n">
        <v>1987</v>
      </c>
      <c r="D2805" t="n">
        <v>19.693593314763</v>
      </c>
    </row>
    <row r="2806">
      <c r="A2806" t="inlineStr">
        <is>
          <t>Egypt, Arab Rep.</t>
        </is>
      </c>
      <c r="B2806" t="inlineStr">
        <is>
          <t>EGY</t>
        </is>
      </c>
      <c r="C2806" t="n">
        <v>1988</v>
      </c>
      <c r="D2806" t="n">
        <v>17.66348615313</v>
      </c>
    </row>
    <row r="2807">
      <c r="A2807" t="inlineStr">
        <is>
          <t>Egypt, Arab Rep.</t>
        </is>
      </c>
      <c r="B2807" t="inlineStr">
        <is>
          <t>EGY</t>
        </is>
      </c>
      <c r="C2807" t="n">
        <v>1989</v>
      </c>
      <c r="D2807" t="n">
        <v>21.2618670886078</v>
      </c>
    </row>
    <row r="2808">
      <c r="A2808" t="inlineStr">
        <is>
          <t>Egypt, Arab Rep.</t>
        </is>
      </c>
      <c r="B2808" t="inlineStr">
        <is>
          <t>EGY</t>
        </is>
      </c>
      <c r="C2808" t="n">
        <v>1990</v>
      </c>
      <c r="D2808" t="n">
        <v>16.7563747077691</v>
      </c>
    </row>
    <row r="2809">
      <c r="A2809" t="inlineStr">
        <is>
          <t>Egypt, Arab Rep.</t>
        </is>
      </c>
      <c r="B2809" t="inlineStr">
        <is>
          <t>EGY</t>
        </is>
      </c>
      <c r="C2809" t="n">
        <v>1991</v>
      </c>
      <c r="D2809" t="n">
        <v>19.7485448195578</v>
      </c>
    </row>
    <row r="2810">
      <c r="A2810" t="inlineStr">
        <is>
          <t>Egypt, Arab Rep.</t>
        </is>
      </c>
      <c r="B2810" t="inlineStr">
        <is>
          <t>EGY</t>
        </is>
      </c>
      <c r="C2810" t="n">
        <v>1992</v>
      </c>
      <c r="D2810" t="n">
        <v>13.6374241717218</v>
      </c>
    </row>
    <row r="2811">
      <c r="A2811" t="inlineStr">
        <is>
          <t>Egypt, Arab Rep.</t>
        </is>
      </c>
      <c r="B2811" t="inlineStr">
        <is>
          <t>EGY</t>
        </is>
      </c>
      <c r="C2811" t="n">
        <v>1993</v>
      </c>
      <c r="D2811" t="n">
        <v>12.0897922868977</v>
      </c>
    </row>
    <row r="2812">
      <c r="A2812" t="inlineStr">
        <is>
          <t>Egypt, Arab Rep.</t>
        </is>
      </c>
      <c r="B2812" t="inlineStr">
        <is>
          <t>EGY</t>
        </is>
      </c>
      <c r="C2812" t="n">
        <v>1994</v>
      </c>
      <c r="D2812" t="n">
        <v>8.15423128587096</v>
      </c>
    </row>
    <row r="2813">
      <c r="A2813" t="inlineStr">
        <is>
          <t>Egypt, Arab Rep.</t>
        </is>
      </c>
      <c r="B2813" t="inlineStr">
        <is>
          <t>EGY</t>
        </is>
      </c>
      <c r="C2813" t="n">
        <v>1995</v>
      </c>
      <c r="D2813" t="n">
        <v>15.7422305021596</v>
      </c>
    </row>
    <row r="2814">
      <c r="A2814" t="inlineStr">
        <is>
          <t>Egypt, Arab Rep.</t>
        </is>
      </c>
      <c r="B2814" t="inlineStr">
        <is>
          <t>EGY</t>
        </is>
      </c>
      <c r="C2814" t="n">
        <v>1996</v>
      </c>
      <c r="D2814" t="n">
        <v>7.18710369719992</v>
      </c>
    </row>
    <row r="2815">
      <c r="A2815" t="inlineStr">
        <is>
          <t>Egypt, Arab Rep.</t>
        </is>
      </c>
      <c r="B2815" t="inlineStr">
        <is>
          <t>EGY</t>
        </is>
      </c>
      <c r="C2815" t="n">
        <v>1997</v>
      </c>
      <c r="D2815" t="n">
        <v>4.62560578826438</v>
      </c>
    </row>
    <row r="2816">
      <c r="A2816" t="inlineStr">
        <is>
          <t>Egypt, Arab Rep.</t>
        </is>
      </c>
      <c r="B2816" t="inlineStr">
        <is>
          <t>EGY</t>
        </is>
      </c>
      <c r="C2816" t="n">
        <v>1998</v>
      </c>
      <c r="D2816" t="n">
        <v>3.8725754642749</v>
      </c>
    </row>
    <row r="2817">
      <c r="A2817" t="inlineStr">
        <is>
          <t>Egypt, Arab Rep.</t>
        </is>
      </c>
      <c r="B2817" t="inlineStr">
        <is>
          <t>EGY</t>
        </is>
      </c>
      <c r="C2817" t="n">
        <v>1999</v>
      </c>
      <c r="D2817" t="n">
        <v>3.07949912638332</v>
      </c>
    </row>
    <row r="2818">
      <c r="A2818" t="inlineStr">
        <is>
          <t>Egypt, Arab Rep.</t>
        </is>
      </c>
      <c r="B2818" t="inlineStr">
        <is>
          <t>EGY</t>
        </is>
      </c>
      <c r="C2818" t="n">
        <v>2000</v>
      </c>
      <c r="D2818" t="n">
        <v>2.68380535348546</v>
      </c>
    </row>
    <row r="2819">
      <c r="A2819" t="inlineStr">
        <is>
          <t>Egypt, Arab Rep.</t>
        </is>
      </c>
      <c r="B2819" t="inlineStr">
        <is>
          <t>EGY</t>
        </is>
      </c>
      <c r="C2819" t="n">
        <v>2001</v>
      </c>
      <c r="D2819" t="n">
        <v>2.26975720475956</v>
      </c>
    </row>
    <row r="2820">
      <c r="A2820" t="inlineStr">
        <is>
          <t>Egypt, Arab Rep.</t>
        </is>
      </c>
      <c r="B2820" t="inlineStr">
        <is>
          <t>EGY</t>
        </is>
      </c>
      <c r="C2820" t="n">
        <v>2002</v>
      </c>
      <c r="D2820" t="n">
        <v>2.73723855000334</v>
      </c>
    </row>
    <row r="2821">
      <c r="A2821" t="inlineStr">
        <is>
          <t>Egypt, Arab Rep.</t>
        </is>
      </c>
      <c r="B2821" t="inlineStr">
        <is>
          <t>EGY</t>
        </is>
      </c>
      <c r="C2821" t="n">
        <v>2003</v>
      </c>
      <c r="D2821" t="n">
        <v>4.50777636319304</v>
      </c>
    </row>
    <row r="2822">
      <c r="A2822" t="inlineStr">
        <is>
          <t>Egypt, Arab Rep.</t>
        </is>
      </c>
      <c r="B2822" t="inlineStr">
        <is>
          <t>EGY</t>
        </is>
      </c>
      <c r="C2822" t="n">
        <v>2004</v>
      </c>
      <c r="D2822" t="n">
        <v>11.270619332052</v>
      </c>
    </row>
    <row r="2823">
      <c r="A2823" t="inlineStr">
        <is>
          <t>Egypt, Arab Rep.</t>
        </is>
      </c>
      <c r="B2823" t="inlineStr">
        <is>
          <t>EGY</t>
        </is>
      </c>
      <c r="C2823" t="n">
        <v>2005</v>
      </c>
      <c r="D2823" t="n">
        <v>4.86939696871988</v>
      </c>
    </row>
    <row r="2824">
      <c r="A2824" t="inlineStr">
        <is>
          <t>Egypt, Arab Rep.</t>
        </is>
      </c>
      <c r="B2824" t="inlineStr">
        <is>
          <t>EGY</t>
        </is>
      </c>
      <c r="C2824" t="n">
        <v>2006</v>
      </c>
      <c r="D2824" t="n">
        <v>7.64452644526434</v>
      </c>
    </row>
    <row r="2825">
      <c r="A2825" t="inlineStr">
        <is>
          <t>Egypt, Arab Rep.</t>
        </is>
      </c>
      <c r="B2825" t="inlineStr">
        <is>
          <t>EGY</t>
        </is>
      </c>
      <c r="C2825" t="n">
        <v>2007</v>
      </c>
      <c r="D2825" t="n">
        <v>9.3189690579923</v>
      </c>
    </row>
    <row r="2826">
      <c r="A2826" t="inlineStr">
        <is>
          <t>Egypt, Arab Rep.</t>
        </is>
      </c>
      <c r="B2826" t="inlineStr">
        <is>
          <t>EGY</t>
        </is>
      </c>
      <c r="C2826" t="n">
        <v>2008</v>
      </c>
      <c r="D2826" t="n">
        <v>18.3168316831684</v>
      </c>
    </row>
    <row r="2827">
      <c r="A2827" t="inlineStr">
        <is>
          <t>Egypt, Arab Rep.</t>
        </is>
      </c>
      <c r="B2827" t="inlineStr">
        <is>
          <t>EGY</t>
        </is>
      </c>
      <c r="C2827" t="n">
        <v>2009</v>
      </c>
      <c r="D2827" t="n">
        <v>11.7634954386443</v>
      </c>
    </row>
    <row r="2828">
      <c r="A2828" t="inlineStr">
        <is>
          <t>Egypt, Arab Rep.</t>
        </is>
      </c>
      <c r="B2828" t="inlineStr">
        <is>
          <t>EGY</t>
        </is>
      </c>
      <c r="C2828" t="n">
        <v>2010</v>
      </c>
      <c r="D2828" t="n">
        <v>11.2651882653185</v>
      </c>
    </row>
    <row r="2829">
      <c r="A2829" t="inlineStr">
        <is>
          <t>Egypt, Arab Rep.</t>
        </is>
      </c>
      <c r="B2829" t="inlineStr">
        <is>
          <t>EGY</t>
        </is>
      </c>
      <c r="C2829" t="n">
        <v>2011</v>
      </c>
      <c r="D2829" t="n">
        <v>10.0649259874818</v>
      </c>
    </row>
    <row r="2830">
      <c r="A2830" t="inlineStr">
        <is>
          <t>Egypt, Arab Rep.</t>
        </is>
      </c>
      <c r="B2830" t="inlineStr">
        <is>
          <t>EGY</t>
        </is>
      </c>
      <c r="C2830" t="n">
        <v>2012</v>
      </c>
      <c r="D2830" t="n">
        <v>7.11172943343083</v>
      </c>
    </row>
    <row r="2831">
      <c r="A2831" t="inlineStr">
        <is>
          <t>Egypt, Arab Rep.</t>
        </is>
      </c>
      <c r="B2831" t="inlineStr">
        <is>
          <t>EGY</t>
        </is>
      </c>
      <c r="C2831" t="n">
        <v>2013</v>
      </c>
      <c r="D2831" t="n">
        <v>9.46971981064921</v>
      </c>
    </row>
    <row r="2832">
      <c r="A2832" t="inlineStr">
        <is>
          <t>Egypt, Arab Rep.</t>
        </is>
      </c>
      <c r="B2832" t="inlineStr">
        <is>
          <t>EGY</t>
        </is>
      </c>
      <c r="C2832" t="n">
        <v>2014</v>
      </c>
      <c r="D2832" t="n">
        <v>10.0702154687481</v>
      </c>
    </row>
    <row r="2833">
      <c r="A2833" t="inlineStr">
        <is>
          <t>Egypt, Arab Rep.</t>
        </is>
      </c>
      <c r="B2833" t="inlineStr">
        <is>
          <t>EGY</t>
        </is>
      </c>
      <c r="C2833" t="n">
        <v>2015</v>
      </c>
      <c r="D2833" t="n">
        <v>10.370490343517</v>
      </c>
    </row>
    <row r="2834">
      <c r="A2834" t="inlineStr">
        <is>
          <t>Egypt, Arab Rep.</t>
        </is>
      </c>
      <c r="B2834" t="inlineStr">
        <is>
          <t>EGY</t>
        </is>
      </c>
      <c r="C2834" t="n">
        <v>2016</v>
      </c>
      <c r="D2834" t="n">
        <v>13.813606214829</v>
      </c>
    </row>
    <row r="2835">
      <c r="A2835" t="inlineStr">
        <is>
          <t>Egypt, Arab Rep.</t>
        </is>
      </c>
      <c r="B2835" t="inlineStr">
        <is>
          <t>EGY</t>
        </is>
      </c>
      <c r="C2835" t="n">
        <v>2017</v>
      </c>
      <c r="D2835" t="n">
        <v>29.5066083940039</v>
      </c>
    </row>
    <row r="2836">
      <c r="A2836" t="inlineStr">
        <is>
          <t>Egypt, Arab Rep.</t>
        </is>
      </c>
      <c r="B2836" t="inlineStr">
        <is>
          <t>EGY</t>
        </is>
      </c>
      <c r="C2836" t="n">
        <v>2018</v>
      </c>
      <c r="D2836" t="n">
        <v>14.4014657807422</v>
      </c>
    </row>
    <row r="2837">
      <c r="A2837" t="inlineStr">
        <is>
          <t>Egypt, Arab Rep.</t>
        </is>
      </c>
      <c r="B2837" t="inlineStr">
        <is>
          <t>EGY</t>
        </is>
      </c>
      <c r="C2837" t="n">
        <v>2019</v>
      </c>
      <c r="D2837" t="n">
        <v>9.152799593248041</v>
      </c>
    </row>
    <row r="2838">
      <c r="A2838" t="inlineStr">
        <is>
          <t>Egypt, Arab Rep.</t>
        </is>
      </c>
      <c r="B2838" t="inlineStr">
        <is>
          <t>EGY</t>
        </is>
      </c>
      <c r="C2838" t="n">
        <v>2020</v>
      </c>
      <c r="D2838" t="n">
        <v>5.04493288977539</v>
      </c>
    </row>
    <row r="2839">
      <c r="A2839" t="inlineStr">
        <is>
          <t>Egypt, Arab Rep.</t>
        </is>
      </c>
      <c r="B2839" t="inlineStr">
        <is>
          <t>EGY</t>
        </is>
      </c>
      <c r="C2839" t="n">
        <v>2021</v>
      </c>
      <c r="D2839" t="n">
        <v>5.21404940513043</v>
      </c>
    </row>
    <row r="2840">
      <c r="A2840" t="inlineStr">
        <is>
          <t>Egypt, Arab Rep.</t>
        </is>
      </c>
      <c r="B2840" t="inlineStr">
        <is>
          <t>EGY</t>
        </is>
      </c>
      <c r="C2840" t="n">
        <v>2022</v>
      </c>
      <c r="D2840" t="n">
        <v>13.8956609775178</v>
      </c>
    </row>
    <row r="2841">
      <c r="A2841" t="inlineStr">
        <is>
          <t>Egypt, Arab Rep.</t>
        </is>
      </c>
      <c r="B2841" t="inlineStr">
        <is>
          <t>EGY</t>
        </is>
      </c>
      <c r="C2841" t="n">
        <v>2023</v>
      </c>
      <c r="D2841" t="n">
        <v>33.8847763115546</v>
      </c>
    </row>
    <row r="2842">
      <c r="A2842" t="inlineStr">
        <is>
          <t>Euro area</t>
        </is>
      </c>
      <c r="B2842" t="inlineStr">
        <is>
          <t>EMU</t>
        </is>
      </c>
      <c r="C2842" t="n">
        <v>1960</v>
      </c>
      <c r="D2842" t="n">
        <v>1.74118084746923</v>
      </c>
    </row>
    <row r="2843">
      <c r="A2843" t="inlineStr">
        <is>
          <t>Euro area</t>
        </is>
      </c>
      <c r="B2843" t="inlineStr">
        <is>
          <t>EMU</t>
        </is>
      </c>
      <c r="C2843" t="n">
        <v>1961</v>
      </c>
      <c r="D2843" t="n">
        <v>1.87084961406325</v>
      </c>
    </row>
    <row r="2844">
      <c r="A2844" t="inlineStr">
        <is>
          <t>Euro area</t>
        </is>
      </c>
      <c r="B2844" t="inlineStr">
        <is>
          <t>EMU</t>
        </is>
      </c>
      <c r="C2844" t="n">
        <v>1962</v>
      </c>
      <c r="D2844" t="n">
        <v>2.75266718866912</v>
      </c>
    </row>
    <row r="2845">
      <c r="A2845" t="inlineStr">
        <is>
          <t>Euro area</t>
        </is>
      </c>
      <c r="B2845" t="inlineStr">
        <is>
          <t>EMU</t>
        </is>
      </c>
      <c r="C2845" t="n">
        <v>1963</v>
      </c>
      <c r="D2845" t="n">
        <v>2.92164111900189</v>
      </c>
    </row>
    <row r="2846">
      <c r="A2846" t="inlineStr">
        <is>
          <t>Euro area</t>
        </is>
      </c>
      <c r="B2846" t="inlineStr">
        <is>
          <t>EMU</t>
        </is>
      </c>
      <c r="C2846" t="n">
        <v>1964</v>
      </c>
      <c r="D2846" t="n">
        <v>3.65673101579698</v>
      </c>
    </row>
    <row r="2847">
      <c r="A2847" t="inlineStr">
        <is>
          <t>Euro area</t>
        </is>
      </c>
      <c r="B2847" t="inlineStr">
        <is>
          <t>EMU</t>
        </is>
      </c>
      <c r="C2847" t="n">
        <v>1965</v>
      </c>
      <c r="D2847" t="n">
        <v>3.66648280262594</v>
      </c>
    </row>
    <row r="2848">
      <c r="A2848" t="inlineStr">
        <is>
          <t>Euro area</t>
        </is>
      </c>
      <c r="B2848" t="inlineStr">
        <is>
          <t>EMU</t>
        </is>
      </c>
      <c r="C2848" t="n">
        <v>1966</v>
      </c>
      <c r="D2848" t="n">
        <v>3.43237006366126</v>
      </c>
    </row>
    <row r="2849">
      <c r="A2849" t="inlineStr">
        <is>
          <t>Euro area</t>
        </is>
      </c>
      <c r="B2849" t="inlineStr">
        <is>
          <t>EMU</t>
        </is>
      </c>
      <c r="C2849" t="n">
        <v>1967</v>
      </c>
      <c r="D2849" t="n">
        <v>2.98754606695165</v>
      </c>
    </row>
    <row r="2850">
      <c r="A2850" t="inlineStr">
        <is>
          <t>Euro area</t>
        </is>
      </c>
      <c r="B2850" t="inlineStr">
        <is>
          <t>EMU</t>
        </is>
      </c>
      <c r="C2850" t="n">
        <v>1968</v>
      </c>
      <c r="D2850" t="n">
        <v>3.24282887679454</v>
      </c>
    </row>
    <row r="2851">
      <c r="A2851" t="inlineStr">
        <is>
          <t>Euro area</t>
        </is>
      </c>
      <c r="B2851" t="inlineStr">
        <is>
          <t>EMU</t>
        </is>
      </c>
      <c r="C2851" t="n">
        <v>1969</v>
      </c>
      <c r="D2851" t="n">
        <v>2.64808571111228</v>
      </c>
    </row>
    <row r="2852">
      <c r="A2852" t="inlineStr">
        <is>
          <t>Euro area</t>
        </is>
      </c>
      <c r="B2852" t="inlineStr">
        <is>
          <t>EMU</t>
        </is>
      </c>
      <c r="C2852" t="n">
        <v>1970</v>
      </c>
      <c r="D2852" t="n">
        <v>4.14064840027025</v>
      </c>
    </row>
    <row r="2853">
      <c r="A2853" t="inlineStr">
        <is>
          <t>Euro area</t>
        </is>
      </c>
      <c r="B2853" t="inlineStr">
        <is>
          <t>EMU</t>
        </is>
      </c>
      <c r="C2853" t="n">
        <v>1971</v>
      </c>
      <c r="D2853" t="n">
        <v>5.0163194330344</v>
      </c>
    </row>
    <row r="2854">
      <c r="A2854" t="inlineStr">
        <is>
          <t>Euro area</t>
        </is>
      </c>
      <c r="B2854" t="inlineStr">
        <is>
          <t>EMU</t>
        </is>
      </c>
      <c r="C2854" t="n">
        <v>1972</v>
      </c>
      <c r="D2854" t="n">
        <v>5.90625351724097</v>
      </c>
    </row>
    <row r="2855">
      <c r="A2855" t="inlineStr">
        <is>
          <t>Euro area</t>
        </is>
      </c>
      <c r="B2855" t="inlineStr">
        <is>
          <t>EMU</t>
        </is>
      </c>
      <c r="C2855" t="n">
        <v>1973</v>
      </c>
      <c r="D2855" t="n">
        <v>7.91554614965598</v>
      </c>
    </row>
    <row r="2856">
      <c r="A2856" t="inlineStr">
        <is>
          <t>Euro area</t>
        </is>
      </c>
      <c r="B2856" t="inlineStr">
        <is>
          <t>EMU</t>
        </is>
      </c>
      <c r="C2856" t="n">
        <v>1974</v>
      </c>
      <c r="D2856" t="n">
        <v>14.6648454356765</v>
      </c>
    </row>
    <row r="2857">
      <c r="A2857" t="inlineStr">
        <is>
          <t>Euro area</t>
        </is>
      </c>
      <c r="B2857" t="inlineStr">
        <is>
          <t>EMU</t>
        </is>
      </c>
      <c r="C2857" t="n">
        <v>1975</v>
      </c>
      <c r="D2857" t="n">
        <v>12.2270629206871</v>
      </c>
    </row>
    <row r="2858">
      <c r="A2858" t="inlineStr">
        <is>
          <t>Euro area</t>
        </is>
      </c>
      <c r="B2858" t="inlineStr">
        <is>
          <t>EMU</t>
        </is>
      </c>
      <c r="C2858" t="n">
        <v>1976</v>
      </c>
      <c r="D2858" t="n">
        <v>9.711421109359129</v>
      </c>
    </row>
    <row r="2859">
      <c r="A2859" t="inlineStr">
        <is>
          <t>Euro area</t>
        </is>
      </c>
      <c r="B2859" t="inlineStr">
        <is>
          <t>EMU</t>
        </is>
      </c>
      <c r="C2859" t="n">
        <v>1977</v>
      </c>
      <c r="D2859" t="n">
        <v>9.767464736070369</v>
      </c>
    </row>
    <row r="2860">
      <c r="A2860" t="inlineStr">
        <is>
          <t>Euro area</t>
        </is>
      </c>
      <c r="B2860" t="inlineStr">
        <is>
          <t>EMU</t>
        </is>
      </c>
      <c r="C2860" t="n">
        <v>1978</v>
      </c>
      <c r="D2860" t="n">
        <v>7.57369772258264</v>
      </c>
    </row>
    <row r="2861">
      <c r="A2861" t="inlineStr">
        <is>
          <t>Euro area</t>
        </is>
      </c>
      <c r="B2861" t="inlineStr">
        <is>
          <t>EMU</t>
        </is>
      </c>
      <c r="C2861" t="n">
        <v>1979</v>
      </c>
      <c r="D2861" t="n">
        <v>8.46533490414879</v>
      </c>
    </row>
    <row r="2862">
      <c r="A2862" t="inlineStr">
        <is>
          <t>Euro area</t>
        </is>
      </c>
      <c r="B2862" t="inlineStr">
        <is>
          <t>EMU</t>
        </is>
      </c>
      <c r="C2862" t="n">
        <v>1980</v>
      </c>
      <c r="D2862" t="n">
        <v>13.5400697127799</v>
      </c>
    </row>
    <row r="2863">
      <c r="A2863" t="inlineStr">
        <is>
          <t>Euro area</t>
        </is>
      </c>
      <c r="B2863" t="inlineStr">
        <is>
          <t>EMU</t>
        </is>
      </c>
      <c r="C2863" t="n">
        <v>1981</v>
      </c>
      <c r="D2863" t="n">
        <v>11.5097558377123</v>
      </c>
    </row>
    <row r="2864">
      <c r="A2864" t="inlineStr">
        <is>
          <t>Euro area</t>
        </is>
      </c>
      <c r="B2864" t="inlineStr">
        <is>
          <t>EMU</t>
        </is>
      </c>
      <c r="C2864" t="n">
        <v>1982</v>
      </c>
      <c r="D2864" t="n">
        <v>9.58492764677445</v>
      </c>
    </row>
    <row r="2865">
      <c r="A2865" t="inlineStr">
        <is>
          <t>Euro area</t>
        </is>
      </c>
      <c r="B2865" t="inlineStr">
        <is>
          <t>EMU</t>
        </is>
      </c>
      <c r="C2865" t="n">
        <v>1983</v>
      </c>
      <c r="D2865" t="n">
        <v>8.669271598085221</v>
      </c>
    </row>
    <row r="2866">
      <c r="A2866" t="inlineStr">
        <is>
          <t>Euro area</t>
        </is>
      </c>
      <c r="B2866" t="inlineStr">
        <is>
          <t>EMU</t>
        </is>
      </c>
      <c r="C2866" t="n">
        <v>1984</v>
      </c>
      <c r="D2866" t="n">
        <v>7.06765638328172</v>
      </c>
    </row>
    <row r="2867">
      <c r="A2867" t="inlineStr">
        <is>
          <t>Euro area</t>
        </is>
      </c>
      <c r="B2867" t="inlineStr">
        <is>
          <t>EMU</t>
        </is>
      </c>
      <c r="C2867" t="n">
        <v>1985</v>
      </c>
      <c r="D2867" t="n">
        <v>5.19562195429435</v>
      </c>
    </row>
    <row r="2868">
      <c r="A2868" t="inlineStr">
        <is>
          <t>Euro area</t>
        </is>
      </c>
      <c r="B2868" t="inlineStr">
        <is>
          <t>EMU</t>
        </is>
      </c>
      <c r="C2868" t="n">
        <v>1986</v>
      </c>
      <c r="D2868" t="n">
        <v>2.73605256111872</v>
      </c>
    </row>
    <row r="2869">
      <c r="A2869" t="inlineStr">
        <is>
          <t>Euro area</t>
        </is>
      </c>
      <c r="B2869" t="inlineStr">
        <is>
          <t>EMU</t>
        </is>
      </c>
      <c r="C2869" t="n">
        <v>1987</v>
      </c>
      <c r="D2869" t="n">
        <v>3.22415428117574</v>
      </c>
    </row>
    <row r="2870">
      <c r="A2870" t="inlineStr">
        <is>
          <t>Euro area</t>
        </is>
      </c>
      <c r="B2870" t="inlineStr">
        <is>
          <t>EMU</t>
        </is>
      </c>
      <c r="C2870" t="n">
        <v>1988</v>
      </c>
      <c r="D2870" t="n">
        <v>3.06504079522199</v>
      </c>
    </row>
    <row r="2871">
      <c r="A2871" t="inlineStr">
        <is>
          <t>Euro area</t>
        </is>
      </c>
      <c r="B2871" t="inlineStr">
        <is>
          <t>EMU</t>
        </is>
      </c>
      <c r="C2871" t="n">
        <v>1989</v>
      </c>
      <c r="D2871" t="n">
        <v>3.92726718218467</v>
      </c>
    </row>
    <row r="2872">
      <c r="A2872" t="inlineStr">
        <is>
          <t>Euro area</t>
        </is>
      </c>
      <c r="B2872" t="inlineStr">
        <is>
          <t>EMU</t>
        </is>
      </c>
      <c r="C2872" t="n">
        <v>1990</v>
      </c>
      <c r="D2872" t="n">
        <v>3.97518340428825</v>
      </c>
    </row>
    <row r="2873">
      <c r="A2873" t="inlineStr">
        <is>
          <t>Euro area</t>
        </is>
      </c>
      <c r="B2873" t="inlineStr">
        <is>
          <t>EMU</t>
        </is>
      </c>
      <c r="C2873" t="n">
        <v>1991</v>
      </c>
      <c r="D2873" t="n">
        <v>4.17862274798465</v>
      </c>
    </row>
    <row r="2874">
      <c r="A2874" t="inlineStr">
        <is>
          <t>Euro area</t>
        </is>
      </c>
      <c r="B2874" t="inlineStr">
        <is>
          <t>EMU</t>
        </is>
      </c>
      <c r="C2874" t="n">
        <v>1992</v>
      </c>
      <c r="D2874" t="n">
        <v>5.2705899859293</v>
      </c>
    </row>
    <row r="2875">
      <c r="A2875" t="inlineStr">
        <is>
          <t>Euro area</t>
        </is>
      </c>
      <c r="B2875" t="inlineStr">
        <is>
          <t>EMU</t>
        </is>
      </c>
      <c r="C2875" t="n">
        <v>1993</v>
      </c>
      <c r="D2875" t="n">
        <v>4.59790321006555</v>
      </c>
    </row>
    <row r="2876">
      <c r="A2876" t="inlineStr">
        <is>
          <t>Euro area</t>
        </is>
      </c>
      <c r="B2876" t="inlineStr">
        <is>
          <t>EMU</t>
        </is>
      </c>
      <c r="C2876" t="n">
        <v>1994</v>
      </c>
      <c r="D2876" t="n">
        <v>4.4142555634662</v>
      </c>
    </row>
    <row r="2877">
      <c r="A2877" t="inlineStr">
        <is>
          <t>Euro area</t>
        </is>
      </c>
      <c r="B2877" t="inlineStr">
        <is>
          <t>EMU</t>
        </is>
      </c>
      <c r="C2877" t="n">
        <v>1995</v>
      </c>
      <c r="D2877" t="n">
        <v>4.08646004554944</v>
      </c>
    </row>
    <row r="2878">
      <c r="A2878" t="inlineStr">
        <is>
          <t>Euro area</t>
        </is>
      </c>
      <c r="B2878" t="inlineStr">
        <is>
          <t>EMU</t>
        </is>
      </c>
      <c r="C2878" t="n">
        <v>1996</v>
      </c>
      <c r="D2878" t="n">
        <v>3.02395109495527</v>
      </c>
    </row>
    <row r="2879">
      <c r="A2879" t="inlineStr">
        <is>
          <t>Euro area</t>
        </is>
      </c>
      <c r="B2879" t="inlineStr">
        <is>
          <t>EMU</t>
        </is>
      </c>
      <c r="C2879" t="n">
        <v>1997</v>
      </c>
      <c r="D2879" t="n">
        <v>2.223054305268</v>
      </c>
    </row>
    <row r="2880">
      <c r="A2880" t="inlineStr">
        <is>
          <t>Euro area</t>
        </is>
      </c>
      <c r="B2880" t="inlineStr">
        <is>
          <t>EMU</t>
        </is>
      </c>
      <c r="C2880" t="n">
        <v>1998</v>
      </c>
      <c r="D2880" t="n">
        <v>2.30647934035989</v>
      </c>
    </row>
    <row r="2881">
      <c r="A2881" t="inlineStr">
        <is>
          <t>Euro area</t>
        </is>
      </c>
      <c r="B2881" t="inlineStr">
        <is>
          <t>EMU</t>
        </is>
      </c>
      <c r="C2881" t="n">
        <v>1999</v>
      </c>
      <c r="D2881" t="n">
        <v>1.8991144190705</v>
      </c>
    </row>
    <row r="2882">
      <c r="A2882" t="inlineStr">
        <is>
          <t>Euro area</t>
        </is>
      </c>
      <c r="B2882" t="inlineStr">
        <is>
          <t>EMU</t>
        </is>
      </c>
      <c r="C2882" t="n">
        <v>2000</v>
      </c>
      <c r="D2882" t="n">
        <v>2.94756559977476</v>
      </c>
    </row>
    <row r="2883">
      <c r="A2883" t="inlineStr">
        <is>
          <t>Euro area</t>
        </is>
      </c>
      <c r="B2883" t="inlineStr">
        <is>
          <t>EMU</t>
        </is>
      </c>
      <c r="C2883" t="n">
        <v>2001</v>
      </c>
      <c r="D2883" t="n">
        <v>2.85732893518829</v>
      </c>
    </row>
    <row r="2884">
      <c r="A2884" t="inlineStr">
        <is>
          <t>Euro area</t>
        </is>
      </c>
      <c r="B2884" t="inlineStr">
        <is>
          <t>EMU</t>
        </is>
      </c>
      <c r="C2884" t="n">
        <v>2002</v>
      </c>
      <c r="D2884" t="n">
        <v>2.32690683615857</v>
      </c>
    </row>
    <row r="2885">
      <c r="A2885" t="inlineStr">
        <is>
          <t>Euro area</t>
        </is>
      </c>
      <c r="B2885" t="inlineStr">
        <is>
          <t>EMU</t>
        </is>
      </c>
      <c r="C2885" t="n">
        <v>2003</v>
      </c>
      <c r="D2885" t="n">
        <v>2.09523529072289</v>
      </c>
    </row>
    <row r="2886">
      <c r="A2886" t="inlineStr">
        <is>
          <t>Euro area</t>
        </is>
      </c>
      <c r="B2886" t="inlineStr">
        <is>
          <t>EMU</t>
        </is>
      </c>
      <c r="C2886" t="n">
        <v>2004</v>
      </c>
      <c r="D2886" t="n">
        <v>2.21620788926273</v>
      </c>
    </row>
    <row r="2887">
      <c r="A2887" t="inlineStr">
        <is>
          <t>Euro area</t>
        </is>
      </c>
      <c r="B2887" t="inlineStr">
        <is>
          <t>EMU</t>
        </is>
      </c>
      <c r="C2887" t="n">
        <v>2005</v>
      </c>
      <c r="D2887" t="n">
        <v>2.52392898747161</v>
      </c>
    </row>
    <row r="2888">
      <c r="A2888" t="inlineStr">
        <is>
          <t>Euro area</t>
        </is>
      </c>
      <c r="B2888" t="inlineStr">
        <is>
          <t>EMU</t>
        </is>
      </c>
      <c r="C2888" t="n">
        <v>2006</v>
      </c>
      <c r="D2888" t="n">
        <v>2.72004750529271</v>
      </c>
    </row>
    <row r="2889">
      <c r="A2889" t="inlineStr">
        <is>
          <t>Euro area</t>
        </is>
      </c>
      <c r="B2889" t="inlineStr">
        <is>
          <t>EMU</t>
        </is>
      </c>
      <c r="C2889" t="n">
        <v>2007</v>
      </c>
      <c r="D2889" t="n">
        <v>2.48231546689542</v>
      </c>
    </row>
    <row r="2890">
      <c r="A2890" t="inlineStr">
        <is>
          <t>Euro area</t>
        </is>
      </c>
      <c r="B2890" t="inlineStr">
        <is>
          <t>EMU</t>
        </is>
      </c>
      <c r="C2890" t="n">
        <v>2008</v>
      </c>
      <c r="D2890" t="n">
        <v>4.11407022033816</v>
      </c>
    </row>
    <row r="2891">
      <c r="A2891" t="inlineStr">
        <is>
          <t>Euro area</t>
        </is>
      </c>
      <c r="B2891" t="inlineStr">
        <is>
          <t>EMU</t>
        </is>
      </c>
      <c r="C2891" t="n">
        <v>2009</v>
      </c>
      <c r="D2891" t="n">
        <v>0.437175412792701</v>
      </c>
    </row>
    <row r="2892">
      <c r="A2892" t="inlineStr">
        <is>
          <t>Euro area</t>
        </is>
      </c>
      <c r="B2892" t="inlineStr">
        <is>
          <t>EMU</t>
        </is>
      </c>
      <c r="C2892" t="n">
        <v>2010</v>
      </c>
      <c r="D2892" t="n">
        <v>1.5205755786839</v>
      </c>
    </row>
    <row r="2893">
      <c r="A2893" t="inlineStr">
        <is>
          <t>Euro area</t>
        </is>
      </c>
      <c r="B2893" t="inlineStr">
        <is>
          <t>EMU</t>
        </is>
      </c>
      <c r="C2893" t="n">
        <v>2011</v>
      </c>
      <c r="D2893" t="n">
        <v>3.28801427219796</v>
      </c>
    </row>
    <row r="2894">
      <c r="A2894" t="inlineStr">
        <is>
          <t>Euro area</t>
        </is>
      </c>
      <c r="B2894" t="inlineStr">
        <is>
          <t>EMU</t>
        </is>
      </c>
      <c r="C2894" t="n">
        <v>2012</v>
      </c>
      <c r="D2894" t="n">
        <v>2.54154474108009</v>
      </c>
    </row>
    <row r="2895">
      <c r="A2895" t="inlineStr">
        <is>
          <t>Euro area</t>
        </is>
      </c>
      <c r="B2895" t="inlineStr">
        <is>
          <t>EMU</t>
        </is>
      </c>
      <c r="C2895" t="n">
        <v>2013</v>
      </c>
      <c r="D2895" t="n">
        <v>1.31023355618666</v>
      </c>
    </row>
    <row r="2896">
      <c r="A2896" t="inlineStr">
        <is>
          <t>Euro area</t>
        </is>
      </c>
      <c r="B2896" t="inlineStr">
        <is>
          <t>EMU</t>
        </is>
      </c>
      <c r="C2896" t="n">
        <v>2014</v>
      </c>
      <c r="D2896" t="n">
        <v>0.220195628198753</v>
      </c>
    </row>
    <row r="2897">
      <c r="A2897" t="inlineStr">
        <is>
          <t>Euro area</t>
        </is>
      </c>
      <c r="B2897" t="inlineStr">
        <is>
          <t>EMU</t>
        </is>
      </c>
      <c r="C2897" t="n">
        <v>2015</v>
      </c>
      <c r="D2897" t="n">
        <v>-0.0852072296963749</v>
      </c>
    </row>
    <row r="2898">
      <c r="A2898" t="inlineStr">
        <is>
          <t>Euro area</t>
        </is>
      </c>
      <c r="B2898" t="inlineStr">
        <is>
          <t>EMU</t>
        </is>
      </c>
      <c r="C2898" t="n">
        <v>2016</v>
      </c>
      <c r="D2898" t="n">
        <v>0.166009884375616</v>
      </c>
    </row>
    <row r="2899">
      <c r="A2899" t="inlineStr">
        <is>
          <t>Euro area</t>
        </is>
      </c>
      <c r="B2899" t="inlineStr">
        <is>
          <t>EMU</t>
        </is>
      </c>
      <c r="C2899" t="n">
        <v>2017</v>
      </c>
      <c r="D2899" t="n">
        <v>1.37503641525339</v>
      </c>
    </row>
    <row r="2900">
      <c r="A2900" t="inlineStr">
        <is>
          <t>Euro area</t>
        </is>
      </c>
      <c r="B2900" t="inlineStr">
        <is>
          <t>EMU</t>
        </is>
      </c>
      <c r="C2900" t="n">
        <v>2018</v>
      </c>
      <c r="D2900" t="n">
        <v>1.6892396580413</v>
      </c>
    </row>
    <row r="2901">
      <c r="A2901" t="inlineStr">
        <is>
          <t>Euro area</t>
        </is>
      </c>
      <c r="B2901" t="inlineStr">
        <is>
          <t>EMU</t>
        </is>
      </c>
      <c r="C2901" t="n">
        <v>2019</v>
      </c>
      <c r="D2901" t="n">
        <v>1.44123966942341</v>
      </c>
    </row>
    <row r="2902">
      <c r="A2902" t="inlineStr">
        <is>
          <t>Euro area</t>
        </is>
      </c>
      <c r="B2902" t="inlineStr">
        <is>
          <t>EMU</t>
        </is>
      </c>
      <c r="C2902" t="n">
        <v>2020</v>
      </c>
      <c r="D2902" t="n">
        <v>0.186938139702131</v>
      </c>
    </row>
    <row r="2903">
      <c r="A2903" t="inlineStr">
        <is>
          <t>Euro area</t>
        </is>
      </c>
      <c r="B2903" t="inlineStr">
        <is>
          <t>EMU</t>
        </is>
      </c>
      <c r="C2903" t="n">
        <v>2021</v>
      </c>
      <c r="D2903" t="n">
        <v>2.4865043812082</v>
      </c>
    </row>
    <row r="2904">
      <c r="A2904" t="inlineStr">
        <is>
          <t>Euro area</t>
        </is>
      </c>
      <c r="B2904" t="inlineStr">
        <is>
          <t>EMU</t>
        </is>
      </c>
      <c r="C2904" t="n">
        <v>2022</v>
      </c>
      <c r="D2904" t="n">
        <v>8.471176455908919</v>
      </c>
    </row>
    <row r="2905">
      <c r="A2905" t="inlineStr">
        <is>
          <t>Euro area</t>
        </is>
      </c>
      <c r="B2905" t="inlineStr">
        <is>
          <t>EMU</t>
        </is>
      </c>
      <c r="C2905" t="n">
        <v>2023</v>
      </c>
      <c r="D2905" t="n">
        <v>5.78431554960862</v>
      </c>
    </row>
    <row r="2906">
      <c r="A2906" t="inlineStr">
        <is>
          <t>Spain</t>
        </is>
      </c>
      <c r="B2906" t="inlineStr">
        <is>
          <t>ESP</t>
        </is>
      </c>
      <c r="C2906" t="n">
        <v>1960</v>
      </c>
      <c r="D2906" t="n">
        <v>1.17777108409632</v>
      </c>
    </row>
    <row r="2907">
      <c r="A2907" t="inlineStr">
        <is>
          <t>Spain</t>
        </is>
      </c>
      <c r="B2907" t="inlineStr">
        <is>
          <t>ESP</t>
        </is>
      </c>
      <c r="C2907" t="n">
        <v>1961</v>
      </c>
      <c r="D2907" t="n">
        <v>0.809252873882167</v>
      </c>
    </row>
    <row r="2908">
      <c r="A2908" t="inlineStr">
        <is>
          <t>Spain</t>
        </is>
      </c>
      <c r="B2908" t="inlineStr">
        <is>
          <t>ESP</t>
        </is>
      </c>
      <c r="C2908" t="n">
        <v>1962</v>
      </c>
      <c r="D2908" t="n">
        <v>5.70647719271309</v>
      </c>
    </row>
    <row r="2909">
      <c r="A2909" t="inlineStr">
        <is>
          <t>Spain</t>
        </is>
      </c>
      <c r="B2909" t="inlineStr">
        <is>
          <t>ESP</t>
        </is>
      </c>
      <c r="C2909" t="n">
        <v>1963</v>
      </c>
      <c r="D2909" t="n">
        <v>8.743697684091529</v>
      </c>
    </row>
    <row r="2910">
      <c r="A2910" t="inlineStr">
        <is>
          <t>Spain</t>
        </is>
      </c>
      <c r="B2910" t="inlineStr">
        <is>
          <t>ESP</t>
        </is>
      </c>
      <c r="C2910" t="n">
        <v>1964</v>
      </c>
      <c r="D2910" t="n">
        <v>6.97924673989605</v>
      </c>
    </row>
    <row r="2911">
      <c r="A2911" t="inlineStr">
        <is>
          <t>Spain</t>
        </is>
      </c>
      <c r="B2911" t="inlineStr">
        <is>
          <t>ESP</t>
        </is>
      </c>
      <c r="C2911" t="n">
        <v>1965</v>
      </c>
      <c r="D2911" t="n">
        <v>13.2141378382198</v>
      </c>
    </row>
    <row r="2912">
      <c r="A2912" t="inlineStr">
        <is>
          <t>Spain</t>
        </is>
      </c>
      <c r="B2912" t="inlineStr">
        <is>
          <t>ESP</t>
        </is>
      </c>
      <c r="C2912" t="n">
        <v>1966</v>
      </c>
      <c r="D2912" t="n">
        <v>6.24036708297987</v>
      </c>
    </row>
    <row r="2913">
      <c r="A2913" t="inlineStr">
        <is>
          <t>Spain</t>
        </is>
      </c>
      <c r="B2913" t="inlineStr">
        <is>
          <t>ESP</t>
        </is>
      </c>
      <c r="C2913" t="n">
        <v>1967</v>
      </c>
      <c r="D2913" t="n">
        <v>6.39163108782116</v>
      </c>
    </row>
    <row r="2914">
      <c r="A2914" t="inlineStr">
        <is>
          <t>Spain</t>
        </is>
      </c>
      <c r="B2914" t="inlineStr">
        <is>
          <t>ESP</t>
        </is>
      </c>
      <c r="C2914" t="n">
        <v>1968</v>
      </c>
      <c r="D2914" t="n">
        <v>4.95436611736463</v>
      </c>
    </row>
    <row r="2915">
      <c r="A2915" t="inlineStr">
        <is>
          <t>Spain</t>
        </is>
      </c>
      <c r="B2915" t="inlineStr">
        <is>
          <t>ESP</t>
        </is>
      </c>
      <c r="C2915" t="n">
        <v>1969</v>
      </c>
      <c r="D2915" t="n">
        <v>2.16034713599867</v>
      </c>
    </row>
    <row r="2916">
      <c r="A2916" t="inlineStr">
        <is>
          <t>Spain</t>
        </is>
      </c>
      <c r="B2916" t="inlineStr">
        <is>
          <t>ESP</t>
        </is>
      </c>
      <c r="C2916" t="n">
        <v>1970</v>
      </c>
      <c r="D2916" t="n">
        <v>5.73114484293532</v>
      </c>
    </row>
    <row r="2917">
      <c r="A2917" t="inlineStr">
        <is>
          <t>Spain</t>
        </is>
      </c>
      <c r="B2917" t="inlineStr">
        <is>
          <t>ESP</t>
        </is>
      </c>
      <c r="C2917" t="n">
        <v>1971</v>
      </c>
      <c r="D2917" t="n">
        <v>8.23688714893602</v>
      </c>
    </row>
    <row r="2918">
      <c r="A2918" t="inlineStr">
        <is>
          <t>Spain</t>
        </is>
      </c>
      <c r="B2918" t="inlineStr">
        <is>
          <t>ESP</t>
        </is>
      </c>
      <c r="C2918" t="n">
        <v>1972</v>
      </c>
      <c r="D2918" t="n">
        <v>8.272287549419429</v>
      </c>
    </row>
    <row r="2919">
      <c r="A2919" t="inlineStr">
        <is>
          <t>Spain</t>
        </is>
      </c>
      <c r="B2919" t="inlineStr">
        <is>
          <t>ESP</t>
        </is>
      </c>
      <c r="C2919" t="n">
        <v>1973</v>
      </c>
      <c r="D2919" t="n">
        <v>11.4167076137084</v>
      </c>
    </row>
    <row r="2920">
      <c r="A2920" t="inlineStr">
        <is>
          <t>Spain</t>
        </is>
      </c>
      <c r="B2920" t="inlineStr">
        <is>
          <t>ESP</t>
        </is>
      </c>
      <c r="C2920" t="n">
        <v>1974</v>
      </c>
      <c r="D2920" t="n">
        <v>15.680373398539</v>
      </c>
    </row>
    <row r="2921">
      <c r="A2921" t="inlineStr">
        <is>
          <t>Spain</t>
        </is>
      </c>
      <c r="B2921" t="inlineStr">
        <is>
          <t>ESP</t>
        </is>
      </c>
      <c r="C2921" t="n">
        <v>1975</v>
      </c>
      <c r="D2921" t="n">
        <v>16.9532859334982</v>
      </c>
    </row>
    <row r="2922">
      <c r="A2922" t="inlineStr">
        <is>
          <t>Spain</t>
        </is>
      </c>
      <c r="B2922" t="inlineStr">
        <is>
          <t>ESP</t>
        </is>
      </c>
      <c r="C2922" t="n">
        <v>1976</v>
      </c>
      <c r="D2922" t="n">
        <v>17.6248800527481</v>
      </c>
    </row>
    <row r="2923">
      <c r="A2923" t="inlineStr">
        <is>
          <t>Spain</t>
        </is>
      </c>
      <c r="B2923" t="inlineStr">
        <is>
          <t>ESP</t>
        </is>
      </c>
      <c r="C2923" t="n">
        <v>1977</v>
      </c>
      <c r="D2923" t="n">
        <v>24.5380632929205</v>
      </c>
    </row>
    <row r="2924">
      <c r="A2924" t="inlineStr">
        <is>
          <t>Spain</t>
        </is>
      </c>
      <c r="B2924" t="inlineStr">
        <is>
          <t>ESP</t>
        </is>
      </c>
      <c r="C2924" t="n">
        <v>1978</v>
      </c>
      <c r="D2924" t="n">
        <v>19.7736704973662</v>
      </c>
    </row>
    <row r="2925">
      <c r="A2925" t="inlineStr">
        <is>
          <t>Spain</t>
        </is>
      </c>
      <c r="B2925" t="inlineStr">
        <is>
          <t>ESP</t>
        </is>
      </c>
      <c r="C2925" t="n">
        <v>1979</v>
      </c>
      <c r="D2925" t="n">
        <v>15.6602355971772</v>
      </c>
    </row>
    <row r="2926">
      <c r="A2926" t="inlineStr">
        <is>
          <t>Spain</t>
        </is>
      </c>
      <c r="B2926" t="inlineStr">
        <is>
          <t>ESP</t>
        </is>
      </c>
      <c r="C2926" t="n">
        <v>1980</v>
      </c>
      <c r="D2926" t="n">
        <v>15.5619020957245</v>
      </c>
    </row>
    <row r="2927">
      <c r="A2927" t="inlineStr">
        <is>
          <t>Spain</t>
        </is>
      </c>
      <c r="B2927" t="inlineStr">
        <is>
          <t>ESP</t>
        </is>
      </c>
      <c r="C2927" t="n">
        <v>1981</v>
      </c>
      <c r="D2927" t="n">
        <v>14.5493457170322</v>
      </c>
    </row>
    <row r="2928">
      <c r="A2928" t="inlineStr">
        <is>
          <t>Spain</t>
        </is>
      </c>
      <c r="B2928" t="inlineStr">
        <is>
          <t>ESP</t>
        </is>
      </c>
      <c r="C2928" t="n">
        <v>1982</v>
      </c>
      <c r="D2928" t="n">
        <v>14.4150020548327</v>
      </c>
    </row>
    <row r="2929">
      <c r="A2929" t="inlineStr">
        <is>
          <t>Spain</t>
        </is>
      </c>
      <c r="B2929" t="inlineStr">
        <is>
          <t>ESP</t>
        </is>
      </c>
      <c r="C2929" t="n">
        <v>1983</v>
      </c>
      <c r="D2929" t="n">
        <v>12.1740727351699</v>
      </c>
    </row>
    <row r="2930">
      <c r="A2930" t="inlineStr">
        <is>
          <t>Spain</t>
        </is>
      </c>
      <c r="B2930" t="inlineStr">
        <is>
          <t>ESP</t>
        </is>
      </c>
      <c r="C2930" t="n">
        <v>1984</v>
      </c>
      <c r="D2930" t="n">
        <v>11.2802765604038</v>
      </c>
    </row>
    <row r="2931">
      <c r="A2931" t="inlineStr">
        <is>
          <t>Spain</t>
        </is>
      </c>
      <c r="B2931" t="inlineStr">
        <is>
          <t>ESP</t>
        </is>
      </c>
      <c r="C2931" t="n">
        <v>1985</v>
      </c>
      <c r="D2931" t="n">
        <v>8.81445506678387</v>
      </c>
    </row>
    <row r="2932">
      <c r="A2932" t="inlineStr">
        <is>
          <t>Spain</t>
        </is>
      </c>
      <c r="B2932" t="inlineStr">
        <is>
          <t>ESP</t>
        </is>
      </c>
      <c r="C2932" t="n">
        <v>1986</v>
      </c>
      <c r="D2932" t="n">
        <v>8.794939322903209</v>
      </c>
    </row>
    <row r="2933">
      <c r="A2933" t="inlineStr">
        <is>
          <t>Spain</t>
        </is>
      </c>
      <c r="B2933" t="inlineStr">
        <is>
          <t>ESP</t>
        </is>
      </c>
      <c r="C2933" t="n">
        <v>1987</v>
      </c>
      <c r="D2933" t="n">
        <v>5.24801863489594</v>
      </c>
    </row>
    <row r="2934">
      <c r="A2934" t="inlineStr">
        <is>
          <t>Spain</t>
        </is>
      </c>
      <c r="B2934" t="inlineStr">
        <is>
          <t>ESP</t>
        </is>
      </c>
      <c r="C2934" t="n">
        <v>1988</v>
      </c>
      <c r="D2934" t="n">
        <v>4.83727066490361</v>
      </c>
    </row>
    <row r="2935">
      <c r="A2935" t="inlineStr">
        <is>
          <t>Spain</t>
        </is>
      </c>
      <c r="B2935" t="inlineStr">
        <is>
          <t>ESP</t>
        </is>
      </c>
      <c r="C2935" t="n">
        <v>1989</v>
      </c>
      <c r="D2935" t="n">
        <v>6.79143584025099</v>
      </c>
    </row>
    <row r="2936">
      <c r="A2936" t="inlineStr">
        <is>
          <t>Spain</t>
        </is>
      </c>
      <c r="B2936" t="inlineStr">
        <is>
          <t>ESP</t>
        </is>
      </c>
      <c r="C2936" t="n">
        <v>1990</v>
      </c>
      <c r="D2936" t="n">
        <v>6.72181952228657</v>
      </c>
    </row>
    <row r="2937">
      <c r="A2937" t="inlineStr">
        <is>
          <t>Spain</t>
        </is>
      </c>
      <c r="B2937" t="inlineStr">
        <is>
          <t>ESP</t>
        </is>
      </c>
      <c r="C2937" t="n">
        <v>1991</v>
      </c>
      <c r="D2937" t="n">
        <v>5.93421344335924</v>
      </c>
    </row>
    <row r="2938">
      <c r="A2938" t="inlineStr">
        <is>
          <t>Spain</t>
        </is>
      </c>
      <c r="B2938" t="inlineStr">
        <is>
          <t>ESP</t>
        </is>
      </c>
      <c r="C2938" t="n">
        <v>1992</v>
      </c>
      <c r="D2938" t="n">
        <v>5.9245312622849</v>
      </c>
    </row>
    <row r="2939">
      <c r="A2939" t="inlineStr">
        <is>
          <t>Spain</t>
        </is>
      </c>
      <c r="B2939" t="inlineStr">
        <is>
          <t>ESP</t>
        </is>
      </c>
      <c r="C2939" t="n">
        <v>1993</v>
      </c>
      <c r="D2939" t="n">
        <v>4.56907173681813</v>
      </c>
    </row>
    <row r="2940">
      <c r="A2940" t="inlineStr">
        <is>
          <t>Spain</t>
        </is>
      </c>
      <c r="B2940" t="inlineStr">
        <is>
          <t>ESP</t>
        </is>
      </c>
      <c r="C2940" t="n">
        <v>1994</v>
      </c>
      <c r="D2940" t="n">
        <v>4.71841373967329</v>
      </c>
    </row>
    <row r="2941">
      <c r="A2941" t="inlineStr">
        <is>
          <t>Spain</t>
        </is>
      </c>
      <c r="B2941" t="inlineStr">
        <is>
          <t>ESP</t>
        </is>
      </c>
      <c r="C2941" t="n">
        <v>1995</v>
      </c>
      <c r="D2941" t="n">
        <v>4.67380337624704</v>
      </c>
    </row>
    <row r="2942">
      <c r="A2942" t="inlineStr">
        <is>
          <t>Spain</t>
        </is>
      </c>
      <c r="B2942" t="inlineStr">
        <is>
          <t>ESP</t>
        </is>
      </c>
      <c r="C2942" t="n">
        <v>1996</v>
      </c>
      <c r="D2942" t="n">
        <v>3.55884559338558</v>
      </c>
    </row>
    <row r="2943">
      <c r="A2943" t="inlineStr">
        <is>
          <t>Spain</t>
        </is>
      </c>
      <c r="B2943" t="inlineStr">
        <is>
          <t>ESP</t>
        </is>
      </c>
      <c r="C2943" t="n">
        <v>1997</v>
      </c>
      <c r="D2943" t="n">
        <v>1.97107395582926</v>
      </c>
    </row>
    <row r="2944">
      <c r="A2944" t="inlineStr">
        <is>
          <t>Spain</t>
        </is>
      </c>
      <c r="B2944" t="inlineStr">
        <is>
          <t>ESP</t>
        </is>
      </c>
      <c r="C2944" t="n">
        <v>1998</v>
      </c>
      <c r="D2944" t="n">
        <v>1.8343299990841</v>
      </c>
    </row>
    <row r="2945">
      <c r="A2945" t="inlineStr">
        <is>
          <t>Spain</t>
        </is>
      </c>
      <c r="B2945" t="inlineStr">
        <is>
          <t>ESP</t>
        </is>
      </c>
      <c r="C2945" t="n">
        <v>1999</v>
      </c>
      <c r="D2945" t="n">
        <v>2.31034813987067</v>
      </c>
    </row>
    <row r="2946">
      <c r="A2946" t="inlineStr">
        <is>
          <t>Spain</t>
        </is>
      </c>
      <c r="B2946" t="inlineStr">
        <is>
          <t>ESP</t>
        </is>
      </c>
      <c r="C2946" t="n">
        <v>2000</v>
      </c>
      <c r="D2946" t="n">
        <v>3.43351563418767</v>
      </c>
    </row>
    <row r="2947">
      <c r="A2947" t="inlineStr">
        <is>
          <t>Spain</t>
        </is>
      </c>
      <c r="B2947" t="inlineStr">
        <is>
          <t>ESP</t>
        </is>
      </c>
      <c r="C2947" t="n">
        <v>2001</v>
      </c>
      <c r="D2947" t="n">
        <v>3.58983413338112</v>
      </c>
    </row>
    <row r="2948">
      <c r="A2948" t="inlineStr">
        <is>
          <t>Spain</t>
        </is>
      </c>
      <c r="B2948" t="inlineStr">
        <is>
          <t>ESP</t>
        </is>
      </c>
      <c r="C2948" t="n">
        <v>2002</v>
      </c>
      <c r="D2948" t="n">
        <v>3.06565685902219</v>
      </c>
    </row>
    <row r="2949">
      <c r="A2949" t="inlineStr">
        <is>
          <t>Spain</t>
        </is>
      </c>
      <c r="B2949" t="inlineStr">
        <is>
          <t>ESP</t>
        </is>
      </c>
      <c r="C2949" t="n">
        <v>2003</v>
      </c>
      <c r="D2949" t="n">
        <v>3.03888839396655</v>
      </c>
    </row>
    <row r="2950">
      <c r="A2950" t="inlineStr">
        <is>
          <t>Spain</t>
        </is>
      </c>
      <c r="B2950" t="inlineStr">
        <is>
          <t>ESP</t>
        </is>
      </c>
      <c r="C2950" t="n">
        <v>2004</v>
      </c>
      <c r="D2950" t="n">
        <v>3.03924881090925</v>
      </c>
    </row>
    <row r="2951">
      <c r="A2951" t="inlineStr">
        <is>
          <t>Spain</t>
        </is>
      </c>
      <c r="B2951" t="inlineStr">
        <is>
          <t>ESP</t>
        </is>
      </c>
      <c r="C2951" t="n">
        <v>2005</v>
      </c>
      <c r="D2951" t="n">
        <v>3.36881409750383</v>
      </c>
    </row>
    <row r="2952">
      <c r="A2952" t="inlineStr">
        <is>
          <t>Spain</t>
        </is>
      </c>
      <c r="B2952" t="inlineStr">
        <is>
          <t>ESP</t>
        </is>
      </c>
      <c r="C2952" t="n">
        <v>2006</v>
      </c>
      <c r="D2952" t="n">
        <v>3.51557576832128</v>
      </c>
    </row>
    <row r="2953">
      <c r="A2953" t="inlineStr">
        <is>
          <t>Spain</t>
        </is>
      </c>
      <c r="B2953" t="inlineStr">
        <is>
          <t>ESP</t>
        </is>
      </c>
      <c r="C2953" t="n">
        <v>2007</v>
      </c>
      <c r="D2953" t="n">
        <v>2.78679745804946</v>
      </c>
    </row>
    <row r="2954">
      <c r="A2954" t="inlineStr">
        <is>
          <t>Spain</t>
        </is>
      </c>
      <c r="B2954" t="inlineStr">
        <is>
          <t>ESP</t>
        </is>
      </c>
      <c r="C2954" t="n">
        <v>2008</v>
      </c>
      <c r="D2954" t="n">
        <v>4.07534335957339</v>
      </c>
    </row>
    <row r="2955">
      <c r="A2955" t="inlineStr">
        <is>
          <t>Spain</t>
        </is>
      </c>
      <c r="B2955" t="inlineStr">
        <is>
          <t>ESP</t>
        </is>
      </c>
      <c r="C2955" t="n">
        <v>2009</v>
      </c>
      <c r="D2955" t="n">
        <v>-0.28781308353524</v>
      </c>
    </row>
    <row r="2956">
      <c r="A2956" t="inlineStr">
        <is>
          <t>Spain</t>
        </is>
      </c>
      <c r="B2956" t="inlineStr">
        <is>
          <t>ESP</t>
        </is>
      </c>
      <c r="C2956" t="n">
        <v>2010</v>
      </c>
      <c r="D2956" t="n">
        <v>1.79986457728769</v>
      </c>
    </row>
    <row r="2957">
      <c r="A2957" t="inlineStr">
        <is>
          <t>Spain</t>
        </is>
      </c>
      <c r="B2957" t="inlineStr">
        <is>
          <t>ESP</t>
        </is>
      </c>
      <c r="C2957" t="n">
        <v>2011</v>
      </c>
      <c r="D2957" t="n">
        <v>3.1961018883379</v>
      </c>
    </row>
    <row r="2958">
      <c r="A2958" t="inlineStr">
        <is>
          <t>Spain</t>
        </is>
      </c>
      <c r="B2958" t="inlineStr">
        <is>
          <t>ESP</t>
        </is>
      </c>
      <c r="C2958" t="n">
        <v>2012</v>
      </c>
      <c r="D2958" t="n">
        <v>2.44612782366809</v>
      </c>
    </row>
    <row r="2959">
      <c r="A2959" t="inlineStr">
        <is>
          <t>Spain</t>
        </is>
      </c>
      <c r="B2959" t="inlineStr">
        <is>
          <t>ESP</t>
        </is>
      </c>
      <c r="C2959" t="n">
        <v>2013</v>
      </c>
      <c r="D2959" t="n">
        <v>1.40858109183019</v>
      </c>
    </row>
    <row r="2960">
      <c r="A2960" t="inlineStr">
        <is>
          <t>Spain</t>
        </is>
      </c>
      <c r="B2960" t="inlineStr">
        <is>
          <t>ESP</t>
        </is>
      </c>
      <c r="C2960" t="n">
        <v>2014</v>
      </c>
      <c r="D2960" t="n">
        <v>-0.151114837527235</v>
      </c>
    </row>
    <row r="2961">
      <c r="A2961" t="inlineStr">
        <is>
          <t>Spain</t>
        </is>
      </c>
      <c r="B2961" t="inlineStr">
        <is>
          <t>ESP</t>
        </is>
      </c>
      <c r="C2961" t="n">
        <v>2015</v>
      </c>
      <c r="D2961" t="n">
        <v>-0.500365709903242</v>
      </c>
    </row>
    <row r="2962">
      <c r="A2962" t="inlineStr">
        <is>
          <t>Spain</t>
        </is>
      </c>
      <c r="B2962" t="inlineStr">
        <is>
          <t>ESP</t>
        </is>
      </c>
      <c r="C2962" t="n">
        <v>2016</v>
      </c>
      <c r="D2962" t="n">
        <v>-0.202598000426452</v>
      </c>
    </row>
    <row r="2963">
      <c r="A2963" t="inlineStr">
        <is>
          <t>Spain</t>
        </is>
      </c>
      <c r="B2963" t="inlineStr">
        <is>
          <t>ESP</t>
        </is>
      </c>
      <c r="C2963" t="n">
        <v>2017</v>
      </c>
      <c r="D2963" t="n">
        <v>1.95607633363963</v>
      </c>
    </row>
    <row r="2964">
      <c r="A2964" t="inlineStr">
        <is>
          <t>Spain</t>
        </is>
      </c>
      <c r="B2964" t="inlineStr">
        <is>
          <t>ESP</t>
        </is>
      </c>
      <c r="C2964" t="n">
        <v>2018</v>
      </c>
      <c r="D2964" t="n">
        <v>1.6749813686379</v>
      </c>
    </row>
    <row r="2965">
      <c r="A2965" t="inlineStr">
        <is>
          <t>Spain</t>
        </is>
      </c>
      <c r="B2965" t="inlineStr">
        <is>
          <t>ESP</t>
        </is>
      </c>
      <c r="C2965" t="n">
        <v>2019</v>
      </c>
      <c r="D2965" t="n">
        <v>0.699518994458739</v>
      </c>
    </row>
    <row r="2966">
      <c r="A2966" t="inlineStr">
        <is>
          <t>Spain</t>
        </is>
      </c>
      <c r="B2966" t="inlineStr">
        <is>
          <t>ESP</t>
        </is>
      </c>
      <c r="C2966" t="n">
        <v>2020</v>
      </c>
      <c r="D2966" t="n">
        <v>-0.322753017299739</v>
      </c>
    </row>
    <row r="2967">
      <c r="A2967" t="inlineStr">
        <is>
          <t>Spain</t>
        </is>
      </c>
      <c r="B2967" t="inlineStr">
        <is>
          <t>ESP</t>
        </is>
      </c>
      <c r="C2967" t="n">
        <v>2021</v>
      </c>
      <c r="D2967" t="n">
        <v>3.0931351197642</v>
      </c>
    </row>
    <row r="2968">
      <c r="A2968" t="inlineStr">
        <is>
          <t>Spain</t>
        </is>
      </c>
      <c r="B2968" t="inlineStr">
        <is>
          <t>ESP</t>
        </is>
      </c>
      <c r="C2968" t="n">
        <v>2022</v>
      </c>
      <c r="D2968" t="n">
        <v>8.39057634118627</v>
      </c>
    </row>
    <row r="2969">
      <c r="A2969" t="inlineStr">
        <is>
          <t>Spain</t>
        </is>
      </c>
      <c r="B2969" t="inlineStr">
        <is>
          <t>ESP</t>
        </is>
      </c>
      <c r="C2969" t="n">
        <v>2023</v>
      </c>
      <c r="D2969" t="n">
        <v>3.53236133492433</v>
      </c>
    </row>
    <row r="2970">
      <c r="A2970" t="inlineStr">
        <is>
          <t>Spain</t>
        </is>
      </c>
      <c r="B2970" t="inlineStr">
        <is>
          <t>ESP</t>
        </is>
      </c>
      <c r="C2970" t="n">
        <v>2024</v>
      </c>
      <c r="D2970" t="n">
        <v>2.77417826534772</v>
      </c>
    </row>
    <row r="2971">
      <c r="A2971" t="inlineStr">
        <is>
          <t>Estonia</t>
        </is>
      </c>
      <c r="B2971" t="inlineStr">
        <is>
          <t>EST</t>
        </is>
      </c>
      <c r="C2971" t="n">
        <v>1993</v>
      </c>
      <c r="D2971" t="n">
        <v>89.81194902772749</v>
      </c>
    </row>
    <row r="2972">
      <c r="A2972" t="inlineStr">
        <is>
          <t>Estonia</t>
        </is>
      </c>
      <c r="B2972" t="inlineStr">
        <is>
          <t>EST</t>
        </is>
      </c>
      <c r="C2972" t="n">
        <v>1994</v>
      </c>
      <c r="D2972" t="n">
        <v>47.6546906187628</v>
      </c>
    </row>
    <row r="2973">
      <c r="A2973" t="inlineStr">
        <is>
          <t>Estonia</t>
        </is>
      </c>
      <c r="B2973" t="inlineStr">
        <is>
          <t>EST</t>
        </is>
      </c>
      <c r="C2973" t="n">
        <v>1995</v>
      </c>
      <c r="D2973" t="n">
        <v>28.7766137208514</v>
      </c>
    </row>
    <row r="2974">
      <c r="A2974" t="inlineStr">
        <is>
          <t>Estonia</t>
        </is>
      </c>
      <c r="B2974" t="inlineStr">
        <is>
          <t>EST</t>
        </is>
      </c>
      <c r="C2974" t="n">
        <v>1996</v>
      </c>
      <c r="D2974" t="n">
        <v>23.050343349517</v>
      </c>
    </row>
    <row r="2975">
      <c r="A2975" t="inlineStr">
        <is>
          <t>Estonia</t>
        </is>
      </c>
      <c r="B2975" t="inlineStr">
        <is>
          <t>EST</t>
        </is>
      </c>
      <c r="C2975" t="n">
        <v>1997</v>
      </c>
      <c r="D2975" t="n">
        <v>10.5818789322146</v>
      </c>
    </row>
    <row r="2976">
      <c r="A2976" t="inlineStr">
        <is>
          <t>Estonia</t>
        </is>
      </c>
      <c r="B2976" t="inlineStr">
        <is>
          <t>EST</t>
        </is>
      </c>
      <c r="C2976" t="n">
        <v>1998</v>
      </c>
      <c r="D2976" t="n">
        <v>8.20833333333298</v>
      </c>
    </row>
    <row r="2977">
      <c r="A2977" t="inlineStr">
        <is>
          <t>Estonia</t>
        </is>
      </c>
      <c r="B2977" t="inlineStr">
        <is>
          <t>EST</t>
        </is>
      </c>
      <c r="C2977" t="n">
        <v>1999</v>
      </c>
      <c r="D2977" t="n">
        <v>3.29611089718909</v>
      </c>
    </row>
    <row r="2978">
      <c r="A2978" t="inlineStr">
        <is>
          <t>Estonia</t>
        </is>
      </c>
      <c r="B2978" t="inlineStr">
        <is>
          <t>EST</t>
        </is>
      </c>
      <c r="C2978" t="n">
        <v>2000</v>
      </c>
      <c r="D2978" t="n">
        <v>4.01848952508763</v>
      </c>
    </row>
    <row r="2979">
      <c r="A2979" t="inlineStr">
        <is>
          <t>Estonia</t>
        </is>
      </c>
      <c r="B2979" t="inlineStr">
        <is>
          <t>EST</t>
        </is>
      </c>
      <c r="C2979" t="n">
        <v>2001</v>
      </c>
      <c r="D2979" t="n">
        <v>5.74827981651373</v>
      </c>
    </row>
    <row r="2980">
      <c r="A2980" t="inlineStr">
        <is>
          <t>Estonia</t>
        </is>
      </c>
      <c r="B2980" t="inlineStr">
        <is>
          <t>EST</t>
        </is>
      </c>
      <c r="C2980" t="n">
        <v>2002</v>
      </c>
      <c r="D2980" t="n">
        <v>3.57191270164027</v>
      </c>
    </row>
    <row r="2981">
      <c r="A2981" t="inlineStr">
        <is>
          <t>Estonia</t>
        </is>
      </c>
      <c r="B2981" t="inlineStr">
        <is>
          <t>EST</t>
        </is>
      </c>
      <c r="C2981" t="n">
        <v>2003</v>
      </c>
      <c r="D2981" t="n">
        <v>1.33499116549955</v>
      </c>
    </row>
    <row r="2982">
      <c r="A2982" t="inlineStr">
        <is>
          <t>Estonia</t>
        </is>
      </c>
      <c r="B2982" t="inlineStr">
        <is>
          <t>EST</t>
        </is>
      </c>
      <c r="C2982" t="n">
        <v>2004</v>
      </c>
      <c r="D2982" t="n">
        <v>3.04811107523416</v>
      </c>
    </row>
    <row r="2983">
      <c r="A2983" t="inlineStr">
        <is>
          <t>Estonia</t>
        </is>
      </c>
      <c r="B2983" t="inlineStr">
        <is>
          <t>EST</t>
        </is>
      </c>
      <c r="C2983" t="n">
        <v>2005</v>
      </c>
      <c r="D2983" t="n">
        <v>4.07971423199849</v>
      </c>
    </row>
    <row r="2984">
      <c r="A2984" t="inlineStr">
        <is>
          <t>Estonia</t>
        </is>
      </c>
      <c r="B2984" t="inlineStr">
        <is>
          <t>EST</t>
        </is>
      </c>
      <c r="C2984" t="n">
        <v>2006</v>
      </c>
      <c r="D2984" t="n">
        <v>4.43762042389213</v>
      </c>
    </row>
    <row r="2985">
      <c r="A2985" t="inlineStr">
        <is>
          <t>Estonia</t>
        </is>
      </c>
      <c r="B2985" t="inlineStr">
        <is>
          <t>EST</t>
        </is>
      </c>
      <c r="C2985" t="n">
        <v>2007</v>
      </c>
      <c r="D2985" t="n">
        <v>6.60132603055637</v>
      </c>
    </row>
    <row r="2986">
      <c r="A2986" t="inlineStr">
        <is>
          <t>Estonia</t>
        </is>
      </c>
      <c r="B2986" t="inlineStr">
        <is>
          <t>EST</t>
        </is>
      </c>
      <c r="C2986" t="n">
        <v>2008</v>
      </c>
      <c r="D2986" t="n">
        <v>10.3623580313683</v>
      </c>
    </row>
    <row r="2987">
      <c r="A2987" t="inlineStr">
        <is>
          <t>Estonia</t>
        </is>
      </c>
      <c r="B2987" t="inlineStr">
        <is>
          <t>EST</t>
        </is>
      </c>
      <c r="C2987" t="n">
        <v>2009</v>
      </c>
      <c r="D2987" t="n">
        <v>-0.07840831128097681</v>
      </c>
    </row>
    <row r="2988">
      <c r="A2988" t="inlineStr">
        <is>
          <t>Estonia</t>
        </is>
      </c>
      <c r="B2988" t="inlineStr">
        <is>
          <t>EST</t>
        </is>
      </c>
      <c r="C2988" t="n">
        <v>2010</v>
      </c>
      <c r="D2988" t="n">
        <v>2.97204512015694</v>
      </c>
    </row>
    <row r="2989">
      <c r="A2989" t="inlineStr">
        <is>
          <t>Estonia</t>
        </is>
      </c>
      <c r="B2989" t="inlineStr">
        <is>
          <t>EST</t>
        </is>
      </c>
      <c r="C2989" t="n">
        <v>2011</v>
      </c>
      <c r="D2989" t="n">
        <v>4.9819013145361</v>
      </c>
    </row>
    <row r="2990">
      <c r="A2990" t="inlineStr">
        <is>
          <t>Estonia</t>
        </is>
      </c>
      <c r="B2990" t="inlineStr">
        <is>
          <t>EST</t>
        </is>
      </c>
      <c r="C2990" t="n">
        <v>2012</v>
      </c>
      <c r="D2990" t="n">
        <v>3.93339987296985</v>
      </c>
    </row>
    <row r="2991">
      <c r="A2991" t="inlineStr">
        <is>
          <t>Estonia</t>
        </is>
      </c>
      <c r="B2991" t="inlineStr">
        <is>
          <t>EST</t>
        </is>
      </c>
      <c r="C2991" t="n">
        <v>2013</v>
      </c>
      <c r="D2991" t="n">
        <v>2.78056658954988</v>
      </c>
    </row>
    <row r="2992">
      <c r="A2992" t="inlineStr">
        <is>
          <t>Estonia</t>
        </is>
      </c>
      <c r="B2992" t="inlineStr">
        <is>
          <t>EST</t>
        </is>
      </c>
      <c r="C2992" t="n">
        <v>2014</v>
      </c>
      <c r="D2992" t="n">
        <v>-0.10617514652171</v>
      </c>
    </row>
    <row r="2993">
      <c r="A2993" t="inlineStr">
        <is>
          <t>Estonia</t>
        </is>
      </c>
      <c r="B2993" t="inlineStr">
        <is>
          <t>EST</t>
        </is>
      </c>
      <c r="C2993" t="n">
        <v>2015</v>
      </c>
      <c r="D2993" t="n">
        <v>-0.49232600654737</v>
      </c>
    </row>
    <row r="2994">
      <c r="A2994" t="inlineStr">
        <is>
          <t>Estonia</t>
        </is>
      </c>
      <c r="B2994" t="inlineStr">
        <is>
          <t>EST</t>
        </is>
      </c>
      <c r="C2994" t="n">
        <v>2016</v>
      </c>
      <c r="D2994" t="n">
        <v>0.148684907627373</v>
      </c>
    </row>
    <row r="2995">
      <c r="A2995" t="inlineStr">
        <is>
          <t>Estonia</t>
        </is>
      </c>
      <c r="B2995" t="inlineStr">
        <is>
          <t>EST</t>
        </is>
      </c>
      <c r="C2995" t="n">
        <v>2017</v>
      </c>
      <c r="D2995" t="n">
        <v>3.41723549488054</v>
      </c>
    </row>
    <row r="2996">
      <c r="A2996" t="inlineStr">
        <is>
          <t>Estonia</t>
        </is>
      </c>
      <c r="B2996" t="inlineStr">
        <is>
          <t>EST</t>
        </is>
      </c>
      <c r="C2996" t="n">
        <v>2018</v>
      </c>
      <c r="D2996" t="n">
        <v>3.43632688420446</v>
      </c>
    </row>
    <row r="2997">
      <c r="A2997" t="inlineStr">
        <is>
          <t>Estonia</t>
        </is>
      </c>
      <c r="B2997" t="inlineStr">
        <is>
          <t>EST</t>
        </is>
      </c>
      <c r="C2997" t="n">
        <v>2019</v>
      </c>
      <c r="D2997" t="n">
        <v>2.27725931243522</v>
      </c>
    </row>
    <row r="2998">
      <c r="A2998" t="inlineStr">
        <is>
          <t>Estonia</t>
        </is>
      </c>
      <c r="B2998" t="inlineStr">
        <is>
          <t>EST</t>
        </is>
      </c>
      <c r="C2998" t="n">
        <v>2020</v>
      </c>
      <c r="D2998" t="n">
        <v>-0.44453109767983</v>
      </c>
    </row>
    <row r="2999">
      <c r="A2999" t="inlineStr">
        <is>
          <t>Estonia</t>
        </is>
      </c>
      <c r="B2999" t="inlineStr">
        <is>
          <t>EST</t>
        </is>
      </c>
      <c r="C2999" t="n">
        <v>2021</v>
      </c>
      <c r="D2999" t="n">
        <v>4.65316673847473</v>
      </c>
    </row>
    <row r="3000">
      <c r="A3000" t="inlineStr">
        <is>
          <t>Estonia</t>
        </is>
      </c>
      <c r="B3000" t="inlineStr">
        <is>
          <t>EST</t>
        </is>
      </c>
      <c r="C3000" t="n">
        <v>2022</v>
      </c>
      <c r="D3000" t="n">
        <v>19.3982634080616</v>
      </c>
    </row>
    <row r="3001">
      <c r="A3001" t="inlineStr">
        <is>
          <t>Estonia</t>
        </is>
      </c>
      <c r="B3001" t="inlineStr">
        <is>
          <t>EST</t>
        </is>
      </c>
      <c r="C3001" t="n">
        <v>2023</v>
      </c>
      <c r="D3001" t="n">
        <v>9.159225079839819</v>
      </c>
    </row>
    <row r="3002">
      <c r="A3002" t="inlineStr">
        <is>
          <t>Estonia</t>
        </is>
      </c>
      <c r="B3002" t="inlineStr">
        <is>
          <t>EST</t>
        </is>
      </c>
      <c r="C3002" t="n">
        <v>2024</v>
      </c>
      <c r="D3002" t="n">
        <v>3.52056053296586</v>
      </c>
    </row>
    <row r="3003">
      <c r="A3003" t="inlineStr">
        <is>
          <t>Ethiopia</t>
        </is>
      </c>
      <c r="B3003" t="inlineStr">
        <is>
          <t>ETH</t>
        </is>
      </c>
      <c r="C3003" t="n">
        <v>1966</v>
      </c>
      <c r="D3003" t="n">
        <v>-1.36186770466907</v>
      </c>
    </row>
    <row r="3004">
      <c r="A3004" t="inlineStr">
        <is>
          <t>Ethiopia</t>
        </is>
      </c>
      <c r="B3004" t="inlineStr">
        <is>
          <t>ETH</t>
        </is>
      </c>
      <c r="C3004" t="n">
        <v>1967</v>
      </c>
      <c r="D3004" t="n">
        <v>0.808678501054678</v>
      </c>
    </row>
    <row r="3005">
      <c r="A3005" t="inlineStr">
        <is>
          <t>Ethiopia</t>
        </is>
      </c>
      <c r="B3005" t="inlineStr">
        <is>
          <t>ETH</t>
        </is>
      </c>
      <c r="C3005" t="n">
        <v>1968</v>
      </c>
      <c r="D3005" t="n">
        <v>0.182612665558996</v>
      </c>
    </row>
    <row r="3006">
      <c r="A3006" t="inlineStr">
        <is>
          <t>Ethiopia</t>
        </is>
      </c>
      <c r="B3006" t="inlineStr">
        <is>
          <t>ETH</t>
        </is>
      </c>
      <c r="C3006" t="n">
        <v>1969</v>
      </c>
      <c r="D3006" t="n">
        <v>1.42568843148626</v>
      </c>
    </row>
    <row r="3007">
      <c r="A3007" t="inlineStr">
        <is>
          <t>Ethiopia</t>
        </is>
      </c>
      <c r="B3007" t="inlineStr">
        <is>
          <t>ETH</t>
        </is>
      </c>
      <c r="C3007" t="n">
        <v>1970</v>
      </c>
      <c r="D3007" t="n">
        <v>10.1219512195636</v>
      </c>
    </row>
    <row r="3008">
      <c r="A3008" t="inlineStr">
        <is>
          <t>Ethiopia</t>
        </is>
      </c>
      <c r="B3008" t="inlineStr">
        <is>
          <t>ETH</t>
        </is>
      </c>
      <c r="C3008" t="n">
        <v>1971</v>
      </c>
      <c r="D3008" t="n">
        <v>0.536224281695193</v>
      </c>
    </row>
    <row r="3009">
      <c r="A3009" t="inlineStr">
        <is>
          <t>Ethiopia</t>
        </is>
      </c>
      <c r="B3009" t="inlineStr">
        <is>
          <t>ETH</t>
        </is>
      </c>
      <c r="C3009" t="n">
        <v>1972</v>
      </c>
      <c r="D3009" t="n">
        <v>-6.08151197179128</v>
      </c>
    </row>
    <row r="3010">
      <c r="A3010" t="inlineStr">
        <is>
          <t>Ethiopia</t>
        </is>
      </c>
      <c r="B3010" t="inlineStr">
        <is>
          <t>ETH</t>
        </is>
      </c>
      <c r="C3010" t="n">
        <v>1973</v>
      </c>
      <c r="D3010" t="n">
        <v>8.91358024695813</v>
      </c>
    </row>
    <row r="3011">
      <c r="A3011" t="inlineStr">
        <is>
          <t>Ethiopia</t>
        </is>
      </c>
      <c r="B3011" t="inlineStr">
        <is>
          <t>ETH</t>
        </is>
      </c>
      <c r="C3011" t="n">
        <v>1974</v>
      </c>
      <c r="D3011" t="n">
        <v>8.592155973910851</v>
      </c>
    </row>
    <row r="3012">
      <c r="A3012" t="inlineStr">
        <is>
          <t>Ethiopia</t>
        </is>
      </c>
      <c r="B3012" t="inlineStr">
        <is>
          <t>ETH</t>
        </is>
      </c>
      <c r="C3012" t="n">
        <v>1975</v>
      </c>
      <c r="D3012" t="n">
        <v>6.55010438394199</v>
      </c>
    </row>
    <row r="3013">
      <c r="A3013" t="inlineStr">
        <is>
          <t>Ethiopia</t>
        </is>
      </c>
      <c r="B3013" t="inlineStr">
        <is>
          <t>ETH</t>
        </is>
      </c>
      <c r="C3013" t="n">
        <v>1976</v>
      </c>
      <c r="D3013" t="n">
        <v>28.5378398237849</v>
      </c>
    </row>
    <row r="3014">
      <c r="A3014" t="inlineStr">
        <is>
          <t>Ethiopia</t>
        </is>
      </c>
      <c r="B3014" t="inlineStr">
        <is>
          <t>ETH</t>
        </is>
      </c>
      <c r="C3014" t="n">
        <v>1977</v>
      </c>
      <c r="D3014" t="n">
        <v>16.6571395908503</v>
      </c>
    </row>
    <row r="3015">
      <c r="A3015" t="inlineStr">
        <is>
          <t>Ethiopia</t>
        </is>
      </c>
      <c r="B3015" t="inlineStr">
        <is>
          <t>ETH</t>
        </is>
      </c>
      <c r="C3015" t="n">
        <v>1978</v>
      </c>
      <c r="D3015" t="n">
        <v>14.3081144649155</v>
      </c>
    </row>
    <row r="3016">
      <c r="A3016" t="inlineStr">
        <is>
          <t>Ethiopia</t>
        </is>
      </c>
      <c r="B3016" t="inlineStr">
        <is>
          <t>ETH</t>
        </is>
      </c>
      <c r="C3016" t="n">
        <v>1979</v>
      </c>
      <c r="D3016" t="n">
        <v>16.0322359396519</v>
      </c>
    </row>
    <row r="3017">
      <c r="A3017" t="inlineStr">
        <is>
          <t>Ethiopia</t>
        </is>
      </c>
      <c r="B3017" t="inlineStr">
        <is>
          <t>ETH</t>
        </is>
      </c>
      <c r="C3017" t="n">
        <v>1980</v>
      </c>
      <c r="D3017" t="n">
        <v>4.48253780600435</v>
      </c>
    </row>
    <row r="3018">
      <c r="A3018" t="inlineStr">
        <is>
          <t>Ethiopia</t>
        </is>
      </c>
      <c r="B3018" t="inlineStr">
        <is>
          <t>ETH</t>
        </is>
      </c>
      <c r="C3018" t="n">
        <v>1981</v>
      </c>
      <c r="D3018" t="n">
        <v>6.13596718680434</v>
      </c>
    </row>
    <row r="3019">
      <c r="A3019" t="inlineStr">
        <is>
          <t>Ethiopia</t>
        </is>
      </c>
      <c r="B3019" t="inlineStr">
        <is>
          <t>ETH</t>
        </is>
      </c>
      <c r="C3019" t="n">
        <v>1982</v>
      </c>
      <c r="D3019" t="n">
        <v>5.89006107723961</v>
      </c>
    </row>
    <row r="3020">
      <c r="A3020" t="inlineStr">
        <is>
          <t>Ethiopia</t>
        </is>
      </c>
      <c r="B3020" t="inlineStr">
        <is>
          <t>ETH</t>
        </is>
      </c>
      <c r="C3020" t="n">
        <v>1983</v>
      </c>
      <c r="D3020" t="n">
        <v>-0.675378064854718</v>
      </c>
    </row>
    <row r="3021">
      <c r="A3021" t="inlineStr">
        <is>
          <t>Ethiopia</t>
        </is>
      </c>
      <c r="B3021" t="inlineStr">
        <is>
          <t>ETH</t>
        </is>
      </c>
      <c r="C3021" t="n">
        <v>1984</v>
      </c>
      <c r="D3021" t="n">
        <v>8.41727378312053</v>
      </c>
    </row>
    <row r="3022">
      <c r="A3022" t="inlineStr">
        <is>
          <t>Ethiopia</t>
        </is>
      </c>
      <c r="B3022" t="inlineStr">
        <is>
          <t>ETH</t>
        </is>
      </c>
      <c r="C3022" t="n">
        <v>1985</v>
      </c>
      <c r="D3022" t="n">
        <v>19.0646851444406</v>
      </c>
    </row>
    <row r="3023">
      <c r="A3023" t="inlineStr">
        <is>
          <t>Ethiopia</t>
        </is>
      </c>
      <c r="B3023" t="inlineStr">
        <is>
          <t>ETH</t>
        </is>
      </c>
      <c r="C3023" t="n">
        <v>1986</v>
      </c>
      <c r="D3023" t="n">
        <v>-9.80876507050661</v>
      </c>
    </row>
    <row r="3024">
      <c r="A3024" t="inlineStr">
        <is>
          <t>Ethiopia</t>
        </is>
      </c>
      <c r="B3024" t="inlineStr">
        <is>
          <t>ETH</t>
        </is>
      </c>
      <c r="C3024" t="n">
        <v>1987</v>
      </c>
      <c r="D3024" t="n">
        <v>-2.42867248283368</v>
      </c>
    </row>
    <row r="3025">
      <c r="A3025" t="inlineStr">
        <is>
          <t>Ethiopia</t>
        </is>
      </c>
      <c r="B3025" t="inlineStr">
        <is>
          <t>ETH</t>
        </is>
      </c>
      <c r="C3025" t="n">
        <v>1988</v>
      </c>
      <c r="D3025" t="n">
        <v>7.08071532141089</v>
      </c>
    </row>
    <row r="3026">
      <c r="A3026" t="inlineStr">
        <is>
          <t>Ethiopia</t>
        </is>
      </c>
      <c r="B3026" t="inlineStr">
        <is>
          <t>ETH</t>
        </is>
      </c>
      <c r="C3026" t="n">
        <v>1989</v>
      </c>
      <c r="D3026" t="n">
        <v>7.81730118223048</v>
      </c>
    </row>
    <row r="3027">
      <c r="A3027" t="inlineStr">
        <is>
          <t>Ethiopia</t>
        </is>
      </c>
      <c r="B3027" t="inlineStr">
        <is>
          <t>ETH</t>
        </is>
      </c>
      <c r="C3027" t="n">
        <v>1990</v>
      </c>
      <c r="D3027" t="n">
        <v>5.15248124174767</v>
      </c>
    </row>
    <row r="3028">
      <c r="A3028" t="inlineStr">
        <is>
          <t>Ethiopia</t>
        </is>
      </c>
      <c r="B3028" t="inlineStr">
        <is>
          <t>ETH</t>
        </is>
      </c>
      <c r="C3028" t="n">
        <v>1991</v>
      </c>
      <c r="D3028" t="n">
        <v>35.7225982298715</v>
      </c>
    </row>
    <row r="3029">
      <c r="A3029" t="inlineStr">
        <is>
          <t>Ethiopia</t>
        </is>
      </c>
      <c r="B3029" t="inlineStr">
        <is>
          <t>ETH</t>
        </is>
      </c>
      <c r="C3029" t="n">
        <v>1992</v>
      </c>
      <c r="D3029" t="n">
        <v>10.5274440119592</v>
      </c>
    </row>
    <row r="3030">
      <c r="A3030" t="inlineStr">
        <is>
          <t>Ethiopia</t>
        </is>
      </c>
      <c r="B3030" t="inlineStr">
        <is>
          <t>ETH</t>
        </is>
      </c>
      <c r="C3030" t="n">
        <v>1993</v>
      </c>
      <c r="D3030" t="n">
        <v>3.54306596166032</v>
      </c>
    </row>
    <row r="3031">
      <c r="A3031" t="inlineStr">
        <is>
          <t>Ethiopia</t>
        </is>
      </c>
      <c r="B3031" t="inlineStr">
        <is>
          <t>ETH</t>
        </is>
      </c>
      <c r="C3031" t="n">
        <v>1994</v>
      </c>
      <c r="D3031" t="n">
        <v>7.59387600185337</v>
      </c>
    </row>
    <row r="3032">
      <c r="A3032" t="inlineStr">
        <is>
          <t>Ethiopia</t>
        </is>
      </c>
      <c r="B3032" t="inlineStr">
        <is>
          <t>ETH</t>
        </is>
      </c>
      <c r="C3032" t="n">
        <v>1995</v>
      </c>
      <c r="D3032" t="n">
        <v>10.0221733553239</v>
      </c>
    </row>
    <row r="3033">
      <c r="A3033" t="inlineStr">
        <is>
          <t>Ethiopia</t>
        </is>
      </c>
      <c r="B3033" t="inlineStr">
        <is>
          <t>ETH</t>
        </is>
      </c>
      <c r="C3033" t="n">
        <v>1996</v>
      </c>
      <c r="D3033" t="n">
        <v>-8.484248689488251</v>
      </c>
    </row>
    <row r="3034">
      <c r="A3034" t="inlineStr">
        <is>
          <t>Ethiopia</t>
        </is>
      </c>
      <c r="B3034" t="inlineStr">
        <is>
          <t>ETH</t>
        </is>
      </c>
      <c r="C3034" t="n">
        <v>1997</v>
      </c>
      <c r="D3034" t="n">
        <v>2.39520958083829</v>
      </c>
    </row>
    <row r="3035">
      <c r="A3035" t="inlineStr">
        <is>
          <t>Ethiopia</t>
        </is>
      </c>
      <c r="B3035" t="inlineStr">
        <is>
          <t>ETH</t>
        </is>
      </c>
      <c r="C3035" t="n">
        <v>1998</v>
      </c>
      <c r="D3035" t="n">
        <v>0.894801693964107</v>
      </c>
    </row>
    <row r="3036">
      <c r="A3036" t="inlineStr">
        <is>
          <t>Ethiopia</t>
        </is>
      </c>
      <c r="B3036" t="inlineStr">
        <is>
          <t>ETH</t>
        </is>
      </c>
      <c r="C3036" t="n">
        <v>1999</v>
      </c>
      <c r="D3036" t="n">
        <v>7.94144864137325</v>
      </c>
    </row>
    <row r="3037">
      <c r="A3037" t="inlineStr">
        <is>
          <t>Ethiopia</t>
        </is>
      </c>
      <c r="B3037" t="inlineStr">
        <is>
          <t>ETH</t>
        </is>
      </c>
      <c r="C3037" t="n">
        <v>2000</v>
      </c>
      <c r="D3037" t="n">
        <v>0.662458109266482</v>
      </c>
    </row>
    <row r="3038">
      <c r="A3038" t="inlineStr">
        <is>
          <t>Ethiopia</t>
        </is>
      </c>
      <c r="B3038" t="inlineStr">
        <is>
          <t>ETH</t>
        </is>
      </c>
      <c r="C3038" t="n">
        <v>2001</v>
      </c>
      <c r="D3038" t="n">
        <v>-8.237844533911369</v>
      </c>
    </row>
    <row r="3039">
      <c r="A3039" t="inlineStr">
        <is>
          <t>Ethiopia</t>
        </is>
      </c>
      <c r="B3039" t="inlineStr">
        <is>
          <t>ETH</t>
        </is>
      </c>
      <c r="C3039" t="n">
        <v>2002</v>
      </c>
      <c r="D3039" t="n">
        <v>0.675089102170801</v>
      </c>
    </row>
    <row r="3040">
      <c r="A3040" t="inlineStr">
        <is>
          <t>Ethiopia</t>
        </is>
      </c>
      <c r="B3040" t="inlineStr">
        <is>
          <t>ETH</t>
        </is>
      </c>
      <c r="C3040" t="n">
        <v>2003</v>
      </c>
      <c r="D3040" t="n">
        <v>13.6740452028272</v>
      </c>
    </row>
    <row r="3041">
      <c r="A3041" t="inlineStr">
        <is>
          <t>Ethiopia</t>
        </is>
      </c>
      <c r="B3041" t="inlineStr">
        <is>
          <t>ETH</t>
        </is>
      </c>
      <c r="C3041" t="n">
        <v>2004</v>
      </c>
      <c r="D3041" t="n">
        <v>3.32737047894847</v>
      </c>
    </row>
    <row r="3042">
      <c r="A3042" t="inlineStr">
        <is>
          <t>Ethiopia</t>
        </is>
      </c>
      <c r="B3042" t="inlineStr">
        <is>
          <t>ETH</t>
        </is>
      </c>
      <c r="C3042" t="n">
        <v>2005</v>
      </c>
      <c r="D3042" t="n">
        <v>9.96997123512892</v>
      </c>
    </row>
    <row r="3043">
      <c r="A3043" t="inlineStr">
        <is>
          <t>Ethiopia</t>
        </is>
      </c>
      <c r="B3043" t="inlineStr">
        <is>
          <t>ETH</t>
        </is>
      </c>
      <c r="C3043" t="n">
        <v>2006</v>
      </c>
      <c r="D3043" t="n">
        <v>12.2994763114825</v>
      </c>
    </row>
    <row r="3044">
      <c r="A3044" t="inlineStr">
        <is>
          <t>Ethiopia</t>
        </is>
      </c>
      <c r="B3044" t="inlineStr">
        <is>
          <t>ETH</t>
        </is>
      </c>
      <c r="C3044" t="n">
        <v>2007</v>
      </c>
      <c r="D3044" t="n">
        <v>17.2404008340898</v>
      </c>
    </row>
    <row r="3045">
      <c r="A3045" t="inlineStr">
        <is>
          <t>Ethiopia</t>
        </is>
      </c>
      <c r="B3045" t="inlineStr">
        <is>
          <t>ETH</t>
        </is>
      </c>
      <c r="C3045" t="n">
        <v>2008</v>
      </c>
      <c r="D3045" t="n">
        <v>44.3566858766952</v>
      </c>
    </row>
    <row r="3046">
      <c r="A3046" t="inlineStr">
        <is>
          <t>Ethiopia</t>
        </is>
      </c>
      <c r="B3046" t="inlineStr">
        <is>
          <t>ETH</t>
        </is>
      </c>
      <c r="C3046" t="n">
        <v>2009</v>
      </c>
      <c r="D3046" t="n">
        <v>8.483644045302819</v>
      </c>
    </row>
    <row r="3047">
      <c r="A3047" t="inlineStr">
        <is>
          <t>Ethiopia</t>
        </is>
      </c>
      <c r="B3047" t="inlineStr">
        <is>
          <t>ETH</t>
        </is>
      </c>
      <c r="C3047" t="n">
        <v>2010</v>
      </c>
      <c r="D3047" t="n">
        <v>8.149264029650819</v>
      </c>
    </row>
    <row r="3048">
      <c r="A3048" t="inlineStr">
        <is>
          <t>Ethiopia</t>
        </is>
      </c>
      <c r="B3048" t="inlineStr">
        <is>
          <t>ETH</t>
        </is>
      </c>
      <c r="C3048" t="n">
        <v>2011</v>
      </c>
      <c r="D3048" t="n">
        <v>33.2499598823344</v>
      </c>
    </row>
    <row r="3049">
      <c r="A3049" t="inlineStr">
        <is>
          <t>Ethiopia</t>
        </is>
      </c>
      <c r="B3049" t="inlineStr">
        <is>
          <t>ETH</t>
        </is>
      </c>
      <c r="C3049" t="n">
        <v>2012</v>
      </c>
      <c r="D3049" t="n">
        <v>23.600417677317</v>
      </c>
    </row>
    <row r="3050">
      <c r="A3050" t="inlineStr">
        <is>
          <t>Ethiopia</t>
        </is>
      </c>
      <c r="B3050" t="inlineStr">
        <is>
          <t>ETH</t>
        </is>
      </c>
      <c r="C3050" t="n">
        <v>2013</v>
      </c>
      <c r="D3050" t="n">
        <v>7.46402192944517</v>
      </c>
    </row>
    <row r="3051">
      <c r="A3051" t="inlineStr">
        <is>
          <t>Ethiopia</t>
        </is>
      </c>
      <c r="B3051" t="inlineStr">
        <is>
          <t>ETH</t>
        </is>
      </c>
      <c r="C3051" t="n">
        <v>2014</v>
      </c>
      <c r="D3051" t="n">
        <v>6.89001951597192</v>
      </c>
    </row>
    <row r="3052">
      <c r="A3052" t="inlineStr">
        <is>
          <t>Ethiopia</t>
        </is>
      </c>
      <c r="B3052" t="inlineStr">
        <is>
          <t>ETH</t>
        </is>
      </c>
      <c r="C3052" t="n">
        <v>2015</v>
      </c>
      <c r="D3052" t="n">
        <v>9.56889955968623</v>
      </c>
    </row>
    <row r="3053">
      <c r="A3053" t="inlineStr">
        <is>
          <t>Ethiopia</t>
        </is>
      </c>
      <c r="B3053" t="inlineStr">
        <is>
          <t>ETH</t>
        </is>
      </c>
      <c r="C3053" t="n">
        <v>2016</v>
      </c>
      <c r="D3053" t="n">
        <v>6.62813337230924</v>
      </c>
    </row>
    <row r="3054">
      <c r="A3054" t="inlineStr">
        <is>
          <t>Ethiopia</t>
        </is>
      </c>
      <c r="B3054" t="inlineStr">
        <is>
          <t>ETH</t>
        </is>
      </c>
      <c r="C3054" t="n">
        <v>2017</v>
      </c>
      <c r="D3054" t="n">
        <v>10.6871150284238</v>
      </c>
    </row>
    <row r="3055">
      <c r="A3055" t="inlineStr">
        <is>
          <t>Ethiopia</t>
        </is>
      </c>
      <c r="B3055" t="inlineStr">
        <is>
          <t>ETH</t>
        </is>
      </c>
      <c r="C3055" t="n">
        <v>2018</v>
      </c>
      <c r="D3055" t="n">
        <v>13.8330356586661</v>
      </c>
    </row>
    <row r="3056">
      <c r="A3056" t="inlineStr">
        <is>
          <t>Ethiopia</t>
        </is>
      </c>
      <c r="B3056" t="inlineStr">
        <is>
          <t>ETH</t>
        </is>
      </c>
      <c r="C3056" t="n">
        <v>2019</v>
      </c>
      <c r="D3056" t="n">
        <v>15.8096321719344</v>
      </c>
    </row>
    <row r="3057">
      <c r="A3057" t="inlineStr">
        <is>
          <t>Ethiopia</t>
        </is>
      </c>
      <c r="B3057" t="inlineStr">
        <is>
          <t>ETH</t>
        </is>
      </c>
      <c r="C3057" t="n">
        <v>2020</v>
      </c>
      <c r="D3057" t="n">
        <v>20.3563468559061</v>
      </c>
    </row>
    <row r="3058">
      <c r="A3058" t="inlineStr">
        <is>
          <t>Ethiopia</t>
        </is>
      </c>
      <c r="B3058" t="inlineStr">
        <is>
          <t>ETH</t>
        </is>
      </c>
      <c r="C3058" t="n">
        <v>2021</v>
      </c>
      <c r="D3058" t="n">
        <v>26.8395221557722</v>
      </c>
    </row>
    <row r="3059">
      <c r="A3059" t="inlineStr">
        <is>
          <t>Ethiopia</t>
        </is>
      </c>
      <c r="B3059" t="inlineStr">
        <is>
          <t>ETH</t>
        </is>
      </c>
      <c r="C3059" t="n">
        <v>2022</v>
      </c>
      <c r="D3059" t="n">
        <v>33.8898797100898</v>
      </c>
    </row>
    <row r="3060">
      <c r="A3060" t="inlineStr">
        <is>
          <t>Ethiopia</t>
        </is>
      </c>
      <c r="B3060" t="inlineStr">
        <is>
          <t>ETH</t>
        </is>
      </c>
      <c r="C3060" t="n">
        <v>2023</v>
      </c>
      <c r="D3060" t="n">
        <v>30.2188278135278</v>
      </c>
    </row>
    <row r="3061">
      <c r="A3061" t="inlineStr">
        <is>
          <t>European Union</t>
        </is>
      </c>
      <c r="B3061" t="inlineStr">
        <is>
          <t>EUU</t>
        </is>
      </c>
      <c r="C3061" t="n">
        <v>1960</v>
      </c>
      <c r="D3061" t="n">
        <v>1.74118084746923</v>
      </c>
    </row>
    <row r="3062">
      <c r="A3062" t="inlineStr">
        <is>
          <t>European Union</t>
        </is>
      </c>
      <c r="B3062" t="inlineStr">
        <is>
          <t>EUU</t>
        </is>
      </c>
      <c r="C3062" t="n">
        <v>1961</v>
      </c>
      <c r="D3062" t="n">
        <v>2.07713833137861</v>
      </c>
    </row>
    <row r="3063">
      <c r="A3063" t="inlineStr">
        <is>
          <t>European Union</t>
        </is>
      </c>
      <c r="B3063" t="inlineStr">
        <is>
          <t>EUU</t>
        </is>
      </c>
      <c r="C3063" t="n">
        <v>1962</v>
      </c>
      <c r="D3063" t="n">
        <v>3.55349865974073</v>
      </c>
    </row>
    <row r="3064">
      <c r="A3064" t="inlineStr">
        <is>
          <t>European Union</t>
        </is>
      </c>
      <c r="B3064" t="inlineStr">
        <is>
          <t>EUU</t>
        </is>
      </c>
      <c r="C3064" t="n">
        <v>1963</v>
      </c>
      <c r="D3064" t="n">
        <v>2.92164111900189</v>
      </c>
    </row>
    <row r="3065">
      <c r="A3065" t="inlineStr">
        <is>
          <t>European Union</t>
        </is>
      </c>
      <c r="B3065" t="inlineStr">
        <is>
          <t>EUU</t>
        </is>
      </c>
      <c r="C3065" t="n">
        <v>1964</v>
      </c>
      <c r="D3065" t="n">
        <v>3.41628039655558</v>
      </c>
    </row>
    <row r="3066">
      <c r="A3066" t="inlineStr">
        <is>
          <t>European Union</t>
        </is>
      </c>
      <c r="B3066" t="inlineStr">
        <is>
          <t>EUU</t>
        </is>
      </c>
      <c r="C3066" t="n">
        <v>1965</v>
      </c>
      <c r="D3066" t="n">
        <v>3.98661960127133</v>
      </c>
    </row>
    <row r="3067">
      <c r="A3067" t="inlineStr">
        <is>
          <t>European Union</t>
        </is>
      </c>
      <c r="B3067" t="inlineStr">
        <is>
          <t>EUU</t>
        </is>
      </c>
      <c r="C3067" t="n">
        <v>1966</v>
      </c>
      <c r="D3067" t="n">
        <v>3.70335718669507</v>
      </c>
    </row>
    <row r="3068">
      <c r="A3068" t="inlineStr">
        <is>
          <t>European Union</t>
        </is>
      </c>
      <c r="B3068" t="inlineStr">
        <is>
          <t>EUU</t>
        </is>
      </c>
      <c r="C3068" t="n">
        <v>1967</v>
      </c>
      <c r="D3068" t="n">
        <v>3.31932361134947</v>
      </c>
    </row>
    <row r="3069">
      <c r="A3069" t="inlineStr">
        <is>
          <t>European Union</t>
        </is>
      </c>
      <c r="B3069" t="inlineStr">
        <is>
          <t>EUU</t>
        </is>
      </c>
      <c r="C3069" t="n">
        <v>1968</v>
      </c>
      <c r="D3069" t="n">
        <v>3.24282887679454</v>
      </c>
    </row>
    <row r="3070">
      <c r="A3070" t="inlineStr">
        <is>
          <t>European Union</t>
        </is>
      </c>
      <c r="B3070" t="inlineStr">
        <is>
          <t>EUU</t>
        </is>
      </c>
      <c r="C3070" t="n">
        <v>1969</v>
      </c>
      <c r="D3070" t="n">
        <v>2.67462365971336</v>
      </c>
    </row>
    <row r="3071">
      <c r="A3071" t="inlineStr">
        <is>
          <t>European Union</t>
        </is>
      </c>
      <c r="B3071" t="inlineStr">
        <is>
          <t>EUU</t>
        </is>
      </c>
      <c r="C3071" t="n">
        <v>1970</v>
      </c>
      <c r="D3071" t="n">
        <v>4.50608892986043</v>
      </c>
    </row>
    <row r="3072">
      <c r="A3072" t="inlineStr">
        <is>
          <t>European Union</t>
        </is>
      </c>
      <c r="B3072" t="inlineStr">
        <is>
          <t>EUU</t>
        </is>
      </c>
      <c r="C3072" t="n">
        <v>1971</v>
      </c>
      <c r="D3072" t="n">
        <v>5.24097448273094</v>
      </c>
    </row>
    <row r="3073">
      <c r="A3073" t="inlineStr">
        <is>
          <t>European Union</t>
        </is>
      </c>
      <c r="B3073" t="inlineStr">
        <is>
          <t>EUU</t>
        </is>
      </c>
      <c r="C3073" t="n">
        <v>1972</v>
      </c>
      <c r="D3073" t="n">
        <v>6.00738969862495</v>
      </c>
    </row>
    <row r="3074">
      <c r="A3074" t="inlineStr">
        <is>
          <t>European Union</t>
        </is>
      </c>
      <c r="B3074" t="inlineStr">
        <is>
          <t>EUU</t>
        </is>
      </c>
      <c r="C3074" t="n">
        <v>1973</v>
      </c>
      <c r="D3074" t="n">
        <v>7.74908612919205</v>
      </c>
    </row>
    <row r="3075">
      <c r="A3075" t="inlineStr">
        <is>
          <t>European Union</t>
        </is>
      </c>
      <c r="B3075" t="inlineStr">
        <is>
          <t>EUU</t>
        </is>
      </c>
      <c r="C3075" t="n">
        <v>1974</v>
      </c>
      <c r="D3075" t="n">
        <v>13.1636026120796</v>
      </c>
    </row>
    <row r="3076">
      <c r="A3076" t="inlineStr">
        <is>
          <t>European Union</t>
        </is>
      </c>
      <c r="B3076" t="inlineStr">
        <is>
          <t>EUU</t>
        </is>
      </c>
      <c r="C3076" t="n">
        <v>1975</v>
      </c>
      <c r="D3076" t="n">
        <v>10.4675734643719</v>
      </c>
    </row>
    <row r="3077">
      <c r="A3077" t="inlineStr">
        <is>
          <t>European Union</t>
        </is>
      </c>
      <c r="B3077" t="inlineStr">
        <is>
          <t>EUU</t>
        </is>
      </c>
      <c r="C3077" t="n">
        <v>1976</v>
      </c>
      <c r="D3077" t="n">
        <v>9.347052796052481</v>
      </c>
    </row>
    <row r="3078">
      <c r="A3078" t="inlineStr">
        <is>
          <t>European Union</t>
        </is>
      </c>
      <c r="B3078" t="inlineStr">
        <is>
          <t>EUU</t>
        </is>
      </c>
      <c r="C3078" t="n">
        <v>1977</v>
      </c>
      <c r="D3078" t="n">
        <v>9.767464736070369</v>
      </c>
    </row>
    <row r="3079">
      <c r="A3079" t="inlineStr">
        <is>
          <t>European Union</t>
        </is>
      </c>
      <c r="B3079" t="inlineStr">
        <is>
          <t>EUU</t>
        </is>
      </c>
      <c r="C3079" t="n">
        <v>1978</v>
      </c>
      <c r="D3079" t="n">
        <v>7.75523144587007</v>
      </c>
    </row>
    <row r="3080">
      <c r="A3080" t="inlineStr">
        <is>
          <t>European Union</t>
        </is>
      </c>
      <c r="B3080" t="inlineStr">
        <is>
          <t>EUU</t>
        </is>
      </c>
      <c r="C3080" t="n">
        <v>1979</v>
      </c>
      <c r="D3080" t="n">
        <v>8.22168693005521</v>
      </c>
    </row>
    <row r="3081">
      <c r="A3081" t="inlineStr">
        <is>
          <t>European Union</t>
        </is>
      </c>
      <c r="B3081" t="inlineStr">
        <is>
          <t>EUU</t>
        </is>
      </c>
      <c r="C3081" t="n">
        <v>1980</v>
      </c>
      <c r="D3081" t="n">
        <v>12.9114423266382</v>
      </c>
    </row>
    <row r="3082">
      <c r="A3082" t="inlineStr">
        <is>
          <t>European Union</t>
        </is>
      </c>
      <c r="B3082" t="inlineStr">
        <is>
          <t>EUU</t>
        </is>
      </c>
      <c r="C3082" t="n">
        <v>1981</v>
      </c>
      <c r="D3082" t="n">
        <v>11.7673874344181</v>
      </c>
    </row>
    <row r="3083">
      <c r="A3083" t="inlineStr">
        <is>
          <t>European Union</t>
        </is>
      </c>
      <c r="B3083" t="inlineStr">
        <is>
          <t>EUU</t>
        </is>
      </c>
      <c r="C3083" t="n">
        <v>1982</v>
      </c>
      <c r="D3083" t="n">
        <v>9.58492764677445</v>
      </c>
    </row>
    <row r="3084">
      <c r="A3084" t="inlineStr">
        <is>
          <t>European Union</t>
        </is>
      </c>
      <c r="B3084" t="inlineStr">
        <is>
          <t>EUU</t>
        </is>
      </c>
      <c r="C3084" t="n">
        <v>1983</v>
      </c>
      <c r="D3084" t="n">
        <v>8.669271598085221</v>
      </c>
    </row>
    <row r="3085">
      <c r="A3085" t="inlineStr">
        <is>
          <t>European Union</t>
        </is>
      </c>
      <c r="B3085" t="inlineStr">
        <is>
          <t>EUU</t>
        </is>
      </c>
      <c r="C3085" t="n">
        <v>1984</v>
      </c>
      <c r="D3085" t="n">
        <v>7.67380262247321</v>
      </c>
    </row>
    <row r="3086">
      <c r="A3086" t="inlineStr">
        <is>
          <t>European Union</t>
        </is>
      </c>
      <c r="B3086" t="inlineStr">
        <is>
          <t>EUU</t>
        </is>
      </c>
      <c r="C3086" t="n">
        <v>1985</v>
      </c>
      <c r="D3086" t="n">
        <v>5.39548620170352</v>
      </c>
    </row>
    <row r="3087">
      <c r="A3087" t="inlineStr">
        <is>
          <t>European Union</t>
        </is>
      </c>
      <c r="B3087" t="inlineStr">
        <is>
          <t>EUU</t>
        </is>
      </c>
      <c r="C3087" t="n">
        <v>1986</v>
      </c>
      <c r="D3087" t="n">
        <v>3.67818411863452</v>
      </c>
    </row>
    <row r="3088">
      <c r="A3088" t="inlineStr">
        <is>
          <t>European Union</t>
        </is>
      </c>
      <c r="B3088" t="inlineStr">
        <is>
          <t>EUU</t>
        </is>
      </c>
      <c r="C3088" t="n">
        <v>1987</v>
      </c>
      <c r="D3088" t="n">
        <v>4.01999345683163</v>
      </c>
    </row>
    <row r="3089">
      <c r="A3089" t="inlineStr">
        <is>
          <t>European Union</t>
        </is>
      </c>
      <c r="B3089" t="inlineStr">
        <is>
          <t>EUU</t>
        </is>
      </c>
      <c r="C3089" t="n">
        <v>1988</v>
      </c>
      <c r="D3089" t="n">
        <v>4.5351330101572</v>
      </c>
    </row>
    <row r="3090">
      <c r="A3090" t="inlineStr">
        <is>
          <t>European Union</t>
        </is>
      </c>
      <c r="B3090" t="inlineStr">
        <is>
          <t>EUU</t>
        </is>
      </c>
      <c r="C3090" t="n">
        <v>1989</v>
      </c>
      <c r="D3090" t="n">
        <v>6.25983137956977</v>
      </c>
    </row>
    <row r="3091">
      <c r="A3091" t="inlineStr">
        <is>
          <t>European Union</t>
        </is>
      </c>
      <c r="B3091" t="inlineStr">
        <is>
          <t>EUU</t>
        </is>
      </c>
      <c r="C3091" t="n">
        <v>1990</v>
      </c>
      <c r="D3091" t="n">
        <v>6.1495653117985</v>
      </c>
    </row>
    <row r="3092">
      <c r="A3092" t="inlineStr">
        <is>
          <t>European Union</t>
        </is>
      </c>
      <c r="B3092" t="inlineStr">
        <is>
          <t>EUU</t>
        </is>
      </c>
      <c r="C3092" t="n">
        <v>1991</v>
      </c>
      <c r="D3092" t="n">
        <v>5.48474391592014</v>
      </c>
    </row>
    <row r="3093">
      <c r="A3093" t="inlineStr">
        <is>
          <t>European Union</t>
        </is>
      </c>
      <c r="B3093" t="inlineStr">
        <is>
          <t>EUU</t>
        </is>
      </c>
      <c r="C3093" t="n">
        <v>1992</v>
      </c>
      <c r="D3093" t="n">
        <v>6.21737539647154</v>
      </c>
    </row>
    <row r="3094">
      <c r="A3094" t="inlineStr">
        <is>
          <t>European Union</t>
        </is>
      </c>
      <c r="B3094" t="inlineStr">
        <is>
          <t>EUU</t>
        </is>
      </c>
      <c r="C3094" t="n">
        <v>1993</v>
      </c>
      <c r="D3094" t="n">
        <v>4.85416666666693</v>
      </c>
    </row>
    <row r="3095">
      <c r="A3095" t="inlineStr">
        <is>
          <t>European Union</t>
        </is>
      </c>
      <c r="B3095" t="inlineStr">
        <is>
          <t>EUU</t>
        </is>
      </c>
      <c r="C3095" t="n">
        <v>1994</v>
      </c>
      <c r="D3095" t="n">
        <v>4.71841373967329</v>
      </c>
    </row>
    <row r="3096">
      <c r="A3096" t="inlineStr">
        <is>
          <t>European Union</t>
        </is>
      </c>
      <c r="B3096" t="inlineStr">
        <is>
          <t>EUU</t>
        </is>
      </c>
      <c r="C3096" t="n">
        <v>1995</v>
      </c>
      <c r="D3096" t="n">
        <v>4.42664550286654</v>
      </c>
    </row>
    <row r="3097">
      <c r="A3097" t="inlineStr">
        <is>
          <t>European Union</t>
        </is>
      </c>
      <c r="B3097" t="inlineStr">
        <is>
          <t>EUU</t>
        </is>
      </c>
      <c r="C3097" t="n">
        <v>1996</v>
      </c>
      <c r="D3097" t="n">
        <v>3.55884559338558</v>
      </c>
    </row>
    <row r="3098">
      <c r="A3098" t="inlineStr">
        <is>
          <t>European Union</t>
        </is>
      </c>
      <c r="B3098" t="inlineStr">
        <is>
          <t>EUU</t>
        </is>
      </c>
      <c r="C3098" t="n">
        <v>1997</v>
      </c>
      <c r="D3098" t="n">
        <v>3.11207791953272</v>
      </c>
    </row>
    <row r="3099">
      <c r="A3099" t="inlineStr">
        <is>
          <t>European Union</t>
        </is>
      </c>
      <c r="B3099" t="inlineStr">
        <is>
          <t>EUU</t>
        </is>
      </c>
      <c r="C3099" t="n">
        <v>1998</v>
      </c>
      <c r="D3099" t="n">
        <v>2.40768094534715</v>
      </c>
    </row>
    <row r="3100">
      <c r="A3100" t="inlineStr">
        <is>
          <t>European Union</t>
        </is>
      </c>
      <c r="B3100" t="inlineStr">
        <is>
          <t>EUU</t>
        </is>
      </c>
      <c r="C3100" t="n">
        <v>1999</v>
      </c>
      <c r="D3100" t="n">
        <v>2.15717918055059</v>
      </c>
    </row>
    <row r="3101">
      <c r="A3101" t="inlineStr">
        <is>
          <t>European Union</t>
        </is>
      </c>
      <c r="B3101" t="inlineStr">
        <is>
          <t>EUU</t>
        </is>
      </c>
      <c r="C3101" t="n">
        <v>2000</v>
      </c>
      <c r="D3101" t="n">
        <v>3.15076707022592</v>
      </c>
    </row>
    <row r="3102">
      <c r="A3102" t="inlineStr">
        <is>
          <t>European Union</t>
        </is>
      </c>
      <c r="B3102" t="inlineStr">
        <is>
          <t>EUU</t>
        </is>
      </c>
      <c r="C3102" t="n">
        <v>2001</v>
      </c>
      <c r="D3102" t="n">
        <v>3.37396832213867</v>
      </c>
    </row>
    <row r="3103">
      <c r="A3103" t="inlineStr">
        <is>
          <t>European Union</t>
        </is>
      </c>
      <c r="B3103" t="inlineStr">
        <is>
          <t>EUU</t>
        </is>
      </c>
      <c r="C3103" t="n">
        <v>2002</v>
      </c>
      <c r="D3103" t="n">
        <v>2.42443661219697</v>
      </c>
    </row>
    <row r="3104">
      <c r="A3104" t="inlineStr">
        <is>
          <t>European Union</t>
        </is>
      </c>
      <c r="B3104" t="inlineStr">
        <is>
          <t>EUU</t>
        </is>
      </c>
      <c r="C3104" t="n">
        <v>2003</v>
      </c>
      <c r="D3104" t="n">
        <v>2.09199838997655</v>
      </c>
    </row>
    <row r="3105">
      <c r="A3105" t="inlineStr">
        <is>
          <t>European Union</t>
        </is>
      </c>
      <c r="B3105" t="inlineStr">
        <is>
          <t>EUU</t>
        </is>
      </c>
      <c r="C3105" t="n">
        <v>2004</v>
      </c>
      <c r="D3105" t="n">
        <v>2.28621706801675</v>
      </c>
    </row>
    <row r="3106">
      <c r="A3106" t="inlineStr">
        <is>
          <t>European Union</t>
        </is>
      </c>
      <c r="B3106" t="inlineStr">
        <is>
          <t>EUU</t>
        </is>
      </c>
      <c r="C3106" t="n">
        <v>2005</v>
      </c>
      <c r="D3106" t="n">
        <v>2.48769665164088</v>
      </c>
    </row>
    <row r="3107">
      <c r="A3107" t="inlineStr">
        <is>
          <t>European Union</t>
        </is>
      </c>
      <c r="B3107" t="inlineStr">
        <is>
          <t>EUU</t>
        </is>
      </c>
      <c r="C3107" t="n">
        <v>2006</v>
      </c>
      <c r="D3107" t="n">
        <v>2.66631494577069</v>
      </c>
    </row>
    <row r="3108">
      <c r="A3108" t="inlineStr">
        <is>
          <t>European Union</t>
        </is>
      </c>
      <c r="B3108" t="inlineStr">
        <is>
          <t>EUU</t>
        </is>
      </c>
      <c r="C3108" t="n">
        <v>2007</v>
      </c>
      <c r="D3108" t="n">
        <v>2.5106656524034</v>
      </c>
    </row>
    <row r="3109">
      <c r="A3109" t="inlineStr">
        <is>
          <t>European Union</t>
        </is>
      </c>
      <c r="B3109" t="inlineStr">
        <is>
          <t>EUU</t>
        </is>
      </c>
      <c r="C3109" t="n">
        <v>2008</v>
      </c>
      <c r="D3109" t="n">
        <v>4.16497193524764</v>
      </c>
    </row>
    <row r="3110">
      <c r="A3110" t="inlineStr">
        <is>
          <t>European Union</t>
        </is>
      </c>
      <c r="B3110" t="inlineStr">
        <is>
          <t>EUU</t>
        </is>
      </c>
      <c r="C3110" t="n">
        <v>2009</v>
      </c>
      <c r="D3110" t="n">
        <v>0.8392622467938869</v>
      </c>
    </row>
    <row r="3111">
      <c r="A3111" t="inlineStr">
        <is>
          <t>European Union</t>
        </is>
      </c>
      <c r="B3111" t="inlineStr">
        <is>
          <t>EUU</t>
        </is>
      </c>
      <c r="C3111" t="n">
        <v>2010</v>
      </c>
      <c r="D3111" t="n">
        <v>1.53112270420926</v>
      </c>
    </row>
    <row r="3112">
      <c r="A3112" t="inlineStr">
        <is>
          <t>European Union</t>
        </is>
      </c>
      <c r="B3112" t="inlineStr">
        <is>
          <t>EUU</t>
        </is>
      </c>
      <c r="C3112" t="n">
        <v>2011</v>
      </c>
      <c r="D3112" t="n">
        <v>3.28944939564211</v>
      </c>
    </row>
    <row r="3113">
      <c r="A3113" t="inlineStr">
        <is>
          <t>European Union</t>
        </is>
      </c>
      <c r="B3113" t="inlineStr">
        <is>
          <t>EUU</t>
        </is>
      </c>
      <c r="C3113" t="n">
        <v>2012</v>
      </c>
      <c r="D3113" t="n">
        <v>2.66284165508021</v>
      </c>
    </row>
    <row r="3114">
      <c r="A3114" t="inlineStr">
        <is>
          <t>European Union</t>
        </is>
      </c>
      <c r="B3114" t="inlineStr">
        <is>
          <t>EUU</t>
        </is>
      </c>
      <c r="C3114" t="n">
        <v>2013</v>
      </c>
      <c r="D3114" t="n">
        <v>1.21999342274306</v>
      </c>
    </row>
    <row r="3115">
      <c r="A3115" t="inlineStr">
        <is>
          <t>European Union</t>
        </is>
      </c>
      <c r="B3115" t="inlineStr">
        <is>
          <t>EUU</t>
        </is>
      </c>
      <c r="C3115" t="n">
        <v>2014</v>
      </c>
      <c r="D3115" t="n">
        <v>0.19934382657075</v>
      </c>
    </row>
    <row r="3116">
      <c r="A3116" t="inlineStr">
        <is>
          <t>European Union</t>
        </is>
      </c>
      <c r="B3116" t="inlineStr">
        <is>
          <t>EUU</t>
        </is>
      </c>
      <c r="C3116" t="n">
        <v>2015</v>
      </c>
      <c r="D3116" t="n">
        <v>-0.0616446800641672</v>
      </c>
    </row>
    <row r="3117">
      <c r="A3117" t="inlineStr">
        <is>
          <t>European Union</t>
        </is>
      </c>
      <c r="B3117" t="inlineStr">
        <is>
          <t>EUU</t>
        </is>
      </c>
      <c r="C3117" t="n">
        <v>2016</v>
      </c>
      <c r="D3117" t="n">
        <v>0.18333486112386</v>
      </c>
    </row>
    <row r="3118">
      <c r="A3118" t="inlineStr">
        <is>
          <t>European Union</t>
        </is>
      </c>
      <c r="B3118" t="inlineStr">
        <is>
          <t>EUU</t>
        </is>
      </c>
      <c r="C3118" t="n">
        <v>2017</v>
      </c>
      <c r="D3118" t="n">
        <v>1.42910743319306</v>
      </c>
    </row>
    <row r="3119">
      <c r="A3119" t="inlineStr">
        <is>
          <t>European Union</t>
        </is>
      </c>
      <c r="B3119" t="inlineStr">
        <is>
          <t>EUU</t>
        </is>
      </c>
      <c r="C3119" t="n">
        <v>2018</v>
      </c>
      <c r="D3119" t="n">
        <v>1.7386086198818</v>
      </c>
    </row>
    <row r="3120">
      <c r="A3120" t="inlineStr">
        <is>
          <t>European Union</t>
        </is>
      </c>
      <c r="B3120" t="inlineStr">
        <is>
          <t>EUU</t>
        </is>
      </c>
      <c r="C3120" t="n">
        <v>2019</v>
      </c>
      <c r="D3120" t="n">
        <v>1.63052260754344</v>
      </c>
    </row>
    <row r="3121">
      <c r="A3121" t="inlineStr">
        <is>
          <t>European Union</t>
        </is>
      </c>
      <c r="B3121" t="inlineStr">
        <is>
          <t>EUU</t>
        </is>
      </c>
      <c r="C3121" t="n">
        <v>2020</v>
      </c>
      <c r="D3121" t="n">
        <v>0.476498852725066</v>
      </c>
    </row>
    <row r="3122">
      <c r="A3122" t="inlineStr">
        <is>
          <t>European Union</t>
        </is>
      </c>
      <c r="B3122" t="inlineStr">
        <is>
          <t>EUU</t>
        </is>
      </c>
      <c r="C3122" t="n">
        <v>2021</v>
      </c>
      <c r="D3122" t="n">
        <v>2.55450699642041</v>
      </c>
    </row>
    <row r="3123">
      <c r="A3123" t="inlineStr">
        <is>
          <t>European Union</t>
        </is>
      </c>
      <c r="B3123" t="inlineStr">
        <is>
          <t>EUU</t>
        </is>
      </c>
      <c r="C3123" t="n">
        <v>2022</v>
      </c>
      <c r="D3123" t="n">
        <v>8.833698867494521</v>
      </c>
    </row>
    <row r="3124">
      <c r="A3124" t="inlineStr">
        <is>
          <t>European Union</t>
        </is>
      </c>
      <c r="B3124" t="inlineStr">
        <is>
          <t>EUU</t>
        </is>
      </c>
      <c r="C3124" t="n">
        <v>2023</v>
      </c>
      <c r="D3124" t="n">
        <v>6.29942487419125</v>
      </c>
    </row>
    <row r="3125">
      <c r="A3125" t="inlineStr">
        <is>
          <t>Fragile and conflict affected situations</t>
        </is>
      </c>
      <c r="B3125" t="inlineStr">
        <is>
          <t>FCS</t>
        </is>
      </c>
      <c r="C3125" t="n">
        <v>1991</v>
      </c>
      <c r="D3125" t="n">
        <v>11.8960953011251</v>
      </c>
    </row>
    <row r="3126">
      <c r="A3126" t="inlineStr">
        <is>
          <t>Fragile and conflict affected situations</t>
        </is>
      </c>
      <c r="B3126" t="inlineStr">
        <is>
          <t>FCS</t>
        </is>
      </c>
      <c r="C3126" t="n">
        <v>1992</v>
      </c>
      <c r="D3126" t="n">
        <v>10.5274440119592</v>
      </c>
    </row>
    <row r="3127">
      <c r="A3127" t="inlineStr">
        <is>
          <t>Fragile and conflict affected situations</t>
        </is>
      </c>
      <c r="B3127" t="inlineStr">
        <is>
          <t>FCS</t>
        </is>
      </c>
      <c r="C3127" t="n">
        <v>1993</v>
      </c>
      <c r="D3127" t="n">
        <v>10.3764499263591</v>
      </c>
    </row>
    <row r="3128">
      <c r="A3128" t="inlineStr">
        <is>
          <t>Fragile and conflict affected situations</t>
        </is>
      </c>
      <c r="B3128" t="inlineStr">
        <is>
          <t>FCS</t>
        </is>
      </c>
      <c r="C3128" t="n">
        <v>1994</v>
      </c>
      <c r="D3128" t="n">
        <v>30.1361690354713</v>
      </c>
    </row>
    <row r="3129">
      <c r="A3129" t="inlineStr">
        <is>
          <t>Fragile and conflict affected situations</t>
        </is>
      </c>
      <c r="B3129" t="inlineStr">
        <is>
          <t>FCS</t>
        </is>
      </c>
      <c r="C3129" t="n">
        <v>1995</v>
      </c>
      <c r="D3129" t="n">
        <v>18.2351683274844</v>
      </c>
    </row>
    <row r="3130">
      <c r="A3130" t="inlineStr">
        <is>
          <t>Fragile and conflict affected situations</t>
        </is>
      </c>
      <c r="B3130" t="inlineStr">
        <is>
          <t>FCS</t>
        </is>
      </c>
      <c r="C3130" t="n">
        <v>1996</v>
      </c>
      <c r="D3130" t="n">
        <v>11.4775285982865</v>
      </c>
    </row>
    <row r="3131">
      <c r="A3131" t="inlineStr">
        <is>
          <t>Fragile and conflict affected situations</t>
        </is>
      </c>
      <c r="B3131" t="inlineStr">
        <is>
          <t>FCS</t>
        </is>
      </c>
      <c r="C3131" t="n">
        <v>1997</v>
      </c>
      <c r="D3131" t="n">
        <v>7.08700591205709</v>
      </c>
    </row>
    <row r="3132">
      <c r="A3132" t="inlineStr">
        <is>
          <t>Fragile and conflict affected situations</t>
        </is>
      </c>
      <c r="B3132" t="inlineStr">
        <is>
          <t>FCS</t>
        </is>
      </c>
      <c r="C3132" t="n">
        <v>1998</v>
      </c>
      <c r="D3132" t="n">
        <v>5.9765085214186</v>
      </c>
    </row>
    <row r="3133">
      <c r="A3133" t="inlineStr">
        <is>
          <t>Fragile and conflict affected situations</t>
        </is>
      </c>
      <c r="B3133" t="inlineStr">
        <is>
          <t>FCS</t>
        </is>
      </c>
      <c r="C3133" t="n">
        <v>1999</v>
      </c>
      <c r="D3133" t="n">
        <v>4.84353158826397</v>
      </c>
    </row>
    <row r="3134">
      <c r="A3134" t="inlineStr">
        <is>
          <t>Fragile and conflict affected situations</t>
        </is>
      </c>
      <c r="B3134" t="inlineStr">
        <is>
          <t>FCS</t>
        </is>
      </c>
      <c r="C3134" t="n">
        <v>2000</v>
      </c>
      <c r="D3134" t="n">
        <v>3.82260088086307</v>
      </c>
    </row>
    <row r="3135">
      <c r="A3135" t="inlineStr">
        <is>
          <t>Fragile and conflict affected situations</t>
        </is>
      </c>
      <c r="B3135" t="inlineStr">
        <is>
          <t>FCS</t>
        </is>
      </c>
      <c r="C3135" t="n">
        <v>2001</v>
      </c>
      <c r="D3135" t="n">
        <v>5.37080293380438</v>
      </c>
    </row>
    <row r="3136">
      <c r="A3136" t="inlineStr">
        <is>
          <t>Fragile and conflict affected situations</t>
        </is>
      </c>
      <c r="B3136" t="inlineStr">
        <is>
          <t>FCS</t>
        </is>
      </c>
      <c r="C3136" t="n">
        <v>2002</v>
      </c>
      <c r="D3136" t="n">
        <v>4.70579123746034</v>
      </c>
    </row>
    <row r="3137">
      <c r="A3137" t="inlineStr">
        <is>
          <t>Fragile and conflict affected situations</t>
        </is>
      </c>
      <c r="B3137" t="inlineStr">
        <is>
          <t>FCS</t>
        </is>
      </c>
      <c r="C3137" t="n">
        <v>2003</v>
      </c>
      <c r="D3137" t="n">
        <v>5.48825363407078</v>
      </c>
    </row>
    <row r="3138">
      <c r="A3138" t="inlineStr">
        <is>
          <t>Fragile and conflict affected situations</t>
        </is>
      </c>
      <c r="B3138" t="inlineStr">
        <is>
          <t>FCS</t>
        </is>
      </c>
      <c r="C3138" t="n">
        <v>2004</v>
      </c>
      <c r="D3138" t="n">
        <v>3.28244220949084</v>
      </c>
    </row>
    <row r="3139">
      <c r="A3139" t="inlineStr">
        <is>
          <t>Fragile and conflict affected situations</t>
        </is>
      </c>
      <c r="B3139" t="inlineStr">
        <is>
          <t>FCS</t>
        </is>
      </c>
      <c r="C3139" t="n">
        <v>2005</v>
      </c>
      <c r="D3139" t="n">
        <v>7.28550640490917</v>
      </c>
    </row>
    <row r="3140">
      <c r="A3140" t="inlineStr">
        <is>
          <t>Fragile and conflict affected situations</t>
        </is>
      </c>
      <c r="B3140" t="inlineStr">
        <is>
          <t>FCS</t>
        </is>
      </c>
      <c r="C3140" t="n">
        <v>2006</v>
      </c>
      <c r="D3140" t="n">
        <v>6.73993060387505</v>
      </c>
    </row>
    <row r="3141">
      <c r="A3141" t="inlineStr">
        <is>
          <t>Fragile and conflict affected situations</t>
        </is>
      </c>
      <c r="B3141" t="inlineStr">
        <is>
          <t>FCS</t>
        </is>
      </c>
      <c r="C3141" t="n">
        <v>2007</v>
      </c>
      <c r="D3141" t="n">
        <v>4.61743772241997</v>
      </c>
    </row>
    <row r="3142">
      <c r="A3142" t="inlineStr">
        <is>
          <t>Fragile and conflict affected situations</t>
        </is>
      </c>
      <c r="B3142" t="inlineStr">
        <is>
          <t>FCS</t>
        </is>
      </c>
      <c r="C3142" t="n">
        <v>2008</v>
      </c>
      <c r="D3142" t="n">
        <v>11.5810751748252</v>
      </c>
    </row>
    <row r="3143">
      <c r="A3143" t="inlineStr">
        <is>
          <t>Fragile and conflict affected situations</t>
        </is>
      </c>
      <c r="B3143" t="inlineStr">
        <is>
          <t>FCS</t>
        </is>
      </c>
      <c r="C3143" t="n">
        <v>2009</v>
      </c>
      <c r="D3143" t="n">
        <v>4.07548080120172</v>
      </c>
    </row>
    <row r="3144">
      <c r="A3144" t="inlineStr">
        <is>
          <t>Fragile and conflict affected situations</t>
        </is>
      </c>
      <c r="B3144" t="inlineStr">
        <is>
          <t>FCS</t>
        </is>
      </c>
      <c r="C3144" t="n">
        <v>2010</v>
      </c>
      <c r="D3144" t="n">
        <v>3.48050763735842</v>
      </c>
    </row>
    <row r="3145">
      <c r="A3145" t="inlineStr">
        <is>
          <t>Fragile and conflict affected situations</t>
        </is>
      </c>
      <c r="B3145" t="inlineStr">
        <is>
          <t>FCS</t>
        </is>
      </c>
      <c r="C3145" t="n">
        <v>2011</v>
      </c>
      <c r="D3145" t="n">
        <v>5.44202470487835</v>
      </c>
    </row>
    <row r="3146">
      <c r="A3146" t="inlineStr">
        <is>
          <t>Fragile and conflict affected situations</t>
        </is>
      </c>
      <c r="B3146" t="inlineStr">
        <is>
          <t>FCS</t>
        </is>
      </c>
      <c r="C3146" t="n">
        <v>2012</v>
      </c>
      <c r="D3146" t="n">
        <v>5.91200602491155</v>
      </c>
    </row>
    <row r="3147">
      <c r="A3147" t="inlineStr">
        <is>
          <t>Fragile and conflict affected situations</t>
        </is>
      </c>
      <c r="B3147" t="inlineStr">
        <is>
          <t>FCS</t>
        </is>
      </c>
      <c r="C3147" t="n">
        <v>2013</v>
      </c>
      <c r="D3147" t="n">
        <v>4.26135250941963</v>
      </c>
    </row>
    <row r="3148">
      <c r="A3148" t="inlineStr">
        <is>
          <t>Fragile and conflict affected situations</t>
        </is>
      </c>
      <c r="B3148" t="inlineStr">
        <is>
          <t>FCS</t>
        </is>
      </c>
      <c r="C3148" t="n">
        <v>2014</v>
      </c>
      <c r="D3148" t="n">
        <v>2.33445774751952</v>
      </c>
    </row>
    <row r="3149">
      <c r="A3149" t="inlineStr">
        <is>
          <t>Fragile and conflict affected situations</t>
        </is>
      </c>
      <c r="B3149" t="inlineStr">
        <is>
          <t>FCS</t>
        </is>
      </c>
      <c r="C3149" t="n">
        <v>2015</v>
      </c>
      <c r="D3149" t="n">
        <v>2.676235314199</v>
      </c>
    </row>
    <row r="3150">
      <c r="A3150" t="inlineStr">
        <is>
          <t>Fragile and conflict affected situations</t>
        </is>
      </c>
      <c r="B3150" t="inlineStr">
        <is>
          <t>FCS</t>
        </is>
      </c>
      <c r="C3150" t="n">
        <v>2016</v>
      </c>
      <c r="D3150" t="n">
        <v>3.19056179723773</v>
      </c>
    </row>
    <row r="3151">
      <c r="A3151" t="inlineStr">
        <is>
          <t>Fragile and conflict affected situations</t>
        </is>
      </c>
      <c r="B3151" t="inlineStr">
        <is>
          <t>FCS</t>
        </is>
      </c>
      <c r="C3151" t="n">
        <v>2017</v>
      </c>
      <c r="D3151" t="n">
        <v>4.18072331871267</v>
      </c>
    </row>
    <row r="3152">
      <c r="A3152" t="inlineStr">
        <is>
          <t>Fragile and conflict affected situations</t>
        </is>
      </c>
      <c r="B3152" t="inlineStr">
        <is>
          <t>FCS</t>
        </is>
      </c>
      <c r="C3152" t="n">
        <v>2018</v>
      </c>
      <c r="D3152" t="n">
        <v>2.96760366004456</v>
      </c>
    </row>
    <row r="3153">
      <c r="A3153" t="inlineStr">
        <is>
          <t>Fragile and conflict affected situations</t>
        </is>
      </c>
      <c r="B3153" t="inlineStr">
        <is>
          <t>FCS</t>
        </is>
      </c>
      <c r="C3153" t="n">
        <v>2019</v>
      </c>
      <c r="D3153" t="n">
        <v>2.45280214062732</v>
      </c>
    </row>
    <row r="3154">
      <c r="A3154" t="inlineStr">
        <is>
          <t>Fragile and conflict affected situations</t>
        </is>
      </c>
      <c r="B3154" t="inlineStr">
        <is>
          <t>FCS</t>
        </is>
      </c>
      <c r="C3154" t="n">
        <v>2020</v>
      </c>
      <c r="D3154" t="n">
        <v>2.8981937602627</v>
      </c>
    </row>
    <row r="3155">
      <c r="A3155" t="inlineStr">
        <is>
          <t>Fragile and conflict affected situations</t>
        </is>
      </c>
      <c r="B3155" t="inlineStr">
        <is>
          <t>FCS</t>
        </is>
      </c>
      <c r="C3155" t="n">
        <v>2021</v>
      </c>
      <c r="D3155" t="n">
        <v>4.25936417542868</v>
      </c>
    </row>
    <row r="3156">
      <c r="A3156" t="inlineStr">
        <is>
          <t>Fragile and conflict affected situations</t>
        </is>
      </c>
      <c r="B3156" t="inlineStr">
        <is>
          <t>FCS</t>
        </is>
      </c>
      <c r="C3156" t="n">
        <v>2022</v>
      </c>
      <c r="D3156" t="n">
        <v>9.393838774565911</v>
      </c>
    </row>
    <row r="3157">
      <c r="A3157" t="inlineStr">
        <is>
          <t>Fragile and conflict affected situations</t>
        </is>
      </c>
      <c r="B3157" t="inlineStr">
        <is>
          <t>FCS</t>
        </is>
      </c>
      <c r="C3157" t="n">
        <v>2023</v>
      </c>
      <c r="D3157" t="n">
        <v>5.88585897042164</v>
      </c>
    </row>
    <row r="3158">
      <c r="A3158" t="inlineStr">
        <is>
          <t>Finland</t>
        </is>
      </c>
      <c r="B3158" t="inlineStr">
        <is>
          <t>FIN</t>
        </is>
      </c>
      <c r="C3158" t="n">
        <v>1960</v>
      </c>
      <c r="D3158" t="n">
        <v>3.41812725350792</v>
      </c>
    </row>
    <row r="3159">
      <c r="A3159" t="inlineStr">
        <is>
          <t>Finland</t>
        </is>
      </c>
      <c r="B3159" t="inlineStr">
        <is>
          <t>FIN</t>
        </is>
      </c>
      <c r="C3159" t="n">
        <v>1961</v>
      </c>
      <c r="D3159" t="n">
        <v>1.69100191533953</v>
      </c>
    </row>
    <row r="3160">
      <c r="A3160" t="inlineStr">
        <is>
          <t>Finland</t>
        </is>
      </c>
      <c r="B3160" t="inlineStr">
        <is>
          <t>FIN</t>
        </is>
      </c>
      <c r="C3160" t="n">
        <v>1962</v>
      </c>
      <c r="D3160" t="n">
        <v>4.38398278172668</v>
      </c>
    </row>
    <row r="3161">
      <c r="A3161" t="inlineStr">
        <is>
          <t>Finland</t>
        </is>
      </c>
      <c r="B3161" t="inlineStr">
        <is>
          <t>FIN</t>
        </is>
      </c>
      <c r="C3161" t="n">
        <v>1963</v>
      </c>
      <c r="D3161" t="n">
        <v>4.99638188645285</v>
      </c>
    </row>
    <row r="3162">
      <c r="A3162" t="inlineStr">
        <is>
          <t>Finland</t>
        </is>
      </c>
      <c r="B3162" t="inlineStr">
        <is>
          <t>FIN</t>
        </is>
      </c>
      <c r="C3162" t="n">
        <v>1964</v>
      </c>
      <c r="D3162" t="n">
        <v>10.2758607417486</v>
      </c>
    </row>
    <row r="3163">
      <c r="A3163" t="inlineStr">
        <is>
          <t>Finland</t>
        </is>
      </c>
      <c r="B3163" t="inlineStr">
        <is>
          <t>FIN</t>
        </is>
      </c>
      <c r="C3163" t="n">
        <v>1965</v>
      </c>
      <c r="D3163" t="n">
        <v>4.94058806755308</v>
      </c>
    </row>
    <row r="3164">
      <c r="A3164" t="inlineStr">
        <is>
          <t>Finland</t>
        </is>
      </c>
      <c r="B3164" t="inlineStr">
        <is>
          <t>FIN</t>
        </is>
      </c>
      <c r="C3164" t="n">
        <v>1966</v>
      </c>
      <c r="D3164" t="n">
        <v>3.87365401861324</v>
      </c>
    </row>
    <row r="3165">
      <c r="A3165" t="inlineStr">
        <is>
          <t>Finland</t>
        </is>
      </c>
      <c r="B3165" t="inlineStr">
        <is>
          <t>FIN</t>
        </is>
      </c>
      <c r="C3165" t="n">
        <v>1967</v>
      </c>
      <c r="D3165" t="n">
        <v>5.37778183372858</v>
      </c>
    </row>
    <row r="3166">
      <c r="A3166" t="inlineStr">
        <is>
          <t>Finland</t>
        </is>
      </c>
      <c r="B3166" t="inlineStr">
        <is>
          <t>FIN</t>
        </is>
      </c>
      <c r="C3166" t="n">
        <v>1968</v>
      </c>
      <c r="D3166" t="n">
        <v>9.19166799519512</v>
      </c>
    </row>
    <row r="3167">
      <c r="A3167" t="inlineStr">
        <is>
          <t>Finland</t>
        </is>
      </c>
      <c r="B3167" t="inlineStr">
        <is>
          <t>FIN</t>
        </is>
      </c>
      <c r="C3167" t="n">
        <v>1969</v>
      </c>
      <c r="D3167" t="n">
        <v>2.20561093521246</v>
      </c>
    </row>
    <row r="3168">
      <c r="A3168" t="inlineStr">
        <is>
          <t>Finland</t>
        </is>
      </c>
      <c r="B3168" t="inlineStr">
        <is>
          <t>FIN</t>
        </is>
      </c>
      <c r="C3168" t="n">
        <v>1970</v>
      </c>
      <c r="D3168" t="n">
        <v>2.7404204305122</v>
      </c>
    </row>
    <row r="3169">
      <c r="A3169" t="inlineStr">
        <is>
          <t>Finland</t>
        </is>
      </c>
      <c r="B3169" t="inlineStr">
        <is>
          <t>FIN</t>
        </is>
      </c>
      <c r="C3169" t="n">
        <v>1971</v>
      </c>
      <c r="D3169" t="n">
        <v>6.47576543061856</v>
      </c>
    </row>
    <row r="3170">
      <c r="A3170" t="inlineStr">
        <is>
          <t>Finland</t>
        </is>
      </c>
      <c r="B3170" t="inlineStr">
        <is>
          <t>FIN</t>
        </is>
      </c>
      <c r="C3170" t="n">
        <v>1972</v>
      </c>
      <c r="D3170" t="n">
        <v>6.66249783515328</v>
      </c>
    </row>
    <row r="3171">
      <c r="A3171" t="inlineStr">
        <is>
          <t>Finland</t>
        </is>
      </c>
      <c r="B3171" t="inlineStr">
        <is>
          <t>FIN</t>
        </is>
      </c>
      <c r="C3171" t="n">
        <v>1973</v>
      </c>
      <c r="D3171" t="n">
        <v>10.7544718831368</v>
      </c>
    </row>
    <row r="3172">
      <c r="A3172" t="inlineStr">
        <is>
          <t>Finland</t>
        </is>
      </c>
      <c r="B3172" t="inlineStr">
        <is>
          <t>FIN</t>
        </is>
      </c>
      <c r="C3172" t="n">
        <v>1974</v>
      </c>
      <c r="D3172" t="n">
        <v>16.9363999989274</v>
      </c>
    </row>
    <row r="3173">
      <c r="A3173" t="inlineStr">
        <is>
          <t>Finland</t>
        </is>
      </c>
      <c r="B3173" t="inlineStr">
        <is>
          <t>FIN</t>
        </is>
      </c>
      <c r="C3173" t="n">
        <v>1975</v>
      </c>
      <c r="D3173" t="n">
        <v>17.8113972340213</v>
      </c>
    </row>
    <row r="3174">
      <c r="A3174" t="inlineStr">
        <is>
          <t>Finland</t>
        </is>
      </c>
      <c r="B3174" t="inlineStr">
        <is>
          <t>FIN</t>
        </is>
      </c>
      <c r="C3174" t="n">
        <v>1976</v>
      </c>
      <c r="D3174" t="n">
        <v>14.3426930852257</v>
      </c>
    </row>
    <row r="3175">
      <c r="A3175" t="inlineStr">
        <is>
          <t>Finland</t>
        </is>
      </c>
      <c r="B3175" t="inlineStr">
        <is>
          <t>FIN</t>
        </is>
      </c>
      <c r="C3175" t="n">
        <v>1977</v>
      </c>
      <c r="D3175" t="n">
        <v>11.7933469184054</v>
      </c>
    </row>
    <row r="3176">
      <c r="A3176" t="inlineStr">
        <is>
          <t>Finland</t>
        </is>
      </c>
      <c r="B3176" t="inlineStr">
        <is>
          <t>FIN</t>
        </is>
      </c>
      <c r="C3176" t="n">
        <v>1978</v>
      </c>
      <c r="D3176" t="n">
        <v>7.79935074552145</v>
      </c>
    </row>
    <row r="3177">
      <c r="A3177" t="inlineStr">
        <is>
          <t>Finland</t>
        </is>
      </c>
      <c r="B3177" t="inlineStr">
        <is>
          <t>FIN</t>
        </is>
      </c>
      <c r="C3177" t="n">
        <v>1979</v>
      </c>
      <c r="D3177" t="n">
        <v>7.46696151310738</v>
      </c>
    </row>
    <row r="3178">
      <c r="A3178" t="inlineStr">
        <is>
          <t>Finland</t>
        </is>
      </c>
      <c r="B3178" t="inlineStr">
        <is>
          <t>FIN</t>
        </is>
      </c>
      <c r="C3178" t="n">
        <v>1980</v>
      </c>
      <c r="D3178" t="n">
        <v>11.5946192492107</v>
      </c>
    </row>
    <row r="3179">
      <c r="A3179" t="inlineStr">
        <is>
          <t>Finland</t>
        </is>
      </c>
      <c r="B3179" t="inlineStr">
        <is>
          <t>FIN</t>
        </is>
      </c>
      <c r="C3179" t="n">
        <v>1981</v>
      </c>
      <c r="D3179" t="n">
        <v>11.3057566509548</v>
      </c>
    </row>
    <row r="3180">
      <c r="A3180" t="inlineStr">
        <is>
          <t>Finland</t>
        </is>
      </c>
      <c r="B3180" t="inlineStr">
        <is>
          <t>FIN</t>
        </is>
      </c>
      <c r="C3180" t="n">
        <v>1982</v>
      </c>
      <c r="D3180" t="n">
        <v>9.58492764677445</v>
      </c>
    </row>
    <row r="3181">
      <c r="A3181" t="inlineStr">
        <is>
          <t>Finland</t>
        </is>
      </c>
      <c r="B3181" t="inlineStr">
        <is>
          <t>FIN</t>
        </is>
      </c>
      <c r="C3181" t="n">
        <v>1983</v>
      </c>
      <c r="D3181" t="n">
        <v>8.366292606456399</v>
      </c>
    </row>
    <row r="3182">
      <c r="A3182" t="inlineStr">
        <is>
          <t>Finland</t>
        </is>
      </c>
      <c r="B3182" t="inlineStr">
        <is>
          <t>FIN</t>
        </is>
      </c>
      <c r="C3182" t="n">
        <v>1984</v>
      </c>
      <c r="D3182" t="n">
        <v>7.06765638328172</v>
      </c>
    </row>
    <row r="3183">
      <c r="A3183" t="inlineStr">
        <is>
          <t>Finland</t>
        </is>
      </c>
      <c r="B3183" t="inlineStr">
        <is>
          <t>FIN</t>
        </is>
      </c>
      <c r="C3183" t="n">
        <v>1985</v>
      </c>
      <c r="D3183" t="n">
        <v>5.19562195429435</v>
      </c>
    </row>
    <row r="3184">
      <c r="A3184" t="inlineStr">
        <is>
          <t>Finland</t>
        </is>
      </c>
      <c r="B3184" t="inlineStr">
        <is>
          <t>FIN</t>
        </is>
      </c>
      <c r="C3184" t="n">
        <v>1986</v>
      </c>
      <c r="D3184" t="n">
        <v>2.93357920442327</v>
      </c>
    </row>
    <row r="3185">
      <c r="A3185" t="inlineStr">
        <is>
          <t>Finland</t>
        </is>
      </c>
      <c r="B3185" t="inlineStr">
        <is>
          <t>FIN</t>
        </is>
      </c>
      <c r="C3185" t="n">
        <v>1987</v>
      </c>
      <c r="D3185" t="n">
        <v>4.11302886205058</v>
      </c>
    </row>
    <row r="3186">
      <c r="A3186" t="inlineStr">
        <is>
          <t>Finland</t>
        </is>
      </c>
      <c r="B3186" t="inlineStr">
        <is>
          <t>FIN</t>
        </is>
      </c>
      <c r="C3186" t="n">
        <v>1988</v>
      </c>
      <c r="D3186" t="n">
        <v>5.08592861394881</v>
      </c>
    </row>
    <row r="3187">
      <c r="A3187" t="inlineStr">
        <is>
          <t>Finland</t>
        </is>
      </c>
      <c r="B3187" t="inlineStr">
        <is>
          <t>FIN</t>
        </is>
      </c>
      <c r="C3187" t="n">
        <v>1989</v>
      </c>
      <c r="D3187" t="n">
        <v>6.59290980189131</v>
      </c>
    </row>
    <row r="3188">
      <c r="A3188" t="inlineStr">
        <is>
          <t>Finland</t>
        </is>
      </c>
      <c r="B3188" t="inlineStr">
        <is>
          <t>FIN</t>
        </is>
      </c>
      <c r="C3188" t="n">
        <v>1990</v>
      </c>
      <c r="D3188" t="n">
        <v>6.1495653117985</v>
      </c>
    </row>
    <row r="3189">
      <c r="A3189" t="inlineStr">
        <is>
          <t>Finland</t>
        </is>
      </c>
      <c r="B3189" t="inlineStr">
        <is>
          <t>FIN</t>
        </is>
      </c>
      <c r="C3189" t="n">
        <v>1991</v>
      </c>
      <c r="D3189" t="n">
        <v>4.31021289843465</v>
      </c>
    </row>
    <row r="3190">
      <c r="A3190" t="inlineStr">
        <is>
          <t>Finland</t>
        </is>
      </c>
      <c r="B3190" t="inlineStr">
        <is>
          <t>FIN</t>
        </is>
      </c>
      <c r="C3190" t="n">
        <v>1992</v>
      </c>
      <c r="D3190" t="n">
        <v>2.91932319285011</v>
      </c>
    </row>
    <row r="3191">
      <c r="A3191" t="inlineStr">
        <is>
          <t>Finland</t>
        </is>
      </c>
      <c r="B3191" t="inlineStr">
        <is>
          <t>FIN</t>
        </is>
      </c>
      <c r="C3191" t="n">
        <v>1993</v>
      </c>
      <c r="D3191" t="n">
        <v>2.19065319556437</v>
      </c>
    </row>
    <row r="3192">
      <c r="A3192" t="inlineStr">
        <is>
          <t>Finland</t>
        </is>
      </c>
      <c r="B3192" t="inlineStr">
        <is>
          <t>FIN</t>
        </is>
      </c>
      <c r="C3192" t="n">
        <v>1994</v>
      </c>
      <c r="D3192" t="n">
        <v>1.08855677589405</v>
      </c>
    </row>
    <row r="3193">
      <c r="A3193" t="inlineStr">
        <is>
          <t>Finland</t>
        </is>
      </c>
      <c r="B3193" t="inlineStr">
        <is>
          <t>FIN</t>
        </is>
      </c>
      <c r="C3193" t="n">
        <v>1995</v>
      </c>
      <c r="D3193" t="n">
        <v>0.791239406938498</v>
      </c>
    </row>
    <row r="3194">
      <c r="A3194" t="inlineStr">
        <is>
          <t>Finland</t>
        </is>
      </c>
      <c r="B3194" t="inlineStr">
        <is>
          <t>FIN</t>
        </is>
      </c>
      <c r="C3194" t="n">
        <v>1996</v>
      </c>
      <c r="D3194" t="n">
        <v>0.629194238120966</v>
      </c>
    </row>
    <row r="3195">
      <c r="A3195" t="inlineStr">
        <is>
          <t>Finland</t>
        </is>
      </c>
      <c r="B3195" t="inlineStr">
        <is>
          <t>FIN</t>
        </is>
      </c>
      <c r="C3195" t="n">
        <v>1997</v>
      </c>
      <c r="D3195" t="n">
        <v>1.19255883425839</v>
      </c>
    </row>
    <row r="3196">
      <c r="A3196" t="inlineStr">
        <is>
          <t>Finland</t>
        </is>
      </c>
      <c r="B3196" t="inlineStr">
        <is>
          <t>FIN</t>
        </is>
      </c>
      <c r="C3196" t="n">
        <v>1998</v>
      </c>
      <c r="D3196" t="n">
        <v>1.3994737857984</v>
      </c>
    </row>
    <row r="3197">
      <c r="A3197" t="inlineStr">
        <is>
          <t>Finland</t>
        </is>
      </c>
      <c r="B3197" t="inlineStr">
        <is>
          <t>FIN</t>
        </is>
      </c>
      <c r="C3197" t="n">
        <v>1999</v>
      </c>
      <c r="D3197" t="n">
        <v>1.16223155669444</v>
      </c>
    </row>
    <row r="3198">
      <c r="A3198" t="inlineStr">
        <is>
          <t>Finland</t>
        </is>
      </c>
      <c r="B3198" t="inlineStr">
        <is>
          <t>FIN</t>
        </is>
      </c>
      <c r="C3198" t="n">
        <v>2000</v>
      </c>
      <c r="D3198" t="n">
        <v>3.04210080667795</v>
      </c>
    </row>
    <row r="3199">
      <c r="A3199" t="inlineStr">
        <is>
          <t>Finland</t>
        </is>
      </c>
      <c r="B3199" t="inlineStr">
        <is>
          <t>FIN</t>
        </is>
      </c>
      <c r="C3199" t="n">
        <v>2001</v>
      </c>
      <c r="D3199" t="n">
        <v>2.57844080098896</v>
      </c>
    </row>
    <row r="3200">
      <c r="A3200" t="inlineStr">
        <is>
          <t>Finland</t>
        </is>
      </c>
      <c r="B3200" t="inlineStr">
        <is>
          <t>FIN</t>
        </is>
      </c>
      <c r="C3200" t="n">
        <v>2002</v>
      </c>
      <c r="D3200" t="n">
        <v>1.5712201278938</v>
      </c>
    </row>
    <row r="3201">
      <c r="A3201" t="inlineStr">
        <is>
          <t>Finland</t>
        </is>
      </c>
      <c r="B3201" t="inlineStr">
        <is>
          <t>FIN</t>
        </is>
      </c>
      <c r="C3201" t="n">
        <v>2003</v>
      </c>
      <c r="D3201" t="n">
        <v>0.877440386254785</v>
      </c>
    </row>
    <row r="3202">
      <c r="A3202" t="inlineStr">
        <is>
          <t>Finland</t>
        </is>
      </c>
      <c r="B3202" t="inlineStr">
        <is>
          <t>FIN</t>
        </is>
      </c>
      <c r="C3202" t="n">
        <v>2004</v>
      </c>
      <c r="D3202" t="n">
        <v>0.187120559084418</v>
      </c>
    </row>
    <row r="3203">
      <c r="A3203" t="inlineStr">
        <is>
          <t>Finland</t>
        </is>
      </c>
      <c r="B3203" t="inlineStr">
        <is>
          <t>FIN</t>
        </is>
      </c>
      <c r="C3203" t="n">
        <v>2005</v>
      </c>
      <c r="D3203" t="n">
        <v>0.623874450025191</v>
      </c>
    </row>
    <row r="3204">
      <c r="A3204" t="inlineStr">
        <is>
          <t>Finland</t>
        </is>
      </c>
      <c r="B3204" t="inlineStr">
        <is>
          <t>FIN</t>
        </is>
      </c>
      <c r="C3204" t="n">
        <v>2006</v>
      </c>
      <c r="D3204" t="n">
        <v>1.56666380704386</v>
      </c>
    </row>
    <row r="3205">
      <c r="A3205" t="inlineStr">
        <is>
          <t>Finland</t>
        </is>
      </c>
      <c r="B3205" t="inlineStr">
        <is>
          <t>FIN</t>
        </is>
      </c>
      <c r="C3205" t="n">
        <v>2007</v>
      </c>
      <c r="D3205" t="n">
        <v>2.5106656524034</v>
      </c>
    </row>
    <row r="3206">
      <c r="A3206" t="inlineStr">
        <is>
          <t>Finland</t>
        </is>
      </c>
      <c r="B3206" t="inlineStr">
        <is>
          <t>FIN</t>
        </is>
      </c>
      <c r="C3206" t="n">
        <v>2008</v>
      </c>
      <c r="D3206" t="n">
        <v>4.06595355358379</v>
      </c>
    </row>
    <row r="3207">
      <c r="A3207" t="inlineStr">
        <is>
          <t>Finland</t>
        </is>
      </c>
      <c r="B3207" t="inlineStr">
        <is>
          <t>FIN</t>
        </is>
      </c>
      <c r="C3207" t="n">
        <v>2009</v>
      </c>
      <c r="D3207" t="n">
        <v>-9.17360384430342e-07</v>
      </c>
    </row>
    <row r="3208">
      <c r="A3208" t="inlineStr">
        <is>
          <t>Finland</t>
        </is>
      </c>
      <c r="B3208" t="inlineStr">
        <is>
          <t>FIN</t>
        </is>
      </c>
      <c r="C3208" t="n">
        <v>2010</v>
      </c>
      <c r="D3208" t="n">
        <v>1.18413523154646</v>
      </c>
    </row>
    <row r="3209">
      <c r="A3209" t="inlineStr">
        <is>
          <t>Finland</t>
        </is>
      </c>
      <c r="B3209" t="inlineStr">
        <is>
          <t>FIN</t>
        </is>
      </c>
      <c r="C3209" t="n">
        <v>2011</v>
      </c>
      <c r="D3209" t="n">
        <v>3.41680754255211</v>
      </c>
    </row>
    <row r="3210">
      <c r="A3210" t="inlineStr">
        <is>
          <t>Finland</t>
        </is>
      </c>
      <c r="B3210" t="inlineStr">
        <is>
          <t>FIN</t>
        </is>
      </c>
      <c r="C3210" t="n">
        <v>2012</v>
      </c>
      <c r="D3210" t="n">
        <v>2.80833622561574</v>
      </c>
    </row>
    <row r="3211">
      <c r="A3211" t="inlineStr">
        <is>
          <t>Finland</t>
        </is>
      </c>
      <c r="B3211" t="inlineStr">
        <is>
          <t>FIN</t>
        </is>
      </c>
      <c r="C3211" t="n">
        <v>2013</v>
      </c>
      <c r="D3211" t="n">
        <v>1.4782861568881</v>
      </c>
    </row>
    <row r="3212">
      <c r="A3212" t="inlineStr">
        <is>
          <t>Finland</t>
        </is>
      </c>
      <c r="B3212" t="inlineStr">
        <is>
          <t>FIN</t>
        </is>
      </c>
      <c r="C3212" t="n">
        <v>2014</v>
      </c>
      <c r="D3212" t="n">
        <v>1.04119621178439</v>
      </c>
    </row>
    <row r="3213">
      <c r="A3213" t="inlineStr">
        <is>
          <t>Finland</t>
        </is>
      </c>
      <c r="B3213" t="inlineStr">
        <is>
          <t>FIN</t>
        </is>
      </c>
      <c r="C3213" t="n">
        <v>2015</v>
      </c>
      <c r="D3213" t="n">
        <v>-0.207928839905268</v>
      </c>
    </row>
    <row r="3214">
      <c r="A3214" t="inlineStr">
        <is>
          <t>Finland</t>
        </is>
      </c>
      <c r="B3214" t="inlineStr">
        <is>
          <t>FIN</t>
        </is>
      </c>
      <c r="C3214" t="n">
        <v>2016</v>
      </c>
      <c r="D3214" t="n">
        <v>0.356684500891695</v>
      </c>
    </row>
    <row r="3215">
      <c r="A3215" t="inlineStr">
        <is>
          <t>Finland</t>
        </is>
      </c>
      <c r="B3215" t="inlineStr">
        <is>
          <t>FIN</t>
        </is>
      </c>
      <c r="C3215" t="n">
        <v>2017</v>
      </c>
      <c r="D3215" t="n">
        <v>0.754015047084346</v>
      </c>
    </row>
    <row r="3216">
      <c r="A3216" t="inlineStr">
        <is>
          <t>Finland</t>
        </is>
      </c>
      <c r="B3216" t="inlineStr">
        <is>
          <t>FIN</t>
        </is>
      </c>
      <c r="C3216" t="n">
        <v>2018</v>
      </c>
      <c r="D3216" t="n">
        <v>1.08382098409305</v>
      </c>
    </row>
    <row r="3217">
      <c r="A3217" t="inlineStr">
        <is>
          <t>Finland</t>
        </is>
      </c>
      <c r="B3217" t="inlineStr">
        <is>
          <t>FIN</t>
        </is>
      </c>
      <c r="C3217" t="n">
        <v>2019</v>
      </c>
      <c r="D3217" t="n">
        <v>1.02409392963431</v>
      </c>
    </row>
    <row r="3218">
      <c r="A3218" t="inlineStr">
        <is>
          <t>Finland</t>
        </is>
      </c>
      <c r="B3218" t="inlineStr">
        <is>
          <t>FIN</t>
        </is>
      </c>
      <c r="C3218" t="n">
        <v>2020</v>
      </c>
      <c r="D3218" t="n">
        <v>0.290554555653239</v>
      </c>
    </row>
    <row r="3219">
      <c r="A3219" t="inlineStr">
        <is>
          <t>Finland</t>
        </is>
      </c>
      <c r="B3219" t="inlineStr">
        <is>
          <t>FIN</t>
        </is>
      </c>
      <c r="C3219" t="n">
        <v>2021</v>
      </c>
      <c r="D3219" t="n">
        <v>2.19457432340007</v>
      </c>
    </row>
    <row r="3220">
      <c r="A3220" t="inlineStr">
        <is>
          <t>Finland</t>
        </is>
      </c>
      <c r="B3220" t="inlineStr">
        <is>
          <t>FIN</t>
        </is>
      </c>
      <c r="C3220" t="n">
        <v>2022</v>
      </c>
      <c r="D3220" t="n">
        <v>7.12350773301402</v>
      </c>
    </row>
    <row r="3221">
      <c r="A3221" t="inlineStr">
        <is>
          <t>Finland</t>
        </is>
      </c>
      <c r="B3221" t="inlineStr">
        <is>
          <t>FIN</t>
        </is>
      </c>
      <c r="C3221" t="n">
        <v>2023</v>
      </c>
      <c r="D3221" t="n">
        <v>6.25064322154763</v>
      </c>
    </row>
    <row r="3222">
      <c r="A3222" t="inlineStr">
        <is>
          <t>Finland</t>
        </is>
      </c>
      <c r="B3222" t="inlineStr">
        <is>
          <t>FIN</t>
        </is>
      </c>
      <c r="C3222" t="n">
        <v>2024</v>
      </c>
      <c r="D3222" t="n">
        <v>1.56568906231616</v>
      </c>
    </row>
    <row r="3223">
      <c r="A3223" t="inlineStr">
        <is>
          <t>Fiji</t>
        </is>
      </c>
      <c r="B3223" t="inlineStr">
        <is>
          <t>FJI</t>
        </is>
      </c>
      <c r="C3223" t="n">
        <v>1970</v>
      </c>
      <c r="D3223" t="n">
        <v>4.12417856333567</v>
      </c>
    </row>
    <row r="3224">
      <c r="A3224" t="inlineStr">
        <is>
          <t>Fiji</t>
        </is>
      </c>
      <c r="B3224" t="inlineStr">
        <is>
          <t>FJI</t>
        </is>
      </c>
      <c r="C3224" t="n">
        <v>1971</v>
      </c>
      <c r="D3224" t="n">
        <v>9.13819368879199</v>
      </c>
    </row>
    <row r="3225">
      <c r="A3225" t="inlineStr">
        <is>
          <t>Fiji</t>
        </is>
      </c>
      <c r="B3225" t="inlineStr">
        <is>
          <t>FJI</t>
        </is>
      </c>
      <c r="C3225" t="n">
        <v>1972</v>
      </c>
      <c r="D3225" t="n">
        <v>21.9785040579069</v>
      </c>
    </row>
    <row r="3226">
      <c r="A3226" t="inlineStr">
        <is>
          <t>Fiji</t>
        </is>
      </c>
      <c r="B3226" t="inlineStr">
        <is>
          <t>FJI</t>
        </is>
      </c>
      <c r="C3226" t="n">
        <v>1973</v>
      </c>
      <c r="D3226" t="n">
        <v>11.0853182063401</v>
      </c>
    </row>
    <row r="3227">
      <c r="A3227" t="inlineStr">
        <is>
          <t>Fiji</t>
        </is>
      </c>
      <c r="B3227" t="inlineStr">
        <is>
          <t>FJI</t>
        </is>
      </c>
      <c r="C3227" t="n">
        <v>1974</v>
      </c>
      <c r="D3227" t="n">
        <v>14.4984695078882</v>
      </c>
    </row>
    <row r="3228">
      <c r="A3228" t="inlineStr">
        <is>
          <t>Fiji</t>
        </is>
      </c>
      <c r="B3228" t="inlineStr">
        <is>
          <t>FJI</t>
        </is>
      </c>
      <c r="C3228" t="n">
        <v>1975</v>
      </c>
      <c r="D3228" t="n">
        <v>13.0648809829824</v>
      </c>
    </row>
    <row r="3229">
      <c r="A3229" t="inlineStr">
        <is>
          <t>Fiji</t>
        </is>
      </c>
      <c r="B3229" t="inlineStr">
        <is>
          <t>FJI</t>
        </is>
      </c>
      <c r="C3229" t="n">
        <v>1976</v>
      </c>
      <c r="D3229" t="n">
        <v>11.4324364264689</v>
      </c>
    </row>
    <row r="3230">
      <c r="A3230" t="inlineStr">
        <is>
          <t>Fiji</t>
        </is>
      </c>
      <c r="B3230" t="inlineStr">
        <is>
          <t>FJI</t>
        </is>
      </c>
      <c r="C3230" t="n">
        <v>1977</v>
      </c>
      <c r="D3230" t="n">
        <v>7.00630444983929</v>
      </c>
    </row>
    <row r="3231">
      <c r="A3231" t="inlineStr">
        <is>
          <t>Fiji</t>
        </is>
      </c>
      <c r="B3231" t="inlineStr">
        <is>
          <t>FJI</t>
        </is>
      </c>
      <c r="C3231" t="n">
        <v>1978</v>
      </c>
      <c r="D3231" t="n">
        <v>6.108071005015</v>
      </c>
    </row>
    <row r="3232">
      <c r="A3232" t="inlineStr">
        <is>
          <t>Fiji</t>
        </is>
      </c>
      <c r="B3232" t="inlineStr">
        <is>
          <t>FJI</t>
        </is>
      </c>
      <c r="C3232" t="n">
        <v>1979</v>
      </c>
      <c r="D3232" t="n">
        <v>7.80675824952114</v>
      </c>
    </row>
    <row r="3233">
      <c r="A3233" t="inlineStr">
        <is>
          <t>Fiji</t>
        </is>
      </c>
      <c r="B3233" t="inlineStr">
        <is>
          <t>FJI</t>
        </is>
      </c>
      <c r="C3233" t="n">
        <v>1980</v>
      </c>
      <c r="D3233" t="n">
        <v>14.4928744064522</v>
      </c>
    </row>
    <row r="3234">
      <c r="A3234" t="inlineStr">
        <is>
          <t>Fiji</t>
        </is>
      </c>
      <c r="B3234" t="inlineStr">
        <is>
          <t>FJI</t>
        </is>
      </c>
      <c r="C3234" t="n">
        <v>1981</v>
      </c>
      <c r="D3234" t="n">
        <v>11.1806667637621</v>
      </c>
    </row>
    <row r="3235">
      <c r="A3235" t="inlineStr">
        <is>
          <t>Fiji</t>
        </is>
      </c>
      <c r="B3235" t="inlineStr">
        <is>
          <t>FJI</t>
        </is>
      </c>
      <c r="C3235" t="n">
        <v>1982</v>
      </c>
      <c r="D3235" t="n">
        <v>7.03155689389481</v>
      </c>
    </row>
    <row r="3236">
      <c r="A3236" t="inlineStr">
        <is>
          <t>Fiji</t>
        </is>
      </c>
      <c r="B3236" t="inlineStr">
        <is>
          <t>FJI</t>
        </is>
      </c>
      <c r="C3236" t="n">
        <v>1983</v>
      </c>
      <c r="D3236" t="n">
        <v>6.70418399801423</v>
      </c>
    </row>
    <row r="3237">
      <c r="A3237" t="inlineStr">
        <is>
          <t>Fiji</t>
        </is>
      </c>
      <c r="B3237" t="inlineStr">
        <is>
          <t>FJI</t>
        </is>
      </c>
      <c r="C3237" t="n">
        <v>1984</v>
      </c>
      <c r="D3237" t="n">
        <v>5.29121761072427</v>
      </c>
    </row>
    <row r="3238">
      <c r="A3238" t="inlineStr">
        <is>
          <t>Fiji</t>
        </is>
      </c>
      <c r="B3238" t="inlineStr">
        <is>
          <t>FJI</t>
        </is>
      </c>
      <c r="C3238" t="n">
        <v>1985</v>
      </c>
      <c r="D3238" t="n">
        <v>4.42097239621915</v>
      </c>
    </row>
    <row r="3239">
      <c r="A3239" t="inlineStr">
        <is>
          <t>Fiji</t>
        </is>
      </c>
      <c r="B3239" t="inlineStr">
        <is>
          <t>FJI</t>
        </is>
      </c>
      <c r="C3239" t="n">
        <v>1986</v>
      </c>
      <c r="D3239" t="n">
        <v>1.79884248433802</v>
      </c>
    </row>
    <row r="3240">
      <c r="A3240" t="inlineStr">
        <is>
          <t>Fiji</t>
        </is>
      </c>
      <c r="B3240" t="inlineStr">
        <is>
          <t>FJI</t>
        </is>
      </c>
      <c r="C3240" t="n">
        <v>1987</v>
      </c>
      <c r="D3240" t="n">
        <v>5.66377475855222</v>
      </c>
    </row>
    <row r="3241">
      <c r="A3241" t="inlineStr">
        <is>
          <t>Fiji</t>
        </is>
      </c>
      <c r="B3241" t="inlineStr">
        <is>
          <t>FJI</t>
        </is>
      </c>
      <c r="C3241" t="n">
        <v>1988</v>
      </c>
      <c r="D3241" t="n">
        <v>11.7583268783888</v>
      </c>
    </row>
    <row r="3242">
      <c r="A3242" t="inlineStr">
        <is>
          <t>Fiji</t>
        </is>
      </c>
      <c r="B3242" t="inlineStr">
        <is>
          <t>FJI</t>
        </is>
      </c>
      <c r="C3242" t="n">
        <v>1989</v>
      </c>
      <c r="D3242" t="n">
        <v>6.18935403382355</v>
      </c>
    </row>
    <row r="3243">
      <c r="A3243" t="inlineStr">
        <is>
          <t>Fiji</t>
        </is>
      </c>
      <c r="B3243" t="inlineStr">
        <is>
          <t>FJI</t>
        </is>
      </c>
      <c r="C3243" t="n">
        <v>1990</v>
      </c>
      <c r="D3243" t="n">
        <v>8.19137132040974</v>
      </c>
    </row>
    <row r="3244">
      <c r="A3244" t="inlineStr">
        <is>
          <t>Fiji</t>
        </is>
      </c>
      <c r="B3244" t="inlineStr">
        <is>
          <t>FJI</t>
        </is>
      </c>
      <c r="C3244" t="n">
        <v>1991</v>
      </c>
      <c r="D3244" t="n">
        <v>6.49734555984545</v>
      </c>
    </row>
    <row r="3245">
      <c r="A3245" t="inlineStr">
        <is>
          <t>Fiji</t>
        </is>
      </c>
      <c r="B3245" t="inlineStr">
        <is>
          <t>FJI</t>
        </is>
      </c>
      <c r="C3245" t="n">
        <v>1992</v>
      </c>
      <c r="D3245" t="n">
        <v>4.88302271568611</v>
      </c>
    </row>
    <row r="3246">
      <c r="A3246" t="inlineStr">
        <is>
          <t>Fiji</t>
        </is>
      </c>
      <c r="B3246" t="inlineStr">
        <is>
          <t>FJI</t>
        </is>
      </c>
      <c r="C3246" t="n">
        <v>1993</v>
      </c>
      <c r="D3246" t="n">
        <v>5.20658925195765</v>
      </c>
    </row>
    <row r="3247">
      <c r="A3247" t="inlineStr">
        <is>
          <t>Fiji</t>
        </is>
      </c>
      <c r="B3247" t="inlineStr">
        <is>
          <t>FJI</t>
        </is>
      </c>
      <c r="C3247" t="n">
        <v>1994</v>
      </c>
      <c r="D3247" t="n">
        <v>0.816666666667029</v>
      </c>
    </row>
    <row r="3248">
      <c r="A3248" t="inlineStr">
        <is>
          <t>Fiji</t>
        </is>
      </c>
      <c r="B3248" t="inlineStr">
        <is>
          <t>FJI</t>
        </is>
      </c>
      <c r="C3248" t="n">
        <v>1995</v>
      </c>
      <c r="D3248" t="n">
        <v>2.16564721441535</v>
      </c>
    </row>
    <row r="3249">
      <c r="A3249" t="inlineStr">
        <is>
          <t>Fiji</t>
        </is>
      </c>
      <c r="B3249" t="inlineStr">
        <is>
          <t>FJI</t>
        </is>
      </c>
      <c r="C3249" t="n">
        <v>1996</v>
      </c>
      <c r="D3249" t="n">
        <v>3.05016181229799</v>
      </c>
    </row>
    <row r="3250">
      <c r="A3250" t="inlineStr">
        <is>
          <t>Fiji</t>
        </is>
      </c>
      <c r="B3250" t="inlineStr">
        <is>
          <t>FJI</t>
        </is>
      </c>
      <c r="C3250" t="n">
        <v>1997</v>
      </c>
      <c r="D3250" t="n">
        <v>3.36814006437941</v>
      </c>
    </row>
    <row r="3251">
      <c r="A3251" t="inlineStr">
        <is>
          <t>Fiji</t>
        </is>
      </c>
      <c r="B3251" t="inlineStr">
        <is>
          <t>FJI</t>
        </is>
      </c>
      <c r="C3251" t="n">
        <v>1998</v>
      </c>
      <c r="D3251" t="n">
        <v>5.7116816041312</v>
      </c>
    </row>
    <row r="3252">
      <c r="A3252" t="inlineStr">
        <is>
          <t>Fiji</t>
        </is>
      </c>
      <c r="B3252" t="inlineStr">
        <is>
          <t>FJI</t>
        </is>
      </c>
      <c r="C3252" t="n">
        <v>1999</v>
      </c>
      <c r="D3252" t="n">
        <v>1.96867366000919</v>
      </c>
    </row>
    <row r="3253">
      <c r="A3253" t="inlineStr">
        <is>
          <t>Fiji</t>
        </is>
      </c>
      <c r="B3253" t="inlineStr">
        <is>
          <t>FJI</t>
        </is>
      </c>
      <c r="C3253" t="n">
        <v>2000</v>
      </c>
      <c r="D3253" t="n">
        <v>1.09216459977388</v>
      </c>
    </row>
    <row r="3254">
      <c r="A3254" t="inlineStr">
        <is>
          <t>Fiji</t>
        </is>
      </c>
      <c r="B3254" t="inlineStr">
        <is>
          <t>FJI</t>
        </is>
      </c>
      <c r="C3254" t="n">
        <v>2001</v>
      </c>
      <c r="D3254" t="n">
        <v>4.27267024465105</v>
      </c>
    </row>
    <row r="3255">
      <c r="A3255" t="inlineStr">
        <is>
          <t>Fiji</t>
        </is>
      </c>
      <c r="B3255" t="inlineStr">
        <is>
          <t>FJI</t>
        </is>
      </c>
      <c r="C3255" t="n">
        <v>2002</v>
      </c>
      <c r="D3255" t="n">
        <v>0.762032085561193</v>
      </c>
    </row>
    <row r="3256">
      <c r="A3256" t="inlineStr">
        <is>
          <t>Fiji</t>
        </is>
      </c>
      <c r="B3256" t="inlineStr">
        <is>
          <t>FJI</t>
        </is>
      </c>
      <c r="C3256" t="n">
        <v>2003</v>
      </c>
      <c r="D3256" t="n">
        <v>4.17274777763036</v>
      </c>
    </row>
    <row r="3257">
      <c r="A3257" t="inlineStr">
        <is>
          <t>Fiji</t>
        </is>
      </c>
      <c r="B3257" t="inlineStr">
        <is>
          <t>FJI</t>
        </is>
      </c>
      <c r="C3257" t="n">
        <v>2004</v>
      </c>
      <c r="D3257" t="n">
        <v>2.827485193912</v>
      </c>
    </row>
    <row r="3258">
      <c r="A3258" t="inlineStr">
        <is>
          <t>Fiji</t>
        </is>
      </c>
      <c r="B3258" t="inlineStr">
        <is>
          <t>FJI</t>
        </is>
      </c>
      <c r="C3258" t="n">
        <v>2005</v>
      </c>
      <c r="D3258" t="n">
        <v>2.36576453830435</v>
      </c>
    </row>
    <row r="3259">
      <c r="A3259" t="inlineStr">
        <is>
          <t>Fiji</t>
        </is>
      </c>
      <c r="B3259" t="inlineStr">
        <is>
          <t>FJI</t>
        </is>
      </c>
      <c r="C3259" t="n">
        <v>2006</v>
      </c>
      <c r="D3259" t="n">
        <v>2.49083638787079</v>
      </c>
    </row>
    <row r="3260">
      <c r="A3260" t="inlineStr">
        <is>
          <t>Fiji</t>
        </is>
      </c>
      <c r="B3260" t="inlineStr">
        <is>
          <t>FJI</t>
        </is>
      </c>
      <c r="C3260" t="n">
        <v>2007</v>
      </c>
      <c r="D3260" t="n">
        <v>4.80370641306989</v>
      </c>
    </row>
    <row r="3261">
      <c r="A3261" t="inlineStr">
        <is>
          <t>Fiji</t>
        </is>
      </c>
      <c r="B3261" t="inlineStr">
        <is>
          <t>FJI</t>
        </is>
      </c>
      <c r="C3261" t="n">
        <v>2008</v>
      </c>
      <c r="D3261" t="n">
        <v>7.73227857918417</v>
      </c>
    </row>
    <row r="3262">
      <c r="A3262" t="inlineStr">
        <is>
          <t>Fiji</t>
        </is>
      </c>
      <c r="B3262" t="inlineStr">
        <is>
          <t>FJI</t>
        </is>
      </c>
      <c r="C3262" t="n">
        <v>2009</v>
      </c>
      <c r="D3262" t="n">
        <v>3.13103559015965</v>
      </c>
    </row>
    <row r="3263">
      <c r="A3263" t="inlineStr">
        <is>
          <t>Fiji</t>
        </is>
      </c>
      <c r="B3263" t="inlineStr">
        <is>
          <t>FJI</t>
        </is>
      </c>
      <c r="C3263" t="n">
        <v>2010</v>
      </c>
      <c r="D3263" t="n">
        <v>3.68901229670766</v>
      </c>
    </row>
    <row r="3264">
      <c r="A3264" t="inlineStr">
        <is>
          <t>Fiji</t>
        </is>
      </c>
      <c r="B3264" t="inlineStr">
        <is>
          <t>FJI</t>
        </is>
      </c>
      <c r="C3264" t="n">
        <v>2011</v>
      </c>
      <c r="D3264" t="n">
        <v>7.27811782708494</v>
      </c>
    </row>
    <row r="3265">
      <c r="A3265" t="inlineStr">
        <is>
          <t>Fiji</t>
        </is>
      </c>
      <c r="B3265" t="inlineStr">
        <is>
          <t>FJI</t>
        </is>
      </c>
      <c r="C3265" t="n">
        <v>2012</v>
      </c>
      <c r="D3265" t="n">
        <v>3.4233752340198</v>
      </c>
    </row>
    <row r="3266">
      <c r="A3266" t="inlineStr">
        <is>
          <t>Fiji</t>
        </is>
      </c>
      <c r="B3266" t="inlineStr">
        <is>
          <t>FJI</t>
        </is>
      </c>
      <c r="C3266" t="n">
        <v>2013</v>
      </c>
      <c r="D3266" t="n">
        <v>2.91354193604001</v>
      </c>
    </row>
    <row r="3267">
      <c r="A3267" t="inlineStr">
        <is>
          <t>Fiji</t>
        </is>
      </c>
      <c r="B3267" t="inlineStr">
        <is>
          <t>FJI</t>
        </is>
      </c>
      <c r="C3267" t="n">
        <v>2014</v>
      </c>
      <c r="D3267" t="n">
        <v>0.519306474579194</v>
      </c>
    </row>
    <row r="3268">
      <c r="A3268" t="inlineStr">
        <is>
          <t>Fiji</t>
        </is>
      </c>
      <c r="B3268" t="inlineStr">
        <is>
          <t>FJI</t>
        </is>
      </c>
      <c r="C3268" t="n">
        <v>2015</v>
      </c>
      <c r="D3268" t="n">
        <v>1.37488542621438</v>
      </c>
    </row>
    <row r="3269">
      <c r="A3269" t="inlineStr">
        <is>
          <t>Fiji</t>
        </is>
      </c>
      <c r="B3269" t="inlineStr">
        <is>
          <t>FJI</t>
        </is>
      </c>
      <c r="C3269" t="n">
        <v>2016</v>
      </c>
      <c r="D3269" t="n">
        <v>3.86322538221269</v>
      </c>
    </row>
    <row r="3270">
      <c r="A3270" t="inlineStr">
        <is>
          <t>Fiji</t>
        </is>
      </c>
      <c r="B3270" t="inlineStr">
        <is>
          <t>FJI</t>
        </is>
      </c>
      <c r="C3270" t="n">
        <v>2017</v>
      </c>
      <c r="D3270" t="n">
        <v>3.3475783475784</v>
      </c>
    </row>
    <row r="3271">
      <c r="A3271" t="inlineStr">
        <is>
          <t>Fiji</t>
        </is>
      </c>
      <c r="B3271" t="inlineStr">
        <is>
          <t>FJI</t>
        </is>
      </c>
      <c r="C3271" t="n">
        <v>2018</v>
      </c>
      <c r="D3271" t="n">
        <v>4.08147637644526</v>
      </c>
    </row>
    <row r="3272">
      <c r="A3272" t="inlineStr">
        <is>
          <t>Fiji</t>
        </is>
      </c>
      <c r="B3272" t="inlineStr">
        <is>
          <t>FJI</t>
        </is>
      </c>
      <c r="C3272" t="n">
        <v>2019</v>
      </c>
      <c r="D3272" t="n">
        <v>1.77310182460282</v>
      </c>
    </row>
    <row r="3273">
      <c r="A3273" t="inlineStr">
        <is>
          <t>Fiji</t>
        </is>
      </c>
      <c r="B3273" t="inlineStr">
        <is>
          <t>FJI</t>
        </is>
      </c>
      <c r="C3273" t="n">
        <v>2020</v>
      </c>
      <c r="D3273" t="n">
        <v>-2.5952432588738</v>
      </c>
    </row>
    <row r="3274">
      <c r="A3274" t="inlineStr">
        <is>
          <t>Fiji</t>
        </is>
      </c>
      <c r="B3274" t="inlineStr">
        <is>
          <t>FJI</t>
        </is>
      </c>
      <c r="C3274" t="n">
        <v>2021</v>
      </c>
      <c r="D3274" t="n">
        <v>0.155855722131516</v>
      </c>
    </row>
    <row r="3275">
      <c r="A3275" t="inlineStr">
        <is>
          <t>Fiji</t>
        </is>
      </c>
      <c r="B3275" t="inlineStr">
        <is>
          <t>FJI</t>
        </is>
      </c>
      <c r="C3275" t="n">
        <v>2022</v>
      </c>
      <c r="D3275" t="n">
        <v>4.52019266394958</v>
      </c>
    </row>
    <row r="3276">
      <c r="A3276" t="inlineStr">
        <is>
          <t>Fiji</t>
        </is>
      </c>
      <c r="B3276" t="inlineStr">
        <is>
          <t>FJI</t>
        </is>
      </c>
      <c r="C3276" t="n">
        <v>2023</v>
      </c>
      <c r="D3276" t="n">
        <v>2.14817440623896</v>
      </c>
    </row>
    <row r="3277">
      <c r="A3277" t="inlineStr">
        <is>
          <t>France</t>
        </is>
      </c>
      <c r="B3277" t="inlineStr">
        <is>
          <t>FRA</t>
        </is>
      </c>
      <c r="C3277" t="n">
        <v>1960</v>
      </c>
      <c r="D3277" t="n">
        <v>4.13993575518437</v>
      </c>
    </row>
    <row r="3278">
      <c r="A3278" t="inlineStr">
        <is>
          <t>France</t>
        </is>
      </c>
      <c r="B3278" t="inlineStr">
        <is>
          <t>FRA</t>
        </is>
      </c>
      <c r="C3278" t="n">
        <v>1961</v>
      </c>
      <c r="D3278" t="n">
        <v>2.40046104546321</v>
      </c>
    </row>
    <row r="3279">
      <c r="A3279" t="inlineStr">
        <is>
          <t>France</t>
        </is>
      </c>
      <c r="B3279" t="inlineStr">
        <is>
          <t>FRA</t>
        </is>
      </c>
      <c r="C3279" t="n">
        <v>1962</v>
      </c>
      <c r="D3279" t="n">
        <v>5.33128007065639</v>
      </c>
    </row>
    <row r="3280">
      <c r="A3280" t="inlineStr">
        <is>
          <t>France</t>
        </is>
      </c>
      <c r="B3280" t="inlineStr">
        <is>
          <t>FRA</t>
        </is>
      </c>
      <c r="C3280" t="n">
        <v>1963</v>
      </c>
      <c r="D3280" t="n">
        <v>4.99915289796841</v>
      </c>
    </row>
    <row r="3281">
      <c r="A3281" t="inlineStr">
        <is>
          <t>France</t>
        </is>
      </c>
      <c r="B3281" t="inlineStr">
        <is>
          <t>FRA</t>
        </is>
      </c>
      <c r="C3281" t="n">
        <v>1964</v>
      </c>
      <c r="D3281" t="n">
        <v>3.21119170293105</v>
      </c>
    </row>
    <row r="3282">
      <c r="A3282" t="inlineStr">
        <is>
          <t>France</t>
        </is>
      </c>
      <c r="B3282" t="inlineStr">
        <is>
          <t>FRA</t>
        </is>
      </c>
      <c r="C3282" t="n">
        <v>1965</v>
      </c>
      <c r="D3282" t="n">
        <v>2.70310455873084</v>
      </c>
    </row>
    <row r="3283">
      <c r="A3283" t="inlineStr">
        <is>
          <t>France</t>
        </is>
      </c>
      <c r="B3283" t="inlineStr">
        <is>
          <t>FRA</t>
        </is>
      </c>
      <c r="C3283" t="n">
        <v>1966</v>
      </c>
      <c r="D3283" t="n">
        <v>2.60200076636444</v>
      </c>
    </row>
    <row r="3284">
      <c r="A3284" t="inlineStr">
        <is>
          <t>France</t>
        </is>
      </c>
      <c r="B3284" t="inlineStr">
        <is>
          <t>FRA</t>
        </is>
      </c>
      <c r="C3284" t="n">
        <v>1967</v>
      </c>
      <c r="D3284" t="n">
        <v>2.7917770943515</v>
      </c>
    </row>
    <row r="3285">
      <c r="A3285" t="inlineStr">
        <is>
          <t>France</t>
        </is>
      </c>
      <c r="B3285" t="inlineStr">
        <is>
          <t>FRA</t>
        </is>
      </c>
      <c r="C3285" t="n">
        <v>1968</v>
      </c>
      <c r="D3285" t="n">
        <v>4.54320486402014</v>
      </c>
    </row>
    <row r="3286">
      <c r="A3286" t="inlineStr">
        <is>
          <t>France</t>
        </is>
      </c>
      <c r="B3286" t="inlineStr">
        <is>
          <t>FRA</t>
        </is>
      </c>
      <c r="C3286" t="n">
        <v>1969</v>
      </c>
      <c r="D3286" t="n">
        <v>6.04596284173893</v>
      </c>
    </row>
    <row r="3287">
      <c r="A3287" t="inlineStr">
        <is>
          <t>France</t>
        </is>
      </c>
      <c r="B3287" t="inlineStr">
        <is>
          <t>FRA</t>
        </is>
      </c>
      <c r="C3287" t="n">
        <v>1970</v>
      </c>
      <c r="D3287" t="n">
        <v>5.29964124562675</v>
      </c>
    </row>
    <row r="3288">
      <c r="A3288" t="inlineStr">
        <is>
          <t>France</t>
        </is>
      </c>
      <c r="B3288" t="inlineStr">
        <is>
          <t>FRA</t>
        </is>
      </c>
      <c r="C3288" t="n">
        <v>1971</v>
      </c>
      <c r="D3288" t="n">
        <v>5.39751865595105</v>
      </c>
    </row>
    <row r="3289">
      <c r="A3289" t="inlineStr">
        <is>
          <t>France</t>
        </is>
      </c>
      <c r="B3289" t="inlineStr">
        <is>
          <t>FRA</t>
        </is>
      </c>
      <c r="C3289" t="n">
        <v>1972</v>
      </c>
      <c r="D3289" t="n">
        <v>6.06300309718187</v>
      </c>
    </row>
    <row r="3290">
      <c r="A3290" t="inlineStr">
        <is>
          <t>France</t>
        </is>
      </c>
      <c r="B3290" t="inlineStr">
        <is>
          <t>FRA</t>
        </is>
      </c>
      <c r="C3290" t="n">
        <v>1973</v>
      </c>
      <c r="D3290" t="n">
        <v>7.38060106398912</v>
      </c>
    </row>
    <row r="3291">
      <c r="A3291" t="inlineStr">
        <is>
          <t>France</t>
        </is>
      </c>
      <c r="B3291" t="inlineStr">
        <is>
          <t>FRA</t>
        </is>
      </c>
      <c r="C3291" t="n">
        <v>1974</v>
      </c>
      <c r="D3291" t="n">
        <v>13.6493174728139</v>
      </c>
    </row>
    <row r="3292">
      <c r="A3292" t="inlineStr">
        <is>
          <t>France</t>
        </is>
      </c>
      <c r="B3292" t="inlineStr">
        <is>
          <t>FRA</t>
        </is>
      </c>
      <c r="C3292" t="n">
        <v>1975</v>
      </c>
      <c r="D3292" t="n">
        <v>11.6859272493228</v>
      </c>
    </row>
    <row r="3293">
      <c r="A3293" t="inlineStr">
        <is>
          <t>France</t>
        </is>
      </c>
      <c r="B3293" t="inlineStr">
        <is>
          <t>FRA</t>
        </is>
      </c>
      <c r="C3293" t="n">
        <v>1976</v>
      </c>
      <c r="D3293" t="n">
        <v>9.625495781555291</v>
      </c>
    </row>
    <row r="3294">
      <c r="A3294" t="inlineStr">
        <is>
          <t>France</t>
        </is>
      </c>
      <c r="B3294" t="inlineStr">
        <is>
          <t>FRA</t>
        </is>
      </c>
      <c r="C3294" t="n">
        <v>1977</v>
      </c>
      <c r="D3294" t="n">
        <v>9.494554671904339</v>
      </c>
    </row>
    <row r="3295">
      <c r="A3295" t="inlineStr">
        <is>
          <t>France</t>
        </is>
      </c>
      <c r="B3295" t="inlineStr">
        <is>
          <t>FRA</t>
        </is>
      </c>
      <c r="C3295" t="n">
        <v>1978</v>
      </c>
      <c r="D3295" t="n">
        <v>9.2505584672443</v>
      </c>
    </row>
    <row r="3296">
      <c r="A3296" t="inlineStr">
        <is>
          <t>France</t>
        </is>
      </c>
      <c r="B3296" t="inlineStr">
        <is>
          <t>FRA</t>
        </is>
      </c>
      <c r="C3296" t="n">
        <v>1979</v>
      </c>
      <c r="D3296" t="n">
        <v>10.6467341716664</v>
      </c>
    </row>
    <row r="3297">
      <c r="A3297" t="inlineStr">
        <is>
          <t>France</t>
        </is>
      </c>
      <c r="B3297" t="inlineStr">
        <is>
          <t>FRA</t>
        </is>
      </c>
      <c r="C3297" t="n">
        <v>1980</v>
      </c>
      <c r="D3297" t="n">
        <v>13.5625788483016</v>
      </c>
    </row>
    <row r="3298">
      <c r="A3298" t="inlineStr">
        <is>
          <t>France</t>
        </is>
      </c>
      <c r="B3298" t="inlineStr">
        <is>
          <t>FRA</t>
        </is>
      </c>
      <c r="C3298" t="n">
        <v>1981</v>
      </c>
      <c r="D3298" t="n">
        <v>13.3144055680071</v>
      </c>
    </row>
    <row r="3299">
      <c r="A3299" t="inlineStr">
        <is>
          <t>France</t>
        </is>
      </c>
      <c r="B3299" t="inlineStr">
        <is>
          <t>FRA</t>
        </is>
      </c>
      <c r="C3299" t="n">
        <v>1982</v>
      </c>
      <c r="D3299" t="n">
        <v>11.9784719523806</v>
      </c>
    </row>
    <row r="3300">
      <c r="A3300" t="inlineStr">
        <is>
          <t>France</t>
        </is>
      </c>
      <c r="B3300" t="inlineStr">
        <is>
          <t>FRA</t>
        </is>
      </c>
      <c r="C3300" t="n">
        <v>1983</v>
      </c>
      <c r="D3300" t="n">
        <v>9.45954847235318</v>
      </c>
    </row>
    <row r="3301">
      <c r="A3301" t="inlineStr">
        <is>
          <t>France</t>
        </is>
      </c>
      <c r="B3301" t="inlineStr">
        <is>
          <t>FRA</t>
        </is>
      </c>
      <c r="C3301" t="n">
        <v>1984</v>
      </c>
      <c r="D3301" t="n">
        <v>7.67380262247321</v>
      </c>
    </row>
    <row r="3302">
      <c r="A3302" t="inlineStr">
        <is>
          <t>France</t>
        </is>
      </c>
      <c r="B3302" t="inlineStr">
        <is>
          <t>FRA</t>
        </is>
      </c>
      <c r="C3302" t="n">
        <v>1985</v>
      </c>
      <c r="D3302" t="n">
        <v>5.83109973854516</v>
      </c>
    </row>
    <row r="3303">
      <c r="A3303" t="inlineStr">
        <is>
          <t>France</t>
        </is>
      </c>
      <c r="B3303" t="inlineStr">
        <is>
          <t>FRA</t>
        </is>
      </c>
      <c r="C3303" t="n">
        <v>1986</v>
      </c>
      <c r="D3303" t="n">
        <v>2.53852591781417</v>
      </c>
    </row>
    <row r="3304">
      <c r="A3304" t="inlineStr">
        <is>
          <t>France</t>
        </is>
      </c>
      <c r="B3304" t="inlineStr">
        <is>
          <t>FRA</t>
        </is>
      </c>
      <c r="C3304" t="n">
        <v>1987</v>
      </c>
      <c r="D3304" t="n">
        <v>3.28889821400133</v>
      </c>
    </row>
    <row r="3305">
      <c r="A3305" t="inlineStr">
        <is>
          <t>France</t>
        </is>
      </c>
      <c r="B3305" t="inlineStr">
        <is>
          <t>FRA</t>
        </is>
      </c>
      <c r="C3305" t="n">
        <v>1988</v>
      </c>
      <c r="D3305" t="n">
        <v>2.70081527508113</v>
      </c>
    </row>
    <row r="3306">
      <c r="A3306" t="inlineStr">
        <is>
          <t>France</t>
        </is>
      </c>
      <c r="B3306" t="inlineStr">
        <is>
          <t>FRA</t>
        </is>
      </c>
      <c r="C3306" t="n">
        <v>1989</v>
      </c>
      <c r="D3306" t="n">
        <v>3.49830220700749</v>
      </c>
    </row>
    <row r="3307">
      <c r="A3307" t="inlineStr">
        <is>
          <t>France</t>
        </is>
      </c>
      <c r="B3307" t="inlineStr">
        <is>
          <t>FRA</t>
        </is>
      </c>
      <c r="C3307" t="n">
        <v>1990</v>
      </c>
      <c r="D3307" t="n">
        <v>3.19428338029475</v>
      </c>
    </row>
    <row r="3308">
      <c r="A3308" t="inlineStr">
        <is>
          <t>France</t>
        </is>
      </c>
      <c r="B3308" t="inlineStr">
        <is>
          <t>FRA</t>
        </is>
      </c>
      <c r="C3308" t="n">
        <v>1991</v>
      </c>
      <c r="D3308" t="n">
        <v>3.21340732409687</v>
      </c>
    </row>
    <row r="3309">
      <c r="A3309" t="inlineStr">
        <is>
          <t>France</t>
        </is>
      </c>
      <c r="B3309" t="inlineStr">
        <is>
          <t>FRA</t>
        </is>
      </c>
      <c r="C3309" t="n">
        <v>1992</v>
      </c>
      <c r="D3309" t="n">
        <v>2.36376046269353</v>
      </c>
    </row>
    <row r="3310">
      <c r="A3310" t="inlineStr">
        <is>
          <t>France</t>
        </is>
      </c>
      <c r="B3310" t="inlineStr">
        <is>
          <t>FRA</t>
        </is>
      </c>
      <c r="C3310" t="n">
        <v>1993</v>
      </c>
      <c r="D3310" t="n">
        <v>2.10446277124644</v>
      </c>
    </row>
    <row r="3311">
      <c r="A3311" t="inlineStr">
        <is>
          <t>France</t>
        </is>
      </c>
      <c r="B3311" t="inlineStr">
        <is>
          <t>FRA</t>
        </is>
      </c>
      <c r="C3311" t="n">
        <v>1994</v>
      </c>
      <c r="D3311" t="n">
        <v>1.65551532926993</v>
      </c>
    </row>
    <row r="3312">
      <c r="A3312" t="inlineStr">
        <is>
          <t>France</t>
        </is>
      </c>
      <c r="B3312" t="inlineStr">
        <is>
          <t>FRA</t>
        </is>
      </c>
      <c r="C3312" t="n">
        <v>1995</v>
      </c>
      <c r="D3312" t="n">
        <v>1.79648142095595</v>
      </c>
    </row>
    <row r="3313">
      <c r="A3313" t="inlineStr">
        <is>
          <t>France</t>
        </is>
      </c>
      <c r="B3313" t="inlineStr">
        <is>
          <t>FRA</t>
        </is>
      </c>
      <c r="C3313" t="n">
        <v>1996</v>
      </c>
      <c r="D3313" t="n">
        <v>1.98288365089738</v>
      </c>
    </row>
    <row r="3314">
      <c r="A3314" t="inlineStr">
        <is>
          <t>France</t>
        </is>
      </c>
      <c r="B3314" t="inlineStr">
        <is>
          <t>FRA</t>
        </is>
      </c>
      <c r="C3314" t="n">
        <v>1997</v>
      </c>
      <c r="D3314" t="n">
        <v>1.20394294026962</v>
      </c>
    </row>
    <row r="3315">
      <c r="A3315" t="inlineStr">
        <is>
          <t>France</t>
        </is>
      </c>
      <c r="B3315" t="inlineStr">
        <is>
          <t>FRA</t>
        </is>
      </c>
      <c r="C3315" t="n">
        <v>1998</v>
      </c>
      <c r="D3315" t="n">
        <v>0.651126867833049</v>
      </c>
    </row>
    <row r="3316">
      <c r="A3316" t="inlineStr">
        <is>
          <t>France</t>
        </is>
      </c>
      <c r="B3316" t="inlineStr">
        <is>
          <t>FRA</t>
        </is>
      </c>
      <c r="C3316" t="n">
        <v>1999</v>
      </c>
      <c r="D3316" t="n">
        <v>0.537141639134645</v>
      </c>
    </row>
    <row r="3317">
      <c r="A3317" t="inlineStr">
        <is>
          <t>France</t>
        </is>
      </c>
      <c r="B3317" t="inlineStr">
        <is>
          <t>FRA</t>
        </is>
      </c>
      <c r="C3317" t="n">
        <v>2000</v>
      </c>
      <c r="D3317" t="n">
        <v>1.67595988720927</v>
      </c>
    </row>
    <row r="3318">
      <c r="A3318" t="inlineStr">
        <is>
          <t>France</t>
        </is>
      </c>
      <c r="B3318" t="inlineStr">
        <is>
          <t>FRA</t>
        </is>
      </c>
      <c r="C3318" t="n">
        <v>2001</v>
      </c>
      <c r="D3318" t="n">
        <v>1.63478079549601</v>
      </c>
    </row>
    <row r="3319">
      <c r="A3319" t="inlineStr">
        <is>
          <t>France</t>
        </is>
      </c>
      <c r="B3319" t="inlineStr">
        <is>
          <t>FRA</t>
        </is>
      </c>
      <c r="C3319" t="n">
        <v>2002</v>
      </c>
      <c r="D3319" t="n">
        <v>1.9234122872706</v>
      </c>
    </row>
    <row r="3320">
      <c r="A3320" t="inlineStr">
        <is>
          <t>France</t>
        </is>
      </c>
      <c r="B3320" t="inlineStr">
        <is>
          <t>FRA</t>
        </is>
      </c>
      <c r="C3320" t="n">
        <v>2003</v>
      </c>
      <c r="D3320" t="n">
        <v>2.09847219146923</v>
      </c>
    </row>
    <row r="3321">
      <c r="A3321" t="inlineStr">
        <is>
          <t>France</t>
        </is>
      </c>
      <c r="B3321" t="inlineStr">
        <is>
          <t>FRA</t>
        </is>
      </c>
      <c r="C3321" t="n">
        <v>2004</v>
      </c>
      <c r="D3321" t="n">
        <v>2.14208964640241</v>
      </c>
    </row>
    <row r="3322">
      <c r="A3322" t="inlineStr">
        <is>
          <t>France</t>
        </is>
      </c>
      <c r="B3322" t="inlineStr">
        <is>
          <t>FRA</t>
        </is>
      </c>
      <c r="C3322" t="n">
        <v>2005</v>
      </c>
      <c r="D3322" t="n">
        <v>1.74586936380482</v>
      </c>
    </row>
    <row r="3323">
      <c r="A3323" t="inlineStr">
        <is>
          <t>France</t>
        </is>
      </c>
      <c r="B3323" t="inlineStr">
        <is>
          <t>FRA</t>
        </is>
      </c>
      <c r="C3323" t="n">
        <v>2006</v>
      </c>
      <c r="D3323" t="n">
        <v>1.67512449608723</v>
      </c>
    </row>
    <row r="3324">
      <c r="A3324" t="inlineStr">
        <is>
          <t>France</t>
        </is>
      </c>
      <c r="B3324" t="inlineStr">
        <is>
          <t>FRA</t>
        </is>
      </c>
      <c r="C3324" t="n">
        <v>2007</v>
      </c>
      <c r="D3324" t="n">
        <v>1.4879980595386</v>
      </c>
    </row>
    <row r="3325">
      <c r="A3325" t="inlineStr">
        <is>
          <t>France</t>
        </is>
      </c>
      <c r="B3325" t="inlineStr">
        <is>
          <t>FRA</t>
        </is>
      </c>
      <c r="C3325" t="n">
        <v>2008</v>
      </c>
      <c r="D3325" t="n">
        <v>2.81286194914787</v>
      </c>
    </row>
    <row r="3326">
      <c r="A3326" t="inlineStr">
        <is>
          <t>France</t>
        </is>
      </c>
      <c r="B3326" t="inlineStr">
        <is>
          <t>FRA</t>
        </is>
      </c>
      <c r="C3326" t="n">
        <v>2009</v>
      </c>
      <c r="D3326" t="n">
        <v>0.0876204781574552</v>
      </c>
    </row>
    <row r="3327">
      <c r="A3327" t="inlineStr">
        <is>
          <t>France</t>
        </is>
      </c>
      <c r="B3327" t="inlineStr">
        <is>
          <t>FRA</t>
        </is>
      </c>
      <c r="C3327" t="n">
        <v>2010</v>
      </c>
      <c r="D3327" t="n">
        <v>1.53112270420926</v>
      </c>
    </row>
    <row r="3328">
      <c r="A3328" t="inlineStr">
        <is>
          <t>France</t>
        </is>
      </c>
      <c r="B3328" t="inlineStr">
        <is>
          <t>FRA</t>
        </is>
      </c>
      <c r="C3328" t="n">
        <v>2011</v>
      </c>
      <c r="D3328" t="n">
        <v>2.11159795174994</v>
      </c>
    </row>
    <row r="3329">
      <c r="A3329" t="inlineStr">
        <is>
          <t>France</t>
        </is>
      </c>
      <c r="B3329" t="inlineStr">
        <is>
          <t>FRA</t>
        </is>
      </c>
      <c r="C3329" t="n">
        <v>2012</v>
      </c>
      <c r="D3329" t="n">
        <v>1.9541953161351</v>
      </c>
    </row>
    <row r="3330">
      <c r="A3330" t="inlineStr">
        <is>
          <t>France</t>
        </is>
      </c>
      <c r="B3330" t="inlineStr">
        <is>
          <t>FRA</t>
        </is>
      </c>
      <c r="C3330" t="n">
        <v>2013</v>
      </c>
      <c r="D3330" t="n">
        <v>0.863715497861805</v>
      </c>
    </row>
    <row r="3331">
      <c r="A3331" t="inlineStr">
        <is>
          <t>France</t>
        </is>
      </c>
      <c r="B3331" t="inlineStr">
        <is>
          <t>FRA</t>
        </is>
      </c>
      <c r="C3331" t="n">
        <v>2014</v>
      </c>
      <c r="D3331" t="n">
        <v>0.50775882293799</v>
      </c>
    </row>
    <row r="3332">
      <c r="A3332" t="inlineStr">
        <is>
          <t>France</t>
        </is>
      </c>
      <c r="B3332" t="inlineStr">
        <is>
          <t>FRA</t>
        </is>
      </c>
      <c r="C3332" t="n">
        <v>2015</v>
      </c>
      <c r="D3332" t="n">
        <v>0.0375143805125182</v>
      </c>
    </row>
    <row r="3333">
      <c r="A3333" t="inlineStr">
        <is>
          <t>France</t>
        </is>
      </c>
      <c r="B3333" t="inlineStr">
        <is>
          <t>FRA</t>
        </is>
      </c>
      <c r="C3333" t="n">
        <v>2016</v>
      </c>
      <c r="D3333" t="n">
        <v>0.18333486112386</v>
      </c>
    </row>
    <row r="3334">
      <c r="A3334" t="inlineStr">
        <is>
          <t>France</t>
        </is>
      </c>
      <c r="B3334" t="inlineStr">
        <is>
          <t>FRA</t>
        </is>
      </c>
      <c r="C3334" t="n">
        <v>2017</v>
      </c>
      <c r="D3334" t="n">
        <v>1.03228275064662</v>
      </c>
    </row>
    <row r="3335">
      <c r="A3335" t="inlineStr">
        <is>
          <t>France</t>
        </is>
      </c>
      <c r="B3335" t="inlineStr">
        <is>
          <t>FRA</t>
        </is>
      </c>
      <c r="C3335" t="n">
        <v>2018</v>
      </c>
      <c r="D3335" t="n">
        <v>1.85081508315502</v>
      </c>
    </row>
    <row r="3336">
      <c r="A3336" t="inlineStr">
        <is>
          <t>France</t>
        </is>
      </c>
      <c r="B3336" t="inlineStr">
        <is>
          <t>FRA</t>
        </is>
      </c>
      <c r="C3336" t="n">
        <v>2019</v>
      </c>
      <c r="D3336" t="n">
        <v>1.10825492288294</v>
      </c>
    </row>
    <row r="3337">
      <c r="A3337" t="inlineStr">
        <is>
          <t>France</t>
        </is>
      </c>
      <c r="B3337" t="inlineStr">
        <is>
          <t>FRA</t>
        </is>
      </c>
      <c r="C3337" t="n">
        <v>2020</v>
      </c>
      <c r="D3337" t="n">
        <v>0.476498852725066</v>
      </c>
    </row>
    <row r="3338">
      <c r="A3338" t="inlineStr">
        <is>
          <t>France</t>
        </is>
      </c>
      <c r="B3338" t="inlineStr">
        <is>
          <t>FRA</t>
        </is>
      </c>
      <c r="C3338" t="n">
        <v>2021</v>
      </c>
      <c r="D3338" t="n">
        <v>1.64233141038385</v>
      </c>
    </row>
    <row r="3339">
      <c r="A3339" t="inlineStr">
        <is>
          <t>France</t>
        </is>
      </c>
      <c r="B3339" t="inlineStr">
        <is>
          <t>FRA</t>
        </is>
      </c>
      <c r="C3339" t="n">
        <v>2022</v>
      </c>
      <c r="D3339" t="n">
        <v>5.22236748369735</v>
      </c>
    </row>
    <row r="3340">
      <c r="A3340" t="inlineStr">
        <is>
          <t>France</t>
        </is>
      </c>
      <c r="B3340" t="inlineStr">
        <is>
          <t>FRA</t>
        </is>
      </c>
      <c r="C3340" t="n">
        <v>2023</v>
      </c>
      <c r="D3340" t="n">
        <v>4.87835726508441</v>
      </c>
    </row>
    <row r="3341">
      <c r="A3341" t="inlineStr">
        <is>
          <t>France</t>
        </is>
      </c>
      <c r="B3341" t="inlineStr">
        <is>
          <t>FRA</t>
        </is>
      </c>
      <c r="C3341" t="n">
        <v>2024</v>
      </c>
      <c r="D3341" t="n">
        <v>1.99904942291463</v>
      </c>
    </row>
    <row r="3342">
      <c r="A3342" t="inlineStr">
        <is>
          <t>Micronesia, Fed. Sts.</t>
        </is>
      </c>
      <c r="B3342" t="inlineStr">
        <is>
          <t>FSM</t>
        </is>
      </c>
      <c r="C3342" t="n">
        <v>2000</v>
      </c>
      <c r="D3342" t="n">
        <v>2.15851810619419</v>
      </c>
    </row>
    <row r="3343">
      <c r="A3343" t="inlineStr">
        <is>
          <t>Micronesia, Fed. Sts.</t>
        </is>
      </c>
      <c r="B3343" t="inlineStr">
        <is>
          <t>FSM</t>
        </is>
      </c>
      <c r="C3343" t="n">
        <v>2001</v>
      </c>
      <c r="D3343" t="n">
        <v>0.502497351294027</v>
      </c>
    </row>
    <row r="3344">
      <c r="A3344" t="inlineStr">
        <is>
          <t>Micronesia, Fed. Sts.</t>
        </is>
      </c>
      <c r="B3344" t="inlineStr">
        <is>
          <t>FSM</t>
        </is>
      </c>
      <c r="C3344" t="n">
        <v>2002</v>
      </c>
      <c r="D3344" t="n">
        <v>-0.111442426432945</v>
      </c>
    </row>
    <row r="3345">
      <c r="A3345" t="inlineStr">
        <is>
          <t>Micronesia, Fed. Sts.</t>
        </is>
      </c>
      <c r="B3345" t="inlineStr">
        <is>
          <t>FSM</t>
        </is>
      </c>
      <c r="C3345" t="n">
        <v>2003</v>
      </c>
      <c r="D3345" t="n">
        <v>0.126643348208903</v>
      </c>
    </row>
    <row r="3346">
      <c r="A3346" t="inlineStr">
        <is>
          <t>Micronesia, Fed. Sts.</t>
        </is>
      </c>
      <c r="B3346" t="inlineStr">
        <is>
          <t>FSM</t>
        </is>
      </c>
      <c r="C3346" t="n">
        <v>2004</v>
      </c>
      <c r="D3346" t="n">
        <v>2.27669698247304</v>
      </c>
    </row>
    <row r="3347">
      <c r="A3347" t="inlineStr">
        <is>
          <t>Micronesia, Fed. Sts.</t>
        </is>
      </c>
      <c r="B3347" t="inlineStr">
        <is>
          <t>FSM</t>
        </is>
      </c>
      <c r="C3347" t="n">
        <v>2005</v>
      </c>
      <c r="D3347" t="n">
        <v>4.25769978210942</v>
      </c>
    </row>
    <row r="3348">
      <c r="A3348" t="inlineStr">
        <is>
          <t>Micronesia, Fed. Sts.</t>
        </is>
      </c>
      <c r="B3348" t="inlineStr">
        <is>
          <t>FSM</t>
        </is>
      </c>
      <c r="C3348" t="n">
        <v>2006</v>
      </c>
      <c r="D3348" t="n">
        <v>4.63737008585635</v>
      </c>
    </row>
    <row r="3349">
      <c r="A3349" t="inlineStr">
        <is>
          <t>Micronesia, Fed. Sts.</t>
        </is>
      </c>
      <c r="B3349" t="inlineStr">
        <is>
          <t>FSM</t>
        </is>
      </c>
      <c r="C3349" t="n">
        <v>2007</v>
      </c>
      <c r="D3349" t="n">
        <v>3.30634278002699</v>
      </c>
    </row>
    <row r="3350">
      <c r="A3350" t="inlineStr">
        <is>
          <t>Micronesia, Fed. Sts.</t>
        </is>
      </c>
      <c r="B3350" t="inlineStr">
        <is>
          <t>FSM</t>
        </is>
      </c>
      <c r="C3350" t="n">
        <v>2008</v>
      </c>
      <c r="D3350" t="n">
        <v>8.423725662461861</v>
      </c>
    </row>
    <row r="3351">
      <c r="A3351" t="inlineStr">
        <is>
          <t>Micronesia, Fed. Sts.</t>
        </is>
      </c>
      <c r="B3351" t="inlineStr">
        <is>
          <t>FSM</t>
        </is>
      </c>
      <c r="C3351" t="n">
        <v>2009</v>
      </c>
      <c r="D3351" t="n">
        <v>6.39360257735201</v>
      </c>
    </row>
    <row r="3352">
      <c r="A3352" t="inlineStr">
        <is>
          <t>Micronesia, Fed. Sts.</t>
        </is>
      </c>
      <c r="B3352" t="inlineStr">
        <is>
          <t>FSM</t>
        </is>
      </c>
      <c r="C3352" t="n">
        <v>2010</v>
      </c>
      <c r="D3352" t="n">
        <v>3.31370963136217</v>
      </c>
    </row>
    <row r="3353">
      <c r="A3353" t="inlineStr">
        <is>
          <t>Micronesia, Fed. Sts.</t>
        </is>
      </c>
      <c r="B3353" t="inlineStr">
        <is>
          <t>FSM</t>
        </is>
      </c>
      <c r="C3353" t="n">
        <v>2011</v>
      </c>
      <c r="D3353" t="n">
        <v>5.08259403890371</v>
      </c>
    </row>
    <row r="3354">
      <c r="A3354" t="inlineStr">
        <is>
          <t>Micronesia, Fed. Sts.</t>
        </is>
      </c>
      <c r="B3354" t="inlineStr">
        <is>
          <t>FSM</t>
        </is>
      </c>
      <c r="C3354" t="n">
        <v>2012</v>
      </c>
      <c r="D3354" t="n">
        <v>5.01850353045616</v>
      </c>
    </row>
    <row r="3355">
      <c r="A3355" t="inlineStr">
        <is>
          <t>Micronesia, Fed. Sts.</t>
        </is>
      </c>
      <c r="B3355" t="inlineStr">
        <is>
          <t>FSM</t>
        </is>
      </c>
      <c r="C3355" t="n">
        <v>2013</v>
      </c>
      <c r="D3355" t="n">
        <v>1.75232737350762</v>
      </c>
    </row>
    <row r="3356">
      <c r="A3356" t="inlineStr">
        <is>
          <t>Micronesia, Fed. Sts.</t>
        </is>
      </c>
      <c r="B3356" t="inlineStr">
        <is>
          <t>FSM</t>
        </is>
      </c>
      <c r="C3356" t="n">
        <v>2014</v>
      </c>
      <c r="D3356" t="n">
        <v>0.650284891767944</v>
      </c>
    </row>
    <row r="3357">
      <c r="A3357" t="inlineStr">
        <is>
          <t>Micronesia, Fed. Sts.</t>
        </is>
      </c>
      <c r="B3357" t="inlineStr">
        <is>
          <t>FSM</t>
        </is>
      </c>
      <c r="C3357" t="n">
        <v>2015</v>
      </c>
      <c r="D3357" t="n">
        <v>-0.2981158373807</v>
      </c>
    </row>
    <row r="3358">
      <c r="A3358" t="inlineStr">
        <is>
          <t>Micronesia, Fed. Sts.</t>
        </is>
      </c>
      <c r="B3358" t="inlineStr">
        <is>
          <t>FSM</t>
        </is>
      </c>
      <c r="C3358" t="n">
        <v>2016</v>
      </c>
      <c r="D3358" t="n">
        <v>-1.03746806405349</v>
      </c>
    </row>
    <row r="3359">
      <c r="A3359" t="inlineStr">
        <is>
          <t>Micronesia, Fed. Sts.</t>
        </is>
      </c>
      <c r="B3359" t="inlineStr">
        <is>
          <t>FSM</t>
        </is>
      </c>
      <c r="C3359" t="n">
        <v>2017</v>
      </c>
      <c r="D3359" t="n">
        <v>0.58225373525489</v>
      </c>
    </row>
    <row r="3360">
      <c r="A3360" t="inlineStr">
        <is>
          <t>Micronesia, Fed. Sts.</t>
        </is>
      </c>
      <c r="B3360" t="inlineStr">
        <is>
          <t>FSM</t>
        </is>
      </c>
      <c r="C3360" t="n">
        <v>2018</v>
      </c>
      <c r="D3360" t="n">
        <v>1.49840023593737</v>
      </c>
    </row>
    <row r="3361">
      <c r="A3361" t="inlineStr">
        <is>
          <t>Micronesia, Fed. Sts.</t>
        </is>
      </c>
      <c r="B3361" t="inlineStr">
        <is>
          <t>FSM</t>
        </is>
      </c>
      <c r="C3361" t="n">
        <v>2019</v>
      </c>
      <c r="D3361" t="n">
        <v>1.92385170787923</v>
      </c>
    </row>
    <row r="3362">
      <c r="A3362" t="inlineStr">
        <is>
          <t>Micronesia, Fed. Sts.</t>
        </is>
      </c>
      <c r="B3362" t="inlineStr">
        <is>
          <t>FSM</t>
        </is>
      </c>
      <c r="C3362" t="n">
        <v>2020</v>
      </c>
      <c r="D3362" t="n">
        <v>0.554594630853174</v>
      </c>
    </row>
    <row r="3363">
      <c r="A3363" t="inlineStr">
        <is>
          <t>Micronesia, Fed. Sts.</t>
        </is>
      </c>
      <c r="B3363" t="inlineStr">
        <is>
          <t>FSM</t>
        </is>
      </c>
      <c r="C3363" t="n">
        <v>2021</v>
      </c>
      <c r="D3363" t="n">
        <v>3.19128406597466</v>
      </c>
    </row>
    <row r="3364">
      <c r="A3364" t="inlineStr">
        <is>
          <t>Micronesia, Fed. Sts.</t>
        </is>
      </c>
      <c r="B3364" t="inlineStr">
        <is>
          <t>FSM</t>
        </is>
      </c>
      <c r="C3364" t="n">
        <v>2022</v>
      </c>
      <c r="D3364" t="n">
        <v>5.40874375479067</v>
      </c>
    </row>
    <row r="3365">
      <c r="A3365" t="inlineStr">
        <is>
          <t>Gabon</t>
        </is>
      </c>
      <c r="B3365" t="inlineStr">
        <is>
          <t>GAB</t>
        </is>
      </c>
      <c r="C3365" t="n">
        <v>1963</v>
      </c>
      <c r="D3365" t="n">
        <v>7.15833333249996</v>
      </c>
    </row>
    <row r="3366">
      <c r="A3366" t="inlineStr">
        <is>
          <t>Gabon</t>
        </is>
      </c>
      <c r="B3366" t="inlineStr">
        <is>
          <t>GAB</t>
        </is>
      </c>
      <c r="C3366" t="n">
        <v>1964</v>
      </c>
      <c r="D3366" t="n">
        <v>3.3284081190083</v>
      </c>
    </row>
    <row r="3367">
      <c r="A3367" t="inlineStr">
        <is>
          <t>Gabon</t>
        </is>
      </c>
      <c r="B3367" t="inlineStr">
        <is>
          <t>GAB</t>
        </is>
      </c>
      <c r="C3367" t="n">
        <v>1965</v>
      </c>
      <c r="D3367" t="n">
        <v>2.43847369595919</v>
      </c>
    </row>
    <row r="3368">
      <c r="A3368" t="inlineStr">
        <is>
          <t>Gabon</t>
        </is>
      </c>
      <c r="B3368" t="inlineStr">
        <is>
          <t>GAB</t>
        </is>
      </c>
      <c r="C3368" t="n">
        <v>1966</v>
      </c>
      <c r="D3368" t="n">
        <v>3.64411138096769</v>
      </c>
    </row>
    <row r="3369">
      <c r="A3369" t="inlineStr">
        <is>
          <t>Gabon</t>
        </is>
      </c>
      <c r="B3369" t="inlineStr">
        <is>
          <t>GAB</t>
        </is>
      </c>
      <c r="C3369" t="n">
        <v>1967</v>
      </c>
      <c r="D3369" t="n">
        <v>1.97774154682666</v>
      </c>
    </row>
    <row r="3370">
      <c r="A3370" t="inlineStr">
        <is>
          <t>Gabon</t>
        </is>
      </c>
      <c r="B3370" t="inlineStr">
        <is>
          <t>GAB</t>
        </is>
      </c>
      <c r="C3370" t="n">
        <v>1968</v>
      </c>
      <c r="D3370" t="n">
        <v>2.33560405929839</v>
      </c>
    </row>
    <row r="3371">
      <c r="A3371" t="inlineStr">
        <is>
          <t>Gabon</t>
        </is>
      </c>
      <c r="B3371" t="inlineStr">
        <is>
          <t>GAB</t>
        </is>
      </c>
      <c r="C3371" t="n">
        <v>1969</v>
      </c>
      <c r="D3371" t="n">
        <v>2.9751392473965</v>
      </c>
    </row>
    <row r="3372">
      <c r="A3372" t="inlineStr">
        <is>
          <t>Gabon</t>
        </is>
      </c>
      <c r="B3372" t="inlineStr">
        <is>
          <t>GAB</t>
        </is>
      </c>
      <c r="C3372" t="n">
        <v>1970</v>
      </c>
      <c r="D3372" t="n">
        <v>3.8126649076679</v>
      </c>
    </row>
    <row r="3373">
      <c r="A3373" t="inlineStr">
        <is>
          <t>Gabon</t>
        </is>
      </c>
      <c r="B3373" t="inlineStr">
        <is>
          <t>GAB</t>
        </is>
      </c>
      <c r="C3373" t="n">
        <v>1971</v>
      </c>
      <c r="D3373" t="n">
        <v>3.86326089701576</v>
      </c>
    </row>
    <row r="3374">
      <c r="A3374" t="inlineStr">
        <is>
          <t>Gabon</t>
        </is>
      </c>
      <c r="B3374" t="inlineStr">
        <is>
          <t>GAB</t>
        </is>
      </c>
      <c r="C3374" t="n">
        <v>1972</v>
      </c>
      <c r="D3374" t="n">
        <v>3.4870916434787</v>
      </c>
    </row>
    <row r="3375">
      <c r="A3375" t="inlineStr">
        <is>
          <t>Gabon</t>
        </is>
      </c>
      <c r="B3375" t="inlineStr">
        <is>
          <t>GAB</t>
        </is>
      </c>
      <c r="C3375" t="n">
        <v>1973</v>
      </c>
      <c r="D3375" t="n">
        <v>6.20714116814339</v>
      </c>
    </row>
    <row r="3376">
      <c r="A3376" t="inlineStr">
        <is>
          <t>Gabon</t>
        </is>
      </c>
      <c r="B3376" t="inlineStr">
        <is>
          <t>GAB</t>
        </is>
      </c>
      <c r="C3376" t="n">
        <v>1974</v>
      </c>
      <c r="D3376" t="n">
        <v>12.0728041856619</v>
      </c>
    </row>
    <row r="3377">
      <c r="A3377" t="inlineStr">
        <is>
          <t>Gabon</t>
        </is>
      </c>
      <c r="B3377" t="inlineStr">
        <is>
          <t>GAB</t>
        </is>
      </c>
      <c r="C3377" t="n">
        <v>1975</v>
      </c>
      <c r="D3377" t="n">
        <v>28.4529426372338</v>
      </c>
    </row>
    <row r="3378">
      <c r="A3378" t="inlineStr">
        <is>
          <t>Gabon</t>
        </is>
      </c>
      <c r="B3378" t="inlineStr">
        <is>
          <t>GAB</t>
        </is>
      </c>
      <c r="C3378" t="n">
        <v>1976</v>
      </c>
      <c r="D3378" t="n">
        <v>20.1715644639721</v>
      </c>
    </row>
    <row r="3379">
      <c r="A3379" t="inlineStr">
        <is>
          <t>Gabon</t>
        </is>
      </c>
      <c r="B3379" t="inlineStr">
        <is>
          <t>GAB</t>
        </is>
      </c>
      <c r="C3379" t="n">
        <v>1977</v>
      </c>
      <c r="D3379" t="n">
        <v>13.8525690862841</v>
      </c>
    </row>
    <row r="3380">
      <c r="A3380" t="inlineStr">
        <is>
          <t>Gabon</t>
        </is>
      </c>
      <c r="B3380" t="inlineStr">
        <is>
          <t>GAB</t>
        </is>
      </c>
      <c r="C3380" t="n">
        <v>1978</v>
      </c>
      <c r="D3380" t="n">
        <v>10.7641690976807</v>
      </c>
    </row>
    <row r="3381">
      <c r="A3381" t="inlineStr">
        <is>
          <t>Gabon</t>
        </is>
      </c>
      <c r="B3381" t="inlineStr">
        <is>
          <t>GAB</t>
        </is>
      </c>
      <c r="C3381" t="n">
        <v>1979</v>
      </c>
      <c r="D3381" t="n">
        <v>7.95269853751444</v>
      </c>
    </row>
    <row r="3382">
      <c r="A3382" t="inlineStr">
        <is>
          <t>Gabon</t>
        </is>
      </c>
      <c r="B3382" t="inlineStr">
        <is>
          <t>GAB</t>
        </is>
      </c>
      <c r="C3382" t="n">
        <v>1980</v>
      </c>
      <c r="D3382" t="n">
        <v>12.3403592565602</v>
      </c>
    </row>
    <row r="3383">
      <c r="A3383" t="inlineStr">
        <is>
          <t>Gabon</t>
        </is>
      </c>
      <c r="B3383" t="inlineStr">
        <is>
          <t>GAB</t>
        </is>
      </c>
      <c r="C3383" t="n">
        <v>1981</v>
      </c>
      <c r="D3383" t="n">
        <v>8.706502148930049</v>
      </c>
    </row>
    <row r="3384">
      <c r="A3384" t="inlineStr">
        <is>
          <t>Gabon</t>
        </is>
      </c>
      <c r="B3384" t="inlineStr">
        <is>
          <t>GAB</t>
        </is>
      </c>
      <c r="C3384" t="n">
        <v>1982</v>
      </c>
      <c r="D3384" t="n">
        <v>16.6857968797492</v>
      </c>
    </row>
    <row r="3385">
      <c r="A3385" t="inlineStr">
        <is>
          <t>Gabon</t>
        </is>
      </c>
      <c r="B3385" t="inlineStr">
        <is>
          <t>GAB</t>
        </is>
      </c>
      <c r="C3385" t="n">
        <v>1983</v>
      </c>
      <c r="D3385" t="n">
        <v>10.6719367588934</v>
      </c>
    </row>
    <row r="3386">
      <c r="A3386" t="inlineStr">
        <is>
          <t>Gabon</t>
        </is>
      </c>
      <c r="B3386" t="inlineStr">
        <is>
          <t>GAB</t>
        </is>
      </c>
      <c r="C3386" t="n">
        <v>1984</v>
      </c>
      <c r="D3386" t="n">
        <v>5.85714285714295</v>
      </c>
    </row>
    <row r="3387">
      <c r="A3387" t="inlineStr">
        <is>
          <t>Gabon</t>
        </is>
      </c>
      <c r="B3387" t="inlineStr">
        <is>
          <t>GAB</t>
        </is>
      </c>
      <c r="C3387" t="n">
        <v>1985</v>
      </c>
      <c r="D3387" t="n">
        <v>7.3549257759783</v>
      </c>
    </row>
    <row r="3388">
      <c r="A3388" t="inlineStr">
        <is>
          <t>Gabon</t>
        </is>
      </c>
      <c r="B3388" t="inlineStr">
        <is>
          <t>GAB</t>
        </is>
      </c>
      <c r="C3388" t="n">
        <v>1986</v>
      </c>
      <c r="D3388" t="n">
        <v>6.28535512256451</v>
      </c>
    </row>
    <row r="3389">
      <c r="A3389" t="inlineStr">
        <is>
          <t>Gabon</t>
        </is>
      </c>
      <c r="B3389" t="inlineStr">
        <is>
          <t>GAB</t>
        </is>
      </c>
      <c r="C3389" t="n">
        <v>1987</v>
      </c>
      <c r="D3389" t="n">
        <v>-0.9461856889414409</v>
      </c>
    </row>
    <row r="3390">
      <c r="A3390" t="inlineStr">
        <is>
          <t>Gabon</t>
        </is>
      </c>
      <c r="B3390" t="inlineStr">
        <is>
          <t>GAB</t>
        </is>
      </c>
      <c r="C3390" t="n">
        <v>1988</v>
      </c>
      <c r="D3390" t="n">
        <v>-8.77611940298511</v>
      </c>
    </row>
    <row r="3391">
      <c r="A3391" t="inlineStr">
        <is>
          <t>Gabon</t>
        </is>
      </c>
      <c r="B3391" t="inlineStr">
        <is>
          <t>GAB</t>
        </is>
      </c>
      <c r="C3391" t="n">
        <v>1989</v>
      </c>
      <c r="D3391" t="n">
        <v>6.74083769633498</v>
      </c>
    </row>
    <row r="3392">
      <c r="A3392" t="inlineStr">
        <is>
          <t>Gabon</t>
        </is>
      </c>
      <c r="B3392" t="inlineStr">
        <is>
          <t>GAB</t>
        </is>
      </c>
      <c r="C3392" t="n">
        <v>1990</v>
      </c>
      <c r="D3392" t="n">
        <v>7.72532188841208</v>
      </c>
    </row>
    <row r="3393">
      <c r="A3393" t="inlineStr">
        <is>
          <t>Gabon</t>
        </is>
      </c>
      <c r="B3393" t="inlineStr">
        <is>
          <t>GAB</t>
        </is>
      </c>
      <c r="C3393" t="n">
        <v>1991</v>
      </c>
      <c r="D3393" t="n">
        <v>-11.6861126920888</v>
      </c>
    </row>
    <row r="3394">
      <c r="A3394" t="inlineStr">
        <is>
          <t>Gabon</t>
        </is>
      </c>
      <c r="B3394" t="inlineStr">
        <is>
          <t>GAB</t>
        </is>
      </c>
      <c r="C3394" t="n">
        <v>1992</v>
      </c>
      <c r="D3394" t="n">
        <v>-9.542913303365751</v>
      </c>
    </row>
    <row r="3395">
      <c r="A3395" t="inlineStr">
        <is>
          <t>Gabon</t>
        </is>
      </c>
      <c r="B3395" t="inlineStr">
        <is>
          <t>GAB</t>
        </is>
      </c>
      <c r="C3395" t="n">
        <v>1993</v>
      </c>
      <c r="D3395" t="n">
        <v>0.533746556474191</v>
      </c>
    </row>
    <row r="3396">
      <c r="A3396" t="inlineStr">
        <is>
          <t>Gabon</t>
        </is>
      </c>
      <c r="B3396" t="inlineStr">
        <is>
          <t>GAB</t>
        </is>
      </c>
      <c r="C3396" t="n">
        <v>1994</v>
      </c>
      <c r="D3396" t="n">
        <v>36.1162456962985</v>
      </c>
    </row>
    <row r="3397">
      <c r="A3397" t="inlineStr">
        <is>
          <t>Gabon</t>
        </is>
      </c>
      <c r="B3397" t="inlineStr">
        <is>
          <t>GAB</t>
        </is>
      </c>
      <c r="C3397" t="n">
        <v>1995</v>
      </c>
      <c r="D3397" t="n">
        <v>9.646531040796161</v>
      </c>
    </row>
    <row r="3398">
      <c r="A3398" t="inlineStr">
        <is>
          <t>Gabon</t>
        </is>
      </c>
      <c r="B3398" t="inlineStr">
        <is>
          <t>GAB</t>
        </is>
      </c>
      <c r="C3398" t="n">
        <v>1996</v>
      </c>
      <c r="D3398" t="n">
        <v>0.689693377281638</v>
      </c>
    </row>
    <row r="3399">
      <c r="A3399" t="inlineStr">
        <is>
          <t>Gabon</t>
        </is>
      </c>
      <c r="B3399" t="inlineStr">
        <is>
          <t>GAB</t>
        </is>
      </c>
      <c r="C3399" t="n">
        <v>1997</v>
      </c>
      <c r="D3399" t="n">
        <v>3.973450075453</v>
      </c>
    </row>
    <row r="3400">
      <c r="A3400" t="inlineStr">
        <is>
          <t>Gabon</t>
        </is>
      </c>
      <c r="B3400" t="inlineStr">
        <is>
          <t>GAB</t>
        </is>
      </c>
      <c r="C3400" t="n">
        <v>1998</v>
      </c>
      <c r="D3400" t="n">
        <v>1.44873854294598</v>
      </c>
    </row>
    <row r="3401">
      <c r="A3401" t="inlineStr">
        <is>
          <t>Gabon</t>
        </is>
      </c>
      <c r="B3401" t="inlineStr">
        <is>
          <t>GAB</t>
        </is>
      </c>
      <c r="C3401" t="n">
        <v>1999</v>
      </c>
      <c r="D3401" t="n">
        <v>-1.93660397603626</v>
      </c>
    </row>
    <row r="3402">
      <c r="A3402" t="inlineStr">
        <is>
          <t>Gabon</t>
        </is>
      </c>
      <c r="B3402" t="inlineStr">
        <is>
          <t>GAB</t>
        </is>
      </c>
      <c r="C3402" t="n">
        <v>2000</v>
      </c>
      <c r="D3402" t="n">
        <v>0.504920025834859</v>
      </c>
    </row>
    <row r="3403">
      <c r="A3403" t="inlineStr">
        <is>
          <t>Gabon</t>
        </is>
      </c>
      <c r="B3403" t="inlineStr">
        <is>
          <t>GAB</t>
        </is>
      </c>
      <c r="C3403" t="n">
        <v>2001</v>
      </c>
      <c r="D3403" t="n">
        <v>2.13762052701465</v>
      </c>
    </row>
    <row r="3404">
      <c r="A3404" t="inlineStr">
        <is>
          <t>Gabon</t>
        </is>
      </c>
      <c r="B3404" t="inlineStr">
        <is>
          <t>GAB</t>
        </is>
      </c>
      <c r="C3404" t="n">
        <v>2002</v>
      </c>
      <c r="D3404" t="n">
        <v>0.0366828893971394</v>
      </c>
    </row>
    <row r="3405">
      <c r="A3405" t="inlineStr">
        <is>
          <t>Gabon</t>
        </is>
      </c>
      <c r="B3405" t="inlineStr">
        <is>
          <t>GAB</t>
        </is>
      </c>
      <c r="C3405" t="n">
        <v>2003</v>
      </c>
      <c r="D3405" t="n">
        <v>2.23535313551536</v>
      </c>
    </row>
    <row r="3406">
      <c r="A3406" t="inlineStr">
        <is>
          <t>Gabon</t>
        </is>
      </c>
      <c r="B3406" t="inlineStr">
        <is>
          <t>GAB</t>
        </is>
      </c>
      <c r="C3406" t="n">
        <v>2004</v>
      </c>
      <c r="D3406" t="n">
        <v>0.40820530743925</v>
      </c>
    </row>
    <row r="3407">
      <c r="A3407" t="inlineStr">
        <is>
          <t>Gabon</t>
        </is>
      </c>
      <c r="B3407" t="inlineStr">
        <is>
          <t>GAB</t>
        </is>
      </c>
      <c r="C3407" t="n">
        <v>2005</v>
      </c>
      <c r="D3407" t="n">
        <v>3.70833333333304</v>
      </c>
    </row>
    <row r="3408">
      <c r="A3408" t="inlineStr">
        <is>
          <t>Gabon</t>
        </is>
      </c>
      <c r="B3408" t="inlineStr">
        <is>
          <t>GAB</t>
        </is>
      </c>
      <c r="C3408" t="n">
        <v>2006</v>
      </c>
      <c r="D3408" t="n">
        <v>-1.4094013660098</v>
      </c>
    </row>
    <row r="3409">
      <c r="A3409" t="inlineStr">
        <is>
          <t>Gabon</t>
        </is>
      </c>
      <c r="B3409" t="inlineStr">
        <is>
          <t>GAB</t>
        </is>
      </c>
      <c r="C3409" t="n">
        <v>2007</v>
      </c>
      <c r="D3409" t="n">
        <v>5.03031883679951</v>
      </c>
    </row>
    <row r="3410">
      <c r="A3410" t="inlineStr">
        <is>
          <t>Gabon</t>
        </is>
      </c>
      <c r="B3410" t="inlineStr">
        <is>
          <t>GAB</t>
        </is>
      </c>
      <c r="C3410" t="n">
        <v>2008</v>
      </c>
      <c r="D3410" t="n">
        <v>5.26430145575285</v>
      </c>
    </row>
    <row r="3411">
      <c r="A3411" t="inlineStr">
        <is>
          <t>Gabon</t>
        </is>
      </c>
      <c r="B3411" t="inlineStr">
        <is>
          <t>GAB</t>
        </is>
      </c>
      <c r="C3411" t="n">
        <v>2009</v>
      </c>
      <c r="D3411" t="n">
        <v>1.88570754577918</v>
      </c>
    </row>
    <row r="3412">
      <c r="A3412" t="inlineStr">
        <is>
          <t>Gabon</t>
        </is>
      </c>
      <c r="B3412" t="inlineStr">
        <is>
          <t>GAB</t>
        </is>
      </c>
      <c r="C3412" t="n">
        <v>2010</v>
      </c>
      <c r="D3412" t="n">
        <v>1.46154402720469</v>
      </c>
    </row>
    <row r="3413">
      <c r="A3413" t="inlineStr">
        <is>
          <t>Gabon</t>
        </is>
      </c>
      <c r="B3413" t="inlineStr">
        <is>
          <t>GAB</t>
        </is>
      </c>
      <c r="C3413" t="n">
        <v>2011</v>
      </c>
      <c r="D3413" t="n">
        <v>1.26331707837421</v>
      </c>
    </row>
    <row r="3414">
      <c r="A3414" t="inlineStr">
        <is>
          <t>Gabon</t>
        </is>
      </c>
      <c r="B3414" t="inlineStr">
        <is>
          <t>GAB</t>
        </is>
      </c>
      <c r="C3414" t="n">
        <v>2012</v>
      </c>
      <c r="D3414" t="n">
        <v>2.65241828695626</v>
      </c>
    </row>
    <row r="3415">
      <c r="A3415" t="inlineStr">
        <is>
          <t>Gabon</t>
        </is>
      </c>
      <c r="B3415" t="inlineStr">
        <is>
          <t>GAB</t>
        </is>
      </c>
      <c r="C3415" t="n">
        <v>2013</v>
      </c>
      <c r="D3415" t="n">
        <v>0.505441058915615</v>
      </c>
    </row>
    <row r="3416">
      <c r="A3416" t="inlineStr">
        <is>
          <t>Gabon</t>
        </is>
      </c>
      <c r="B3416" t="inlineStr">
        <is>
          <t>GAB</t>
        </is>
      </c>
      <c r="C3416" t="n">
        <v>2014</v>
      </c>
      <c r="D3416" t="n">
        <v>4.69045751826284</v>
      </c>
    </row>
    <row r="3417">
      <c r="A3417" t="inlineStr">
        <is>
          <t>Gabon</t>
        </is>
      </c>
      <c r="B3417" t="inlineStr">
        <is>
          <t>GAB</t>
        </is>
      </c>
      <c r="C3417" t="n">
        <v>2015</v>
      </c>
      <c r="D3417" t="n">
        <v>-0.338795188753406</v>
      </c>
    </row>
    <row r="3418">
      <c r="A3418" t="inlineStr">
        <is>
          <t>Gabon</t>
        </is>
      </c>
      <c r="B3418" t="inlineStr">
        <is>
          <t>GAB</t>
        </is>
      </c>
      <c r="C3418" t="n">
        <v>2016</v>
      </c>
      <c r="D3418" t="n">
        <v>2.10670712784054</v>
      </c>
    </row>
    <row r="3419">
      <c r="A3419" t="inlineStr">
        <is>
          <t>Gabon</t>
        </is>
      </c>
      <c r="B3419" t="inlineStr">
        <is>
          <t>GAB</t>
        </is>
      </c>
      <c r="C3419" t="n">
        <v>2017</v>
      </c>
      <c r="D3419" t="n">
        <v>2.65192583143902</v>
      </c>
    </row>
    <row r="3420">
      <c r="A3420" t="inlineStr">
        <is>
          <t>Gabon</t>
        </is>
      </c>
      <c r="B3420" t="inlineStr">
        <is>
          <t>GAB</t>
        </is>
      </c>
      <c r="C3420" t="n">
        <v>2018</v>
      </c>
      <c r="D3420" t="n">
        <v>4.74906652083221</v>
      </c>
    </row>
    <row r="3421">
      <c r="A3421" t="inlineStr">
        <is>
          <t>Gabon</t>
        </is>
      </c>
      <c r="B3421" t="inlineStr">
        <is>
          <t>GAB</t>
        </is>
      </c>
      <c r="C3421" t="n">
        <v>2019</v>
      </c>
      <c r="D3421" t="n">
        <v>2.46456756151187</v>
      </c>
    </row>
    <row r="3422">
      <c r="A3422" t="inlineStr">
        <is>
          <t>Gabon</t>
        </is>
      </c>
      <c r="B3422" t="inlineStr">
        <is>
          <t>GAB</t>
        </is>
      </c>
      <c r="C3422" t="n">
        <v>2020</v>
      </c>
      <c r="D3422" t="n">
        <v>1.35276110675333</v>
      </c>
    </row>
    <row r="3423">
      <c r="A3423" t="inlineStr">
        <is>
          <t>Gabon</t>
        </is>
      </c>
      <c r="B3423" t="inlineStr">
        <is>
          <t>GAB</t>
        </is>
      </c>
      <c r="C3423" t="n">
        <v>2021</v>
      </c>
      <c r="D3423" t="n">
        <v>1.0869074651941</v>
      </c>
    </row>
    <row r="3424">
      <c r="A3424" t="inlineStr">
        <is>
          <t>Gabon</t>
        </is>
      </c>
      <c r="B3424" t="inlineStr">
        <is>
          <t>GAB</t>
        </is>
      </c>
      <c r="C3424" t="n">
        <v>2022</v>
      </c>
      <c r="D3424" t="n">
        <v>4.23124798274579</v>
      </c>
    </row>
    <row r="3425">
      <c r="A3425" t="inlineStr">
        <is>
          <t>Gabon</t>
        </is>
      </c>
      <c r="B3425" t="inlineStr">
        <is>
          <t>GAB</t>
        </is>
      </c>
      <c r="C3425" t="n">
        <v>2023</v>
      </c>
      <c r="D3425" t="n">
        <v>3.62901534185376</v>
      </c>
    </row>
    <row r="3426">
      <c r="A3426" t="inlineStr">
        <is>
          <t>Gabon</t>
        </is>
      </c>
      <c r="B3426" t="inlineStr">
        <is>
          <t>GAB</t>
        </is>
      </c>
      <c r="C3426" t="n">
        <v>2024</v>
      </c>
      <c r="D3426" t="n">
        <v>1.17311998381218</v>
      </c>
    </row>
    <row r="3427">
      <c r="A3427" t="inlineStr">
        <is>
          <t>United Kingdom</t>
        </is>
      </c>
      <c r="B3427" t="inlineStr">
        <is>
          <t>GBR</t>
        </is>
      </c>
      <c r="C3427" t="n">
        <v>1960</v>
      </c>
      <c r="D3427" t="n">
        <v>1.00357570390172</v>
      </c>
    </row>
    <row r="3428">
      <c r="A3428" t="inlineStr">
        <is>
          <t>United Kingdom</t>
        </is>
      </c>
      <c r="B3428" t="inlineStr">
        <is>
          <t>GBR</t>
        </is>
      </c>
      <c r="C3428" t="n">
        <v>1961</v>
      </c>
      <c r="D3428" t="n">
        <v>3.4474962304662</v>
      </c>
    </row>
    <row r="3429">
      <c r="A3429" t="inlineStr">
        <is>
          <t>United Kingdom</t>
        </is>
      </c>
      <c r="B3429" t="inlineStr">
        <is>
          <t>GBR</t>
        </is>
      </c>
      <c r="C3429" t="n">
        <v>1962</v>
      </c>
      <c r="D3429" t="n">
        <v>4.19649888238551</v>
      </c>
    </row>
    <row r="3430">
      <c r="A3430" t="inlineStr">
        <is>
          <t>United Kingdom</t>
        </is>
      </c>
      <c r="B3430" t="inlineStr">
        <is>
          <t>GBR</t>
        </is>
      </c>
      <c r="C3430" t="n">
        <v>1963</v>
      </c>
      <c r="D3430" t="n">
        <v>2.01854355976229</v>
      </c>
    </row>
    <row r="3431">
      <c r="A3431" t="inlineStr">
        <is>
          <t>United Kingdom</t>
        </is>
      </c>
      <c r="B3431" t="inlineStr">
        <is>
          <t>GBR</t>
        </is>
      </c>
      <c r="C3431" t="n">
        <v>1964</v>
      </c>
      <c r="D3431" t="n">
        <v>3.28158694697213</v>
      </c>
    </row>
    <row r="3432">
      <c r="A3432" t="inlineStr">
        <is>
          <t>United Kingdom</t>
        </is>
      </c>
      <c r="B3432" t="inlineStr">
        <is>
          <t>GBR</t>
        </is>
      </c>
      <c r="C3432" t="n">
        <v>1965</v>
      </c>
      <c r="D3432" t="n">
        <v>4.77377455386914</v>
      </c>
    </row>
    <row r="3433">
      <c r="A3433" t="inlineStr">
        <is>
          <t>United Kingdom</t>
        </is>
      </c>
      <c r="B3433" t="inlineStr">
        <is>
          <t>GBR</t>
        </is>
      </c>
      <c r="C3433" t="n">
        <v>1966</v>
      </c>
      <c r="D3433" t="n">
        <v>3.90961779211889</v>
      </c>
    </row>
    <row r="3434">
      <c r="A3434" t="inlineStr">
        <is>
          <t>United Kingdom</t>
        </is>
      </c>
      <c r="B3434" t="inlineStr">
        <is>
          <t>GBR</t>
        </is>
      </c>
      <c r="C3434" t="n">
        <v>1967</v>
      </c>
      <c r="D3434" t="n">
        <v>2.48211560474804</v>
      </c>
    </row>
    <row r="3435">
      <c r="A3435" t="inlineStr">
        <is>
          <t>United Kingdom</t>
        </is>
      </c>
      <c r="B3435" t="inlineStr">
        <is>
          <t>GBR</t>
        </is>
      </c>
      <c r="C3435" t="n">
        <v>1968</v>
      </c>
      <c r="D3435" t="n">
        <v>4.69742798827245</v>
      </c>
    </row>
    <row r="3436">
      <c r="A3436" t="inlineStr">
        <is>
          <t>United Kingdom</t>
        </is>
      </c>
      <c r="B3436" t="inlineStr">
        <is>
          <t>GBR</t>
        </is>
      </c>
      <c r="C3436" t="n">
        <v>1969</v>
      </c>
      <c r="D3436" t="n">
        <v>5.44666363048887</v>
      </c>
    </row>
    <row r="3437">
      <c r="A3437" t="inlineStr">
        <is>
          <t>United Kingdom</t>
        </is>
      </c>
      <c r="B3437" t="inlineStr">
        <is>
          <t>GBR</t>
        </is>
      </c>
      <c r="C3437" t="n">
        <v>1970</v>
      </c>
      <c r="D3437" t="n">
        <v>6.36656841727441</v>
      </c>
    </row>
    <row r="3438">
      <c r="A3438" t="inlineStr">
        <is>
          <t>United Kingdom</t>
        </is>
      </c>
      <c r="B3438" t="inlineStr">
        <is>
          <t>GBR</t>
        </is>
      </c>
      <c r="C3438" t="n">
        <v>1971</v>
      </c>
      <c r="D3438" t="n">
        <v>9.444837423371331</v>
      </c>
    </row>
    <row r="3439">
      <c r="A3439" t="inlineStr">
        <is>
          <t>United Kingdom</t>
        </is>
      </c>
      <c r="B3439" t="inlineStr">
        <is>
          <t>GBR</t>
        </is>
      </c>
      <c r="C3439" t="n">
        <v>1972</v>
      </c>
      <c r="D3439" t="n">
        <v>7.07109839479797</v>
      </c>
    </row>
    <row r="3440">
      <c r="A3440" t="inlineStr">
        <is>
          <t>United Kingdom</t>
        </is>
      </c>
      <c r="B3440" t="inlineStr">
        <is>
          <t>GBR</t>
        </is>
      </c>
      <c r="C3440" t="n">
        <v>1973</v>
      </c>
      <c r="D3440" t="n">
        <v>9.19603316657812</v>
      </c>
    </row>
    <row r="3441">
      <c r="A3441" t="inlineStr">
        <is>
          <t>United Kingdom</t>
        </is>
      </c>
      <c r="B3441" t="inlineStr">
        <is>
          <t>GBR</t>
        </is>
      </c>
      <c r="C3441" t="n">
        <v>1974</v>
      </c>
      <c r="D3441" t="n">
        <v>16.0440111889861</v>
      </c>
    </row>
    <row r="3442">
      <c r="A3442" t="inlineStr">
        <is>
          <t>United Kingdom</t>
        </is>
      </c>
      <c r="B3442" t="inlineStr">
        <is>
          <t>GBR</t>
        </is>
      </c>
      <c r="C3442" t="n">
        <v>1975</v>
      </c>
      <c r="D3442" t="n">
        <v>24.2072876743291</v>
      </c>
    </row>
    <row r="3443">
      <c r="A3443" t="inlineStr">
        <is>
          <t>United Kingdom</t>
        </is>
      </c>
      <c r="B3443" t="inlineStr">
        <is>
          <t>GBR</t>
        </is>
      </c>
      <c r="C3443" t="n">
        <v>1976</v>
      </c>
      <c r="D3443" t="n">
        <v>16.5595225588084</v>
      </c>
    </row>
    <row r="3444">
      <c r="A3444" t="inlineStr">
        <is>
          <t>United Kingdom</t>
        </is>
      </c>
      <c r="B3444" t="inlineStr">
        <is>
          <t>GBR</t>
        </is>
      </c>
      <c r="C3444" t="n">
        <v>1977</v>
      </c>
      <c r="D3444" t="n">
        <v>15.8402667458768</v>
      </c>
    </row>
    <row r="3445">
      <c r="A3445" t="inlineStr">
        <is>
          <t>United Kingdom</t>
        </is>
      </c>
      <c r="B3445" t="inlineStr">
        <is>
          <t>GBR</t>
        </is>
      </c>
      <c r="C3445" t="n">
        <v>1978</v>
      </c>
      <c r="D3445" t="n">
        <v>8.26314103860768</v>
      </c>
    </row>
    <row r="3446">
      <c r="A3446" t="inlineStr">
        <is>
          <t>United Kingdom</t>
        </is>
      </c>
      <c r="B3446" t="inlineStr">
        <is>
          <t>GBR</t>
        </is>
      </c>
      <c r="C3446" t="n">
        <v>1979</v>
      </c>
      <c r="D3446" t="n">
        <v>13.4212799774012</v>
      </c>
    </row>
    <row r="3447">
      <c r="A3447" t="inlineStr">
        <is>
          <t>United Kingdom</t>
        </is>
      </c>
      <c r="B3447" t="inlineStr">
        <is>
          <t>GBR</t>
        </is>
      </c>
      <c r="C3447" t="n">
        <v>1980</v>
      </c>
      <c r="D3447" t="n">
        <v>17.9659242656857</v>
      </c>
    </row>
    <row r="3448">
      <c r="A3448" t="inlineStr">
        <is>
          <t>United Kingdom</t>
        </is>
      </c>
      <c r="B3448" t="inlineStr">
        <is>
          <t>GBR</t>
        </is>
      </c>
      <c r="C3448" t="n">
        <v>1981</v>
      </c>
      <c r="D3448" t="n">
        <v>11.8766265142296</v>
      </c>
    </row>
    <row r="3449">
      <c r="A3449" t="inlineStr">
        <is>
          <t>United Kingdom</t>
        </is>
      </c>
      <c r="B3449" t="inlineStr">
        <is>
          <t>GBR</t>
        </is>
      </c>
      <c r="C3449" t="n">
        <v>1982</v>
      </c>
      <c r="D3449" t="n">
        <v>8.598863833321859</v>
      </c>
    </row>
    <row r="3450">
      <c r="A3450" t="inlineStr">
        <is>
          <t>United Kingdom</t>
        </is>
      </c>
      <c r="B3450" t="inlineStr">
        <is>
          <t>GBR</t>
        </is>
      </c>
      <c r="C3450" t="n">
        <v>1983</v>
      </c>
      <c r="D3450" t="n">
        <v>4.60930327269779</v>
      </c>
    </row>
    <row r="3451">
      <c r="A3451" t="inlineStr">
        <is>
          <t>United Kingdom</t>
        </is>
      </c>
      <c r="B3451" t="inlineStr">
        <is>
          <t>GBR</t>
        </is>
      </c>
      <c r="C3451" t="n">
        <v>1984</v>
      </c>
      <c r="D3451" t="n">
        <v>4.96071097821927</v>
      </c>
    </row>
    <row r="3452">
      <c r="A3452" t="inlineStr">
        <is>
          <t>United Kingdom</t>
        </is>
      </c>
      <c r="B3452" t="inlineStr">
        <is>
          <t>GBR</t>
        </is>
      </c>
      <c r="C3452" t="n">
        <v>1985</v>
      </c>
      <c r="D3452" t="n">
        <v>6.07139434015119</v>
      </c>
    </row>
    <row r="3453">
      <c r="A3453" t="inlineStr">
        <is>
          <t>United Kingdom</t>
        </is>
      </c>
      <c r="B3453" t="inlineStr">
        <is>
          <t>GBR</t>
        </is>
      </c>
      <c r="C3453" t="n">
        <v>1986</v>
      </c>
      <c r="D3453" t="n">
        <v>3.42760940369314</v>
      </c>
    </row>
    <row r="3454">
      <c r="A3454" t="inlineStr">
        <is>
          <t>United Kingdom</t>
        </is>
      </c>
      <c r="B3454" t="inlineStr">
        <is>
          <t>GBR</t>
        </is>
      </c>
      <c r="C3454" t="n">
        <v>1987</v>
      </c>
      <c r="D3454" t="n">
        <v>4.14892232052945</v>
      </c>
    </row>
    <row r="3455">
      <c r="A3455" t="inlineStr">
        <is>
          <t>United Kingdom</t>
        </is>
      </c>
      <c r="B3455" t="inlineStr">
        <is>
          <t>GBR</t>
        </is>
      </c>
      <c r="C3455" t="n">
        <v>1988</v>
      </c>
      <c r="D3455" t="n">
        <v>4.15535171583102</v>
      </c>
    </row>
    <row r="3456">
      <c r="A3456" t="inlineStr">
        <is>
          <t>United Kingdom</t>
        </is>
      </c>
      <c r="B3456" t="inlineStr">
        <is>
          <t>GBR</t>
        </is>
      </c>
      <c r="C3456" t="n">
        <v>1989</v>
      </c>
      <c r="D3456" t="n">
        <v>5.76024909185262</v>
      </c>
    </row>
    <row r="3457">
      <c r="A3457" t="inlineStr">
        <is>
          <t>United Kingdom</t>
        </is>
      </c>
      <c r="B3457" t="inlineStr">
        <is>
          <t>GBR</t>
        </is>
      </c>
      <c r="C3457" t="n">
        <v>1990</v>
      </c>
      <c r="D3457" t="n">
        <v>8.063460909388329</v>
      </c>
    </row>
    <row r="3458">
      <c r="A3458" t="inlineStr">
        <is>
          <t>United Kingdom</t>
        </is>
      </c>
      <c r="B3458" t="inlineStr">
        <is>
          <t>GBR</t>
        </is>
      </c>
      <c r="C3458" t="n">
        <v>1991</v>
      </c>
      <c r="D3458" t="n">
        <v>7.46178295746934</v>
      </c>
    </row>
    <row r="3459">
      <c r="A3459" t="inlineStr">
        <is>
          <t>United Kingdom</t>
        </is>
      </c>
      <c r="B3459" t="inlineStr">
        <is>
          <t>GBR</t>
        </is>
      </c>
      <c r="C3459" t="n">
        <v>1992</v>
      </c>
      <c r="D3459" t="n">
        <v>4.59154929577461</v>
      </c>
    </row>
    <row r="3460">
      <c r="A3460" t="inlineStr">
        <is>
          <t>United Kingdom</t>
        </is>
      </c>
      <c r="B3460" t="inlineStr">
        <is>
          <t>GBR</t>
        </is>
      </c>
      <c r="C3460" t="n">
        <v>1993</v>
      </c>
      <c r="D3460" t="n">
        <v>2.55857796929705</v>
      </c>
    </row>
    <row r="3461">
      <c r="A3461" t="inlineStr">
        <is>
          <t>United Kingdom</t>
        </is>
      </c>
      <c r="B3461" t="inlineStr">
        <is>
          <t>GBR</t>
        </is>
      </c>
      <c r="C3461" t="n">
        <v>1994</v>
      </c>
      <c r="D3461" t="n">
        <v>2.21901260504205</v>
      </c>
    </row>
    <row r="3462">
      <c r="A3462" t="inlineStr">
        <is>
          <t>United Kingdom</t>
        </is>
      </c>
      <c r="B3462" t="inlineStr">
        <is>
          <t>GBR</t>
        </is>
      </c>
      <c r="C3462" t="n">
        <v>1995</v>
      </c>
      <c r="D3462" t="n">
        <v>2.69749518304432</v>
      </c>
    </row>
    <row r="3463">
      <c r="A3463" t="inlineStr">
        <is>
          <t>United Kingdom</t>
        </is>
      </c>
      <c r="B3463" t="inlineStr">
        <is>
          <t>GBR</t>
        </is>
      </c>
      <c r="C3463" t="n">
        <v>1996</v>
      </c>
      <c r="D3463" t="n">
        <v>2.85178236397749</v>
      </c>
    </row>
    <row r="3464">
      <c r="A3464" t="inlineStr">
        <is>
          <t>United Kingdom</t>
        </is>
      </c>
      <c r="B3464" t="inlineStr">
        <is>
          <t>GBR</t>
        </is>
      </c>
      <c r="C3464" t="n">
        <v>1997</v>
      </c>
      <c r="D3464" t="n">
        <v>2.20114313510882</v>
      </c>
    </row>
    <row r="3465">
      <c r="A3465" t="inlineStr">
        <is>
          <t>United Kingdom</t>
        </is>
      </c>
      <c r="B3465" t="inlineStr">
        <is>
          <t>GBR</t>
        </is>
      </c>
      <c r="C3465" t="n">
        <v>1998</v>
      </c>
      <c r="D3465" t="n">
        <v>1.82056163731557</v>
      </c>
    </row>
    <row r="3466">
      <c r="A3466" t="inlineStr">
        <is>
          <t>United Kingdom</t>
        </is>
      </c>
      <c r="B3466" t="inlineStr">
        <is>
          <t>GBR</t>
        </is>
      </c>
      <c r="C3466" t="n">
        <v>1999</v>
      </c>
      <c r="D3466" t="n">
        <v>1.7529508005142</v>
      </c>
    </row>
    <row r="3467">
      <c r="A3467" t="inlineStr">
        <is>
          <t>United Kingdom</t>
        </is>
      </c>
      <c r="B3467" t="inlineStr">
        <is>
          <t>GBR</t>
        </is>
      </c>
      <c r="C3467" t="n">
        <v>2000</v>
      </c>
      <c r="D3467" t="n">
        <v>1.18295624210408</v>
      </c>
    </row>
    <row r="3468">
      <c r="A3468" t="inlineStr">
        <is>
          <t>United Kingdom</t>
        </is>
      </c>
      <c r="B3468" t="inlineStr">
        <is>
          <t>GBR</t>
        </is>
      </c>
      <c r="C3468" t="n">
        <v>2001</v>
      </c>
      <c r="D3468" t="n">
        <v>1.53234960272418</v>
      </c>
    </row>
    <row r="3469">
      <c r="A3469" t="inlineStr">
        <is>
          <t>United Kingdom</t>
        </is>
      </c>
      <c r="B3469" t="inlineStr">
        <is>
          <t>GBR</t>
        </is>
      </c>
      <c r="C3469" t="n">
        <v>2002</v>
      </c>
      <c r="D3469" t="n">
        <v>1.52040245947455</v>
      </c>
    </row>
    <row r="3470">
      <c r="A3470" t="inlineStr">
        <is>
          <t>United Kingdom</t>
        </is>
      </c>
      <c r="B3470" t="inlineStr">
        <is>
          <t>GBR</t>
        </is>
      </c>
      <c r="C3470" t="n">
        <v>2003</v>
      </c>
      <c r="D3470" t="n">
        <v>1.37650038542013</v>
      </c>
    </row>
    <row r="3471">
      <c r="A3471" t="inlineStr">
        <is>
          <t>United Kingdom</t>
        </is>
      </c>
      <c r="B3471" t="inlineStr">
        <is>
          <t>GBR</t>
        </is>
      </c>
      <c r="C3471" t="n">
        <v>2004</v>
      </c>
      <c r="D3471" t="n">
        <v>1.39039756680422</v>
      </c>
    </row>
    <row r="3472">
      <c r="A3472" t="inlineStr">
        <is>
          <t>United Kingdom</t>
        </is>
      </c>
      <c r="B3472" t="inlineStr">
        <is>
          <t>GBR</t>
        </is>
      </c>
      <c r="C3472" t="n">
        <v>2005</v>
      </c>
      <c r="D3472" t="n">
        <v>2.0891364902507</v>
      </c>
    </row>
    <row r="3473">
      <c r="A3473" t="inlineStr">
        <is>
          <t>United Kingdom</t>
        </is>
      </c>
      <c r="B3473" t="inlineStr">
        <is>
          <t>GBR</t>
        </is>
      </c>
      <c r="C3473" t="n">
        <v>2006</v>
      </c>
      <c r="D3473" t="n">
        <v>2.4556616643929</v>
      </c>
    </row>
    <row r="3474">
      <c r="A3474" t="inlineStr">
        <is>
          <t>United Kingdom</t>
        </is>
      </c>
      <c r="B3474" t="inlineStr">
        <is>
          <t>GBR</t>
        </is>
      </c>
      <c r="C3474" t="n">
        <v>2007</v>
      </c>
      <c r="D3474" t="n">
        <v>2.38656150773327</v>
      </c>
    </row>
    <row r="3475">
      <c r="A3475" t="inlineStr">
        <is>
          <t>United Kingdom</t>
        </is>
      </c>
      <c r="B3475" t="inlineStr">
        <is>
          <t>GBR</t>
        </is>
      </c>
      <c r="C3475" t="n">
        <v>2008</v>
      </c>
      <c r="D3475" t="n">
        <v>3.52140856342539</v>
      </c>
    </row>
    <row r="3476">
      <c r="A3476" t="inlineStr">
        <is>
          <t>United Kingdom</t>
        </is>
      </c>
      <c r="B3476" t="inlineStr">
        <is>
          <t>GBR</t>
        </is>
      </c>
      <c r="C3476" t="n">
        <v>2009</v>
      </c>
      <c r="D3476" t="n">
        <v>1.96173173560109</v>
      </c>
    </row>
    <row r="3477">
      <c r="A3477" t="inlineStr">
        <is>
          <t>United Kingdom</t>
        </is>
      </c>
      <c r="B3477" t="inlineStr">
        <is>
          <t>GBR</t>
        </is>
      </c>
      <c r="C3477" t="n">
        <v>2010</v>
      </c>
      <c r="D3477" t="n">
        <v>2.49265472467065</v>
      </c>
    </row>
    <row r="3478">
      <c r="A3478" t="inlineStr">
        <is>
          <t>United Kingdom</t>
        </is>
      </c>
      <c r="B3478" t="inlineStr">
        <is>
          <t>GBR</t>
        </is>
      </c>
      <c r="C3478" t="n">
        <v>2011</v>
      </c>
      <c r="D3478" t="n">
        <v>3.8561124468282</v>
      </c>
    </row>
    <row r="3479">
      <c r="A3479" t="inlineStr">
        <is>
          <t>United Kingdom</t>
        </is>
      </c>
      <c r="B3479" t="inlineStr">
        <is>
          <t>GBR</t>
        </is>
      </c>
      <c r="C3479" t="n">
        <v>2012</v>
      </c>
      <c r="D3479" t="n">
        <v>2.5732347965453</v>
      </c>
    </row>
    <row r="3480">
      <c r="A3480" t="inlineStr">
        <is>
          <t>United Kingdom</t>
        </is>
      </c>
      <c r="B3480" t="inlineStr">
        <is>
          <t>GBR</t>
        </is>
      </c>
      <c r="C3480" t="n">
        <v>2013</v>
      </c>
      <c r="D3480" t="n">
        <v>2.29166666666659</v>
      </c>
    </row>
    <row r="3481">
      <c r="A3481" t="inlineStr">
        <is>
          <t>United Kingdom</t>
        </is>
      </c>
      <c r="B3481" t="inlineStr">
        <is>
          <t>GBR</t>
        </is>
      </c>
      <c r="C3481" t="n">
        <v>2014</v>
      </c>
      <c r="D3481" t="n">
        <v>1.45112016293279</v>
      </c>
    </row>
    <row r="3482">
      <c r="A3482" t="inlineStr">
        <is>
          <t>United Kingdom</t>
        </is>
      </c>
      <c r="B3482" t="inlineStr">
        <is>
          <t>GBR</t>
        </is>
      </c>
      <c r="C3482" t="n">
        <v>2015</v>
      </c>
      <c r="D3482" t="n">
        <v>0.36804684232536</v>
      </c>
    </row>
    <row r="3483">
      <c r="A3483" t="inlineStr">
        <is>
          <t>United Kingdom</t>
        </is>
      </c>
      <c r="B3483" t="inlineStr">
        <is>
          <t>GBR</t>
        </is>
      </c>
      <c r="C3483" t="n">
        <v>2016</v>
      </c>
      <c r="D3483" t="n">
        <v>1.0084173681141</v>
      </c>
    </row>
    <row r="3484">
      <c r="A3484" t="inlineStr">
        <is>
          <t>United Kingdom</t>
        </is>
      </c>
      <c r="B3484" t="inlineStr">
        <is>
          <t>GBR</t>
        </is>
      </c>
      <c r="C3484" t="n">
        <v>2017</v>
      </c>
      <c r="D3484" t="n">
        <v>2.55775577557747</v>
      </c>
    </row>
    <row r="3485">
      <c r="A3485" t="inlineStr">
        <is>
          <t>United Kingdom</t>
        </is>
      </c>
      <c r="B3485" t="inlineStr">
        <is>
          <t>GBR</t>
        </is>
      </c>
      <c r="C3485" t="n">
        <v>2018</v>
      </c>
      <c r="D3485" t="n">
        <v>2.29283990345938</v>
      </c>
    </row>
    <row r="3486">
      <c r="A3486" t="inlineStr">
        <is>
          <t>United Kingdom</t>
        </is>
      </c>
      <c r="B3486" t="inlineStr">
        <is>
          <t>GBR</t>
        </is>
      </c>
      <c r="C3486" t="n">
        <v>2019</v>
      </c>
      <c r="D3486" t="n">
        <v>1.73810460086513</v>
      </c>
    </row>
    <row r="3487">
      <c r="A3487" t="inlineStr">
        <is>
          <t>United Kingdom</t>
        </is>
      </c>
      <c r="B3487" t="inlineStr">
        <is>
          <t>GBR</t>
        </is>
      </c>
      <c r="C3487" t="n">
        <v>2020</v>
      </c>
      <c r="D3487" t="n">
        <v>0.989486703772491</v>
      </c>
    </row>
    <row r="3488">
      <c r="A3488" t="inlineStr">
        <is>
          <t>United Kingdom</t>
        </is>
      </c>
      <c r="B3488" t="inlineStr">
        <is>
          <t>GBR</t>
        </is>
      </c>
      <c r="C3488" t="n">
        <v>2021</v>
      </c>
      <c r="D3488" t="n">
        <v>2.51837109614213</v>
      </c>
    </row>
    <row r="3489">
      <c r="A3489" t="inlineStr">
        <is>
          <t>United Kingdom</t>
        </is>
      </c>
      <c r="B3489" t="inlineStr">
        <is>
          <t>GBR</t>
        </is>
      </c>
      <c r="C3489" t="n">
        <v>2022</v>
      </c>
      <c r="D3489" t="n">
        <v>7.92204883147902</v>
      </c>
    </row>
    <row r="3490">
      <c r="A3490" t="inlineStr">
        <is>
          <t>United Kingdom</t>
        </is>
      </c>
      <c r="B3490" t="inlineStr">
        <is>
          <t>GBR</t>
        </is>
      </c>
      <c r="C3490" t="n">
        <v>2023</v>
      </c>
      <c r="D3490" t="n">
        <v>6.79396706793963</v>
      </c>
    </row>
    <row r="3491">
      <c r="A3491" t="inlineStr">
        <is>
          <t>United Kingdom</t>
        </is>
      </c>
      <c r="B3491" t="inlineStr">
        <is>
          <t>GBR</t>
        </is>
      </c>
      <c r="C3491" t="n">
        <v>2024</v>
      </c>
      <c r="D3491" t="n">
        <v>3.2715729463592</v>
      </c>
    </row>
    <row r="3492">
      <c r="A3492" t="inlineStr">
        <is>
          <t>Georgia</t>
        </is>
      </c>
      <c r="B3492" t="inlineStr">
        <is>
          <t>GEO</t>
        </is>
      </c>
      <c r="C3492" t="n">
        <v>1995</v>
      </c>
      <c r="D3492" t="n">
        <v>162.717152150377</v>
      </c>
    </row>
    <row r="3493">
      <c r="A3493" t="inlineStr">
        <is>
          <t>Georgia</t>
        </is>
      </c>
      <c r="B3493" t="inlineStr">
        <is>
          <t>GEO</t>
        </is>
      </c>
      <c r="C3493" t="n">
        <v>1996</v>
      </c>
      <c r="D3493" t="n">
        <v>39.3574999987146</v>
      </c>
    </row>
    <row r="3494">
      <c r="A3494" t="inlineStr">
        <is>
          <t>Georgia</t>
        </is>
      </c>
      <c r="B3494" t="inlineStr">
        <is>
          <t>GEO</t>
        </is>
      </c>
      <c r="C3494" t="n">
        <v>1997</v>
      </c>
      <c r="D3494" t="n">
        <v>7.08761762948726</v>
      </c>
    </row>
    <row r="3495">
      <c r="A3495" t="inlineStr">
        <is>
          <t>Georgia</t>
        </is>
      </c>
      <c r="B3495" t="inlineStr">
        <is>
          <t>GEO</t>
        </is>
      </c>
      <c r="C3495" t="n">
        <v>1998</v>
      </c>
      <c r="D3495" t="n">
        <v>3.56680781278783</v>
      </c>
    </row>
    <row r="3496">
      <c r="A3496" t="inlineStr">
        <is>
          <t>Georgia</t>
        </is>
      </c>
      <c r="B3496" t="inlineStr">
        <is>
          <t>GEO</t>
        </is>
      </c>
      <c r="C3496" t="n">
        <v>1999</v>
      </c>
      <c r="D3496" t="n">
        <v>19.1926758218895</v>
      </c>
    </row>
    <row r="3497">
      <c r="A3497" t="inlineStr">
        <is>
          <t>Georgia</t>
        </is>
      </c>
      <c r="B3497" t="inlineStr">
        <is>
          <t>GEO</t>
        </is>
      </c>
      <c r="C3497" t="n">
        <v>2000</v>
      </c>
      <c r="D3497" t="n">
        <v>4.06396201382596</v>
      </c>
    </row>
    <row r="3498">
      <c r="A3498" t="inlineStr">
        <is>
          <t>Georgia</t>
        </is>
      </c>
      <c r="B3498" t="inlineStr">
        <is>
          <t>GEO</t>
        </is>
      </c>
      <c r="C3498" t="n">
        <v>2001</v>
      </c>
      <c r="D3498" t="n">
        <v>4.64604442058634</v>
      </c>
    </row>
    <row r="3499">
      <c r="A3499" t="inlineStr">
        <is>
          <t>Georgia</t>
        </is>
      </c>
      <c r="B3499" t="inlineStr">
        <is>
          <t>GEO</t>
        </is>
      </c>
      <c r="C3499" t="n">
        <v>2002</v>
      </c>
      <c r="D3499" t="n">
        <v>5.58783730000794</v>
      </c>
    </row>
    <row r="3500">
      <c r="A3500" t="inlineStr">
        <is>
          <t>Georgia</t>
        </is>
      </c>
      <c r="B3500" t="inlineStr">
        <is>
          <t>GEO</t>
        </is>
      </c>
      <c r="C3500" t="n">
        <v>2003</v>
      </c>
      <c r="D3500" t="n">
        <v>0.837734531536568</v>
      </c>
    </row>
    <row r="3501">
      <c r="A3501" t="inlineStr">
        <is>
          <t>Georgia</t>
        </is>
      </c>
      <c r="B3501" t="inlineStr">
        <is>
          <t>GEO</t>
        </is>
      </c>
      <c r="C3501" t="n">
        <v>2004</v>
      </c>
      <c r="D3501" t="n">
        <v>5.65632636191132</v>
      </c>
    </row>
    <row r="3502">
      <c r="A3502" t="inlineStr">
        <is>
          <t>Georgia</t>
        </is>
      </c>
      <c r="B3502" t="inlineStr">
        <is>
          <t>GEO</t>
        </is>
      </c>
      <c r="C3502" t="n">
        <v>2005</v>
      </c>
      <c r="D3502" t="n">
        <v>8.247090431141579</v>
      </c>
    </row>
    <row r="3503">
      <c r="A3503" t="inlineStr">
        <is>
          <t>Georgia</t>
        </is>
      </c>
      <c r="B3503" t="inlineStr">
        <is>
          <t>GEO</t>
        </is>
      </c>
      <c r="C3503" t="n">
        <v>2006</v>
      </c>
      <c r="D3503" t="n">
        <v>9.160965083944969</v>
      </c>
    </row>
    <row r="3504">
      <c r="A3504" t="inlineStr">
        <is>
          <t>Georgia</t>
        </is>
      </c>
      <c r="B3504" t="inlineStr">
        <is>
          <t>GEO</t>
        </is>
      </c>
      <c r="C3504" t="n">
        <v>2007</v>
      </c>
      <c r="D3504" t="n">
        <v>9.24489745592404</v>
      </c>
    </row>
    <row r="3505">
      <c r="A3505" t="inlineStr">
        <is>
          <t>Georgia</t>
        </is>
      </c>
      <c r="B3505" t="inlineStr">
        <is>
          <t>GEO</t>
        </is>
      </c>
      <c r="C3505" t="n">
        <v>2008</v>
      </c>
      <c r="D3505" t="n">
        <v>9.999487615527469</v>
      </c>
    </row>
    <row r="3506">
      <c r="A3506" t="inlineStr">
        <is>
          <t>Georgia</t>
        </is>
      </c>
      <c r="B3506" t="inlineStr">
        <is>
          <t>GEO</t>
        </is>
      </c>
      <c r="C3506" t="n">
        <v>2009</v>
      </c>
      <c r="D3506" t="n">
        <v>1.7275146113791</v>
      </c>
    </row>
    <row r="3507">
      <c r="A3507" t="inlineStr">
        <is>
          <t>Georgia</t>
        </is>
      </c>
      <c r="B3507" t="inlineStr">
        <is>
          <t>GEO</t>
        </is>
      </c>
      <c r="C3507" t="n">
        <v>2010</v>
      </c>
      <c r="D3507" t="n">
        <v>7.11017897486099</v>
      </c>
    </row>
    <row r="3508">
      <c r="A3508" t="inlineStr">
        <is>
          <t>Georgia</t>
        </is>
      </c>
      <c r="B3508" t="inlineStr">
        <is>
          <t>GEO</t>
        </is>
      </c>
      <c r="C3508" t="n">
        <v>2011</v>
      </c>
      <c r="D3508" t="n">
        <v>8.5429333333333</v>
      </c>
    </row>
    <row r="3509">
      <c r="A3509" t="inlineStr">
        <is>
          <t>Georgia</t>
        </is>
      </c>
      <c r="B3509" t="inlineStr">
        <is>
          <t>GEO</t>
        </is>
      </c>
      <c r="C3509" t="n">
        <v>2012</v>
      </c>
      <c r="D3509" t="n">
        <v>-0.943658853270964</v>
      </c>
    </row>
    <row r="3510">
      <c r="A3510" t="inlineStr">
        <is>
          <t>Georgia</t>
        </is>
      </c>
      <c r="B3510" t="inlineStr">
        <is>
          <t>GEO</t>
        </is>
      </c>
      <c r="C3510" t="n">
        <v>2013</v>
      </c>
      <c r="D3510" t="n">
        <v>-0.512058410947092</v>
      </c>
    </row>
    <row r="3511">
      <c r="A3511" t="inlineStr">
        <is>
          <t>Georgia</t>
        </is>
      </c>
      <c r="B3511" t="inlineStr">
        <is>
          <t>GEO</t>
        </is>
      </c>
      <c r="C3511" t="n">
        <v>2014</v>
      </c>
      <c r="D3511" t="n">
        <v>3.06881210379543</v>
      </c>
    </row>
    <row r="3512">
      <c r="A3512" t="inlineStr">
        <is>
          <t>Georgia</t>
        </is>
      </c>
      <c r="B3512" t="inlineStr">
        <is>
          <t>GEO</t>
        </is>
      </c>
      <c r="C3512" t="n">
        <v>2015</v>
      </c>
      <c r="D3512" t="n">
        <v>4.00357820695097</v>
      </c>
    </row>
    <row r="3513">
      <c r="A3513" t="inlineStr">
        <is>
          <t>Georgia</t>
        </is>
      </c>
      <c r="B3513" t="inlineStr">
        <is>
          <t>GEO</t>
        </is>
      </c>
      <c r="C3513" t="n">
        <v>2016</v>
      </c>
      <c r="D3513" t="n">
        <v>2.13492713939121</v>
      </c>
    </row>
    <row r="3514">
      <c r="A3514" t="inlineStr">
        <is>
          <t>Georgia</t>
        </is>
      </c>
      <c r="B3514" t="inlineStr">
        <is>
          <t>GEO</t>
        </is>
      </c>
      <c r="C3514" t="n">
        <v>2017</v>
      </c>
      <c r="D3514" t="n">
        <v>6.03531725272117</v>
      </c>
    </row>
    <row r="3515">
      <c r="A3515" t="inlineStr">
        <is>
          <t>Georgia</t>
        </is>
      </c>
      <c r="B3515" t="inlineStr">
        <is>
          <t>GEO</t>
        </is>
      </c>
      <c r="C3515" t="n">
        <v>2018</v>
      </c>
      <c r="D3515" t="n">
        <v>2.6152447139767</v>
      </c>
    </row>
    <row r="3516">
      <c r="A3516" t="inlineStr">
        <is>
          <t>Georgia</t>
        </is>
      </c>
      <c r="B3516" t="inlineStr">
        <is>
          <t>GEO</t>
        </is>
      </c>
      <c r="C3516" t="n">
        <v>2019</v>
      </c>
      <c r="D3516" t="n">
        <v>4.85289821696723</v>
      </c>
    </row>
    <row r="3517">
      <c r="A3517" t="inlineStr">
        <is>
          <t>Georgia</t>
        </is>
      </c>
      <c r="B3517" t="inlineStr">
        <is>
          <t>GEO</t>
        </is>
      </c>
      <c r="C3517" t="n">
        <v>2020</v>
      </c>
      <c r="D3517" t="n">
        <v>5.2024648897534</v>
      </c>
    </row>
    <row r="3518">
      <c r="A3518" t="inlineStr">
        <is>
          <t>Georgia</t>
        </is>
      </c>
      <c r="B3518" t="inlineStr">
        <is>
          <t>GEO</t>
        </is>
      </c>
      <c r="C3518" t="n">
        <v>2021</v>
      </c>
      <c r="D3518" t="n">
        <v>9.56691433824769</v>
      </c>
    </row>
    <row r="3519">
      <c r="A3519" t="inlineStr">
        <is>
          <t>Georgia</t>
        </is>
      </c>
      <c r="B3519" t="inlineStr">
        <is>
          <t>GEO</t>
        </is>
      </c>
      <c r="C3519" t="n">
        <v>2022</v>
      </c>
      <c r="D3519" t="n">
        <v>11.8981654203198</v>
      </c>
    </row>
    <row r="3520">
      <c r="A3520" t="inlineStr">
        <is>
          <t>Georgia</t>
        </is>
      </c>
      <c r="B3520" t="inlineStr">
        <is>
          <t>GEO</t>
        </is>
      </c>
      <c r="C3520" t="n">
        <v>2023</v>
      </c>
      <c r="D3520" t="n">
        <v>2.48776056578715</v>
      </c>
    </row>
    <row r="3521">
      <c r="A3521" t="inlineStr">
        <is>
          <t>Georgia</t>
        </is>
      </c>
      <c r="B3521" t="inlineStr">
        <is>
          <t>GEO</t>
        </is>
      </c>
      <c r="C3521" t="n">
        <v>2024</v>
      </c>
      <c r="D3521" t="n">
        <v>1.10971758022096</v>
      </c>
    </row>
    <row r="3522">
      <c r="A3522" t="inlineStr">
        <is>
          <t>Ghana</t>
        </is>
      </c>
      <c r="B3522" t="inlineStr">
        <is>
          <t>GHA</t>
        </is>
      </c>
      <c r="C3522" t="n">
        <v>1965</v>
      </c>
      <c r="D3522" t="n">
        <v>26.4447848490173</v>
      </c>
    </row>
    <row r="3523">
      <c r="A3523" t="inlineStr">
        <is>
          <t>Ghana</t>
        </is>
      </c>
      <c r="B3523" t="inlineStr">
        <is>
          <t>GHA</t>
        </is>
      </c>
      <c r="C3523" t="n">
        <v>1966</v>
      </c>
      <c r="D3523" t="n">
        <v>13.2378854626539</v>
      </c>
    </row>
    <row r="3524">
      <c r="A3524" t="inlineStr">
        <is>
          <t>Ghana</t>
        </is>
      </c>
      <c r="B3524" t="inlineStr">
        <is>
          <t>GHA</t>
        </is>
      </c>
      <c r="C3524" t="n">
        <v>1967</v>
      </c>
      <c r="D3524" t="n">
        <v>-8.422485897802829</v>
      </c>
    </row>
    <row r="3525">
      <c r="A3525" t="inlineStr">
        <is>
          <t>Ghana</t>
        </is>
      </c>
      <c r="B3525" t="inlineStr">
        <is>
          <t>GHA</t>
        </is>
      </c>
      <c r="C3525" t="n">
        <v>1968</v>
      </c>
      <c r="D3525" t="n">
        <v>7.89473684210539</v>
      </c>
    </row>
    <row r="3526">
      <c r="A3526" t="inlineStr">
        <is>
          <t>Ghana</t>
        </is>
      </c>
      <c r="B3526" t="inlineStr">
        <is>
          <t>GHA</t>
        </is>
      </c>
      <c r="C3526" t="n">
        <v>1969</v>
      </c>
      <c r="D3526" t="n">
        <v>7.31707316260125</v>
      </c>
    </row>
    <row r="3527">
      <c r="A3527" t="inlineStr">
        <is>
          <t>Ghana</t>
        </is>
      </c>
      <c r="B3527" t="inlineStr">
        <is>
          <t>GHA</t>
        </is>
      </c>
      <c r="C3527" t="n">
        <v>1970</v>
      </c>
      <c r="D3527" t="n">
        <v>3.03030303053265</v>
      </c>
    </row>
    <row r="3528">
      <c r="A3528" t="inlineStr">
        <is>
          <t>Ghana</t>
        </is>
      </c>
      <c r="B3528" t="inlineStr">
        <is>
          <t>GHA</t>
        </is>
      </c>
      <c r="C3528" t="n">
        <v>1971</v>
      </c>
      <c r="D3528" t="n">
        <v>9.55882353746772</v>
      </c>
    </row>
    <row r="3529">
      <c r="A3529" t="inlineStr">
        <is>
          <t>Ghana</t>
        </is>
      </c>
      <c r="B3529" t="inlineStr">
        <is>
          <t>GHA</t>
        </is>
      </c>
      <c r="C3529" t="n">
        <v>1972</v>
      </c>
      <c r="D3529" t="n">
        <v>10.0671140939595</v>
      </c>
    </row>
    <row r="3530">
      <c r="A3530" t="inlineStr">
        <is>
          <t>Ghana</t>
        </is>
      </c>
      <c r="B3530" t="inlineStr">
        <is>
          <t>GHA</t>
        </is>
      </c>
      <c r="C3530" t="n">
        <v>1973</v>
      </c>
      <c r="D3530" t="n">
        <v>17.6829268231711</v>
      </c>
    </row>
    <row r="3531">
      <c r="A3531" t="inlineStr">
        <is>
          <t>Ghana</t>
        </is>
      </c>
      <c r="B3531" t="inlineStr">
        <is>
          <t>GHA</t>
        </is>
      </c>
      <c r="C3531" t="n">
        <v>1974</v>
      </c>
      <c r="D3531" t="n">
        <v>18.1347150268463</v>
      </c>
    </row>
    <row r="3532">
      <c r="A3532" t="inlineStr">
        <is>
          <t>Ghana</t>
        </is>
      </c>
      <c r="B3532" t="inlineStr">
        <is>
          <t>GHA</t>
        </is>
      </c>
      <c r="C3532" t="n">
        <v>1975</v>
      </c>
      <c r="D3532" t="n">
        <v>29.8245614048168</v>
      </c>
    </row>
    <row r="3533">
      <c r="A3533" t="inlineStr">
        <is>
          <t>Ghana</t>
        </is>
      </c>
      <c r="B3533" t="inlineStr">
        <is>
          <t>GHA</t>
        </is>
      </c>
      <c r="C3533" t="n">
        <v>1976</v>
      </c>
      <c r="D3533" t="n">
        <v>56.0810810829756</v>
      </c>
    </row>
    <row r="3534">
      <c r="A3534" t="inlineStr">
        <is>
          <t>Ghana</t>
        </is>
      </c>
      <c r="B3534" t="inlineStr">
        <is>
          <t>GHA</t>
        </is>
      </c>
      <c r="C3534" t="n">
        <v>1977</v>
      </c>
      <c r="D3534" t="n">
        <v>116.450216453639</v>
      </c>
    </row>
    <row r="3535">
      <c r="A3535" t="inlineStr">
        <is>
          <t>Ghana</t>
        </is>
      </c>
      <c r="B3535" t="inlineStr">
        <is>
          <t>GHA</t>
        </is>
      </c>
      <c r="C3535" t="n">
        <v>1978</v>
      </c>
      <c r="D3535" t="n">
        <v>73.09166666734301</v>
      </c>
    </row>
    <row r="3536">
      <c r="A3536" t="inlineStr">
        <is>
          <t>Ghana</t>
        </is>
      </c>
      <c r="B3536" t="inlineStr">
        <is>
          <t>GHA</t>
        </is>
      </c>
      <c r="C3536" t="n">
        <v>1979</v>
      </c>
      <c r="D3536" t="n">
        <v>54.4412883345616</v>
      </c>
    </row>
    <row r="3537">
      <c r="A3537" t="inlineStr">
        <is>
          <t>Ghana</t>
        </is>
      </c>
      <c r="B3537" t="inlineStr">
        <is>
          <t>GHA</t>
        </is>
      </c>
      <c r="C3537" t="n">
        <v>1980</v>
      </c>
      <c r="D3537" t="n">
        <v>50.0701393436364</v>
      </c>
    </row>
    <row r="3538">
      <c r="A3538" t="inlineStr">
        <is>
          <t>Ghana</t>
        </is>
      </c>
      <c r="B3538" t="inlineStr">
        <is>
          <t>GHA</t>
        </is>
      </c>
      <c r="C3538" t="n">
        <v>1981</v>
      </c>
      <c r="D3538" t="n">
        <v>116.503603996541</v>
      </c>
    </row>
    <row r="3539">
      <c r="A3539" t="inlineStr">
        <is>
          <t>Ghana</t>
        </is>
      </c>
      <c r="B3539" t="inlineStr">
        <is>
          <t>GHA</t>
        </is>
      </c>
      <c r="C3539" t="n">
        <v>1982</v>
      </c>
      <c r="D3539" t="n">
        <v>22.2955664080893</v>
      </c>
    </row>
    <row r="3540">
      <c r="A3540" t="inlineStr">
        <is>
          <t>Ghana</t>
        </is>
      </c>
      <c r="B3540" t="inlineStr">
        <is>
          <t>GHA</t>
        </is>
      </c>
      <c r="C3540" t="n">
        <v>1983</v>
      </c>
      <c r="D3540" t="n">
        <v>122.874514572592</v>
      </c>
    </row>
    <row r="3541">
      <c r="A3541" t="inlineStr">
        <is>
          <t>Ghana</t>
        </is>
      </c>
      <c r="B3541" t="inlineStr">
        <is>
          <t>GHA</t>
        </is>
      </c>
      <c r="C3541" t="n">
        <v>1984</v>
      </c>
      <c r="D3541" t="n">
        <v>39.6653137947268</v>
      </c>
    </row>
    <row r="3542">
      <c r="A3542" t="inlineStr">
        <is>
          <t>Ghana</t>
        </is>
      </c>
      <c r="B3542" t="inlineStr">
        <is>
          <t>GHA</t>
        </is>
      </c>
      <c r="C3542" t="n">
        <v>1985</v>
      </c>
      <c r="D3542" t="n">
        <v>10.3054406698295</v>
      </c>
    </row>
    <row r="3543">
      <c r="A3543" t="inlineStr">
        <is>
          <t>Ghana</t>
        </is>
      </c>
      <c r="B3543" t="inlineStr">
        <is>
          <t>GHA</t>
        </is>
      </c>
      <c r="C3543" t="n">
        <v>1986</v>
      </c>
      <c r="D3543" t="n">
        <v>24.5654160765001</v>
      </c>
    </row>
    <row r="3544">
      <c r="A3544" t="inlineStr">
        <is>
          <t>Ghana</t>
        </is>
      </c>
      <c r="B3544" t="inlineStr">
        <is>
          <t>GHA</t>
        </is>
      </c>
      <c r="C3544" t="n">
        <v>1987</v>
      </c>
      <c r="D3544" t="n">
        <v>39.8150678775363</v>
      </c>
    </row>
    <row r="3545">
      <c r="A3545" t="inlineStr">
        <is>
          <t>Ghana</t>
        </is>
      </c>
      <c r="B3545" t="inlineStr">
        <is>
          <t>GHA</t>
        </is>
      </c>
      <c r="C3545" t="n">
        <v>1988</v>
      </c>
      <c r="D3545" t="n">
        <v>31.3592676264768</v>
      </c>
    </row>
    <row r="3546">
      <c r="A3546" t="inlineStr">
        <is>
          <t>Ghana</t>
        </is>
      </c>
      <c r="B3546" t="inlineStr">
        <is>
          <t>GHA</t>
        </is>
      </c>
      <c r="C3546" t="n">
        <v>1989</v>
      </c>
      <c r="D3546" t="n">
        <v>25.2236920295825</v>
      </c>
    </row>
    <row r="3547">
      <c r="A3547" t="inlineStr">
        <is>
          <t>Ghana</t>
        </is>
      </c>
      <c r="B3547" t="inlineStr">
        <is>
          <t>GHA</t>
        </is>
      </c>
      <c r="C3547" t="n">
        <v>1990</v>
      </c>
      <c r="D3547" t="n">
        <v>37.2590664855671</v>
      </c>
    </row>
    <row r="3548">
      <c r="A3548" t="inlineStr">
        <is>
          <t>Ghana</t>
        </is>
      </c>
      <c r="B3548" t="inlineStr">
        <is>
          <t>GHA</t>
        </is>
      </c>
      <c r="C3548" t="n">
        <v>1991</v>
      </c>
      <c r="D3548" t="n">
        <v>18.0314390089849</v>
      </c>
    </row>
    <row r="3549">
      <c r="A3549" t="inlineStr">
        <is>
          <t>Ghana</t>
        </is>
      </c>
      <c r="B3549" t="inlineStr">
        <is>
          <t>GHA</t>
        </is>
      </c>
      <c r="C3549" t="n">
        <v>1992</v>
      </c>
      <c r="D3549" t="n">
        <v>10.0561167448841</v>
      </c>
    </row>
    <row r="3550">
      <c r="A3550" t="inlineStr">
        <is>
          <t>Ghana</t>
        </is>
      </c>
      <c r="B3550" t="inlineStr">
        <is>
          <t>GHA</t>
        </is>
      </c>
      <c r="C3550" t="n">
        <v>1993</v>
      </c>
      <c r="D3550" t="n">
        <v>24.9598424742497</v>
      </c>
    </row>
    <row r="3551">
      <c r="A3551" t="inlineStr">
        <is>
          <t>Ghana</t>
        </is>
      </c>
      <c r="B3551" t="inlineStr">
        <is>
          <t>GHA</t>
        </is>
      </c>
      <c r="C3551" t="n">
        <v>1994</v>
      </c>
      <c r="D3551" t="n">
        <v>24.8702554369576</v>
      </c>
    </row>
    <row r="3552">
      <c r="A3552" t="inlineStr">
        <is>
          <t>Ghana</t>
        </is>
      </c>
      <c r="B3552" t="inlineStr">
        <is>
          <t>GHA</t>
        </is>
      </c>
      <c r="C3552" t="n">
        <v>1995</v>
      </c>
      <c r="D3552" t="n">
        <v>59.4615536991446</v>
      </c>
    </row>
    <row r="3553">
      <c r="A3553" t="inlineStr">
        <is>
          <t>Ghana</t>
        </is>
      </c>
      <c r="B3553" t="inlineStr">
        <is>
          <t>GHA</t>
        </is>
      </c>
      <c r="C3553" t="n">
        <v>1996</v>
      </c>
      <c r="D3553" t="n">
        <v>46.5610196762282</v>
      </c>
    </row>
    <row r="3554">
      <c r="A3554" t="inlineStr">
        <is>
          <t>Ghana</t>
        </is>
      </c>
      <c r="B3554" t="inlineStr">
        <is>
          <t>GHA</t>
        </is>
      </c>
      <c r="C3554" t="n">
        <v>1997</v>
      </c>
      <c r="D3554" t="n">
        <v>27.8852086407527</v>
      </c>
    </row>
    <row r="3555">
      <c r="A3555" t="inlineStr">
        <is>
          <t>Ghana</t>
        </is>
      </c>
      <c r="B3555" t="inlineStr">
        <is>
          <t>GHA</t>
        </is>
      </c>
      <c r="C3555" t="n">
        <v>1998</v>
      </c>
      <c r="D3555" t="n">
        <v>14.6241666666675</v>
      </c>
    </row>
    <row r="3556">
      <c r="A3556" t="inlineStr">
        <is>
          <t>Ghana</t>
        </is>
      </c>
      <c r="B3556" t="inlineStr">
        <is>
          <t>GHA</t>
        </is>
      </c>
      <c r="C3556" t="n">
        <v>1999</v>
      </c>
      <c r="D3556" t="n">
        <v>4.86539785077528</v>
      </c>
    </row>
    <row r="3557">
      <c r="A3557" t="inlineStr">
        <is>
          <t>Ghana</t>
        </is>
      </c>
      <c r="B3557" t="inlineStr">
        <is>
          <t>GHA</t>
        </is>
      </c>
      <c r="C3557" t="n">
        <v>2000</v>
      </c>
      <c r="D3557" t="n">
        <v>40.240933123914</v>
      </c>
    </row>
    <row r="3558">
      <c r="A3558" t="inlineStr">
        <is>
          <t>Ghana</t>
        </is>
      </c>
      <c r="B3558" t="inlineStr">
        <is>
          <t>GHA</t>
        </is>
      </c>
      <c r="C3558" t="n">
        <v>2001</v>
      </c>
      <c r="D3558" t="n">
        <v>41.509496287803</v>
      </c>
    </row>
    <row r="3559">
      <c r="A3559" t="inlineStr">
        <is>
          <t>Ghana</t>
        </is>
      </c>
      <c r="B3559" t="inlineStr">
        <is>
          <t>GHA</t>
        </is>
      </c>
      <c r="C3559" t="n">
        <v>2002</v>
      </c>
      <c r="D3559" t="n">
        <v>9.360932395603131</v>
      </c>
    </row>
    <row r="3560">
      <c r="A3560" t="inlineStr">
        <is>
          <t>Ghana</t>
        </is>
      </c>
      <c r="B3560" t="inlineStr">
        <is>
          <t>GHA</t>
        </is>
      </c>
      <c r="C3560" t="n">
        <v>2003</v>
      </c>
      <c r="D3560" t="n">
        <v>29.7729797160384</v>
      </c>
    </row>
    <row r="3561">
      <c r="A3561" t="inlineStr">
        <is>
          <t>Ghana</t>
        </is>
      </c>
      <c r="B3561" t="inlineStr">
        <is>
          <t>GHA</t>
        </is>
      </c>
      <c r="C3561" t="n">
        <v>2004</v>
      </c>
      <c r="D3561" t="n">
        <v>18.0427388232565</v>
      </c>
    </row>
    <row r="3562">
      <c r="A3562" t="inlineStr">
        <is>
          <t>Ghana</t>
        </is>
      </c>
      <c r="B3562" t="inlineStr">
        <is>
          <t>GHA</t>
        </is>
      </c>
      <c r="C3562" t="n">
        <v>2005</v>
      </c>
      <c r="D3562" t="n">
        <v>15.4389920155908</v>
      </c>
    </row>
    <row r="3563">
      <c r="A3563" t="inlineStr">
        <is>
          <t>Ghana</t>
        </is>
      </c>
      <c r="B3563" t="inlineStr">
        <is>
          <t>GHA</t>
        </is>
      </c>
      <c r="C3563" t="n">
        <v>2006</v>
      </c>
      <c r="D3563" t="n">
        <v>11.6791839392492</v>
      </c>
    </row>
    <row r="3564">
      <c r="A3564" t="inlineStr">
        <is>
          <t>Ghana</t>
        </is>
      </c>
      <c r="B3564" t="inlineStr">
        <is>
          <t>GHA</t>
        </is>
      </c>
      <c r="C3564" t="n">
        <v>2007</v>
      </c>
      <c r="D3564" t="n">
        <v>10.7342665456292</v>
      </c>
    </row>
    <row r="3565">
      <c r="A3565" t="inlineStr">
        <is>
          <t>Ghana</t>
        </is>
      </c>
      <c r="B3565" t="inlineStr">
        <is>
          <t>GHA</t>
        </is>
      </c>
      <c r="C3565" t="n">
        <v>2008</v>
      </c>
      <c r="D3565" t="n">
        <v>16.494639613412</v>
      </c>
    </row>
    <row r="3566">
      <c r="A3566" t="inlineStr">
        <is>
          <t>Ghana</t>
        </is>
      </c>
      <c r="B3566" t="inlineStr">
        <is>
          <t>GHA</t>
        </is>
      </c>
      <c r="C3566" t="n">
        <v>2009</v>
      </c>
      <c r="D3566" t="n">
        <v>19.2469482220857</v>
      </c>
    </row>
    <row r="3567">
      <c r="A3567" t="inlineStr">
        <is>
          <t>Ghana</t>
        </is>
      </c>
      <c r="B3567" t="inlineStr">
        <is>
          <t>GHA</t>
        </is>
      </c>
      <c r="C3567" t="n">
        <v>2010</v>
      </c>
      <c r="D3567" t="n">
        <v>10.7333898354915</v>
      </c>
    </row>
    <row r="3568">
      <c r="A3568" t="inlineStr">
        <is>
          <t>Ghana</t>
        </is>
      </c>
      <c r="B3568" t="inlineStr">
        <is>
          <t>GHA</t>
        </is>
      </c>
      <c r="C3568" t="n">
        <v>2011</v>
      </c>
      <c r="D3568" t="n">
        <v>8.728459370930199</v>
      </c>
    </row>
    <row r="3569">
      <c r="A3569" t="inlineStr">
        <is>
          <t>Ghana</t>
        </is>
      </c>
      <c r="B3569" t="inlineStr">
        <is>
          <t>GHA</t>
        </is>
      </c>
      <c r="C3569" t="n">
        <v>2012</v>
      </c>
      <c r="D3569" t="n">
        <v>11.1863409441067</v>
      </c>
    </row>
    <row r="3570">
      <c r="A3570" t="inlineStr">
        <is>
          <t>Ghana</t>
        </is>
      </c>
      <c r="B3570" t="inlineStr">
        <is>
          <t>GHA</t>
        </is>
      </c>
      <c r="C3570" t="n">
        <v>2013</v>
      </c>
      <c r="D3570" t="n">
        <v>11.6661923071729</v>
      </c>
    </row>
    <row r="3571">
      <c r="A3571" t="inlineStr">
        <is>
          <t>Ghana</t>
        </is>
      </c>
      <c r="B3571" t="inlineStr">
        <is>
          <t>GHA</t>
        </is>
      </c>
      <c r="C3571" t="n">
        <v>2014</v>
      </c>
      <c r="D3571" t="n">
        <v>15.4896160333318</v>
      </c>
    </row>
    <row r="3572">
      <c r="A3572" t="inlineStr">
        <is>
          <t>Ghana</t>
        </is>
      </c>
      <c r="B3572" t="inlineStr">
        <is>
          <t>GHA</t>
        </is>
      </c>
      <c r="C3572" t="n">
        <v>2015</v>
      </c>
      <c r="D3572" t="n">
        <v>17.1499695007878</v>
      </c>
    </row>
    <row r="3573">
      <c r="A3573" t="inlineStr">
        <is>
          <t>Ghana</t>
        </is>
      </c>
      <c r="B3573" t="inlineStr">
        <is>
          <t>GHA</t>
        </is>
      </c>
      <c r="C3573" t="n">
        <v>2016</v>
      </c>
      <c r="D3573" t="n">
        <v>17.4546347070868</v>
      </c>
    </row>
    <row r="3574">
      <c r="A3574" t="inlineStr">
        <is>
          <t>Ghana</t>
        </is>
      </c>
      <c r="B3574" t="inlineStr">
        <is>
          <t>GHA</t>
        </is>
      </c>
      <c r="C3574" t="n">
        <v>2017</v>
      </c>
      <c r="D3574" t="n">
        <v>12.3719215507048</v>
      </c>
    </row>
    <row r="3575">
      <c r="A3575" t="inlineStr">
        <is>
          <t>Ghana</t>
        </is>
      </c>
      <c r="B3575" t="inlineStr">
        <is>
          <t>GHA</t>
        </is>
      </c>
      <c r="C3575" t="n">
        <v>2018</v>
      </c>
      <c r="D3575" t="n">
        <v>7.80876516610703</v>
      </c>
    </row>
    <row r="3576">
      <c r="A3576" t="inlineStr">
        <is>
          <t>Ghana</t>
        </is>
      </c>
      <c r="B3576" t="inlineStr">
        <is>
          <t>GHA</t>
        </is>
      </c>
      <c r="C3576" t="n">
        <v>2019</v>
      </c>
      <c r="D3576" t="n">
        <v>7.14364003330857</v>
      </c>
    </row>
    <row r="3577">
      <c r="A3577" t="inlineStr">
        <is>
          <t>Ghana</t>
        </is>
      </c>
      <c r="B3577" t="inlineStr">
        <is>
          <t>GHA</t>
        </is>
      </c>
      <c r="C3577" t="n">
        <v>2020</v>
      </c>
      <c r="D3577" t="n">
        <v>9.88728956269944</v>
      </c>
    </row>
    <row r="3578">
      <c r="A3578" t="inlineStr">
        <is>
          <t>Ghana</t>
        </is>
      </c>
      <c r="B3578" t="inlineStr">
        <is>
          <t>GHA</t>
        </is>
      </c>
      <c r="C3578" t="n">
        <v>2021</v>
      </c>
      <c r="D3578" t="n">
        <v>9.971088675044401</v>
      </c>
    </row>
    <row r="3579">
      <c r="A3579" t="inlineStr">
        <is>
          <t>Ghana</t>
        </is>
      </c>
      <c r="B3579" t="inlineStr">
        <is>
          <t>GHA</t>
        </is>
      </c>
      <c r="C3579" t="n">
        <v>2022</v>
      </c>
      <c r="D3579" t="n">
        <v>31.2558951049016</v>
      </c>
    </row>
    <row r="3580">
      <c r="A3580" t="inlineStr">
        <is>
          <t>Ghana</t>
        </is>
      </c>
      <c r="B3580" t="inlineStr">
        <is>
          <t>GHA</t>
        </is>
      </c>
      <c r="C3580" t="n">
        <v>2023</v>
      </c>
      <c r="D3580" t="n">
        <v>38.1069656296501</v>
      </c>
    </row>
    <row r="3581">
      <c r="A3581" t="inlineStr">
        <is>
          <t>Ghana</t>
        </is>
      </c>
      <c r="B3581" t="inlineStr">
        <is>
          <t>GHA</t>
        </is>
      </c>
      <c r="C3581" t="n">
        <v>2024</v>
      </c>
      <c r="D3581" t="n">
        <v>22.8483281157842</v>
      </c>
    </row>
    <row r="3582">
      <c r="A3582" t="inlineStr">
        <is>
          <t>Guinea</t>
        </is>
      </c>
      <c r="B3582" t="inlineStr">
        <is>
          <t>GIN</t>
        </is>
      </c>
      <c r="C3582" t="n">
        <v>2005</v>
      </c>
      <c r="D3582" t="n">
        <v>31.3733025877534</v>
      </c>
    </row>
    <row r="3583">
      <c r="A3583" t="inlineStr">
        <is>
          <t>Guinea</t>
        </is>
      </c>
      <c r="B3583" t="inlineStr">
        <is>
          <t>GIN</t>
        </is>
      </c>
      <c r="C3583" t="n">
        <v>2006</v>
      </c>
      <c r="D3583" t="n">
        <v>34.6952705997072</v>
      </c>
    </row>
    <row r="3584">
      <c r="A3584" t="inlineStr">
        <is>
          <t>Guinea</t>
        </is>
      </c>
      <c r="B3584" t="inlineStr">
        <is>
          <t>GIN</t>
        </is>
      </c>
      <c r="C3584" t="n">
        <v>2007</v>
      </c>
      <c r="D3584" t="n">
        <v>18.1755656108597</v>
      </c>
    </row>
    <row r="3585">
      <c r="A3585" t="inlineStr">
        <is>
          <t>Guinea</t>
        </is>
      </c>
      <c r="B3585" t="inlineStr">
        <is>
          <t>GIN</t>
        </is>
      </c>
      <c r="C3585" t="n">
        <v>2008</v>
      </c>
      <c r="D3585" t="n">
        <v>23.065612938798</v>
      </c>
    </row>
    <row r="3586">
      <c r="A3586" t="inlineStr">
        <is>
          <t>Guinea</t>
        </is>
      </c>
      <c r="B3586" t="inlineStr">
        <is>
          <t>GIN</t>
        </is>
      </c>
      <c r="C3586" t="n">
        <v>2009</v>
      </c>
      <c r="D3586" t="n">
        <v>4.68438868976504</v>
      </c>
    </row>
    <row r="3587">
      <c r="A3587" t="inlineStr">
        <is>
          <t>Guinea</t>
        </is>
      </c>
      <c r="B3587" t="inlineStr">
        <is>
          <t>GIN</t>
        </is>
      </c>
      <c r="C3587" t="n">
        <v>2010</v>
      </c>
      <c r="D3587" t="n">
        <v>15.0502688559001</v>
      </c>
    </row>
    <row r="3588">
      <c r="A3588" t="inlineStr">
        <is>
          <t>Guinea</t>
        </is>
      </c>
      <c r="B3588" t="inlineStr">
        <is>
          <t>GIN</t>
        </is>
      </c>
      <c r="C3588" t="n">
        <v>2011</v>
      </c>
      <c r="D3588" t="n">
        <v>21.3169268542577</v>
      </c>
    </row>
    <row r="3589">
      <c r="A3589" t="inlineStr">
        <is>
          <t>Guinea</t>
        </is>
      </c>
      <c r="B3589" t="inlineStr">
        <is>
          <t>GIN</t>
        </is>
      </c>
      <c r="C3589" t="n">
        <v>2012</v>
      </c>
      <c r="D3589" t="n">
        <v>15.2262941038638</v>
      </c>
    </row>
    <row r="3590">
      <c r="A3590" t="inlineStr">
        <is>
          <t>Guinea</t>
        </is>
      </c>
      <c r="B3590" t="inlineStr">
        <is>
          <t>GIN</t>
        </is>
      </c>
      <c r="C3590" t="n">
        <v>2013</v>
      </c>
      <c r="D3590" t="n">
        <v>11.8875884481828</v>
      </c>
    </row>
    <row r="3591">
      <c r="A3591" t="inlineStr">
        <is>
          <t>Guinea</t>
        </is>
      </c>
      <c r="B3591" t="inlineStr">
        <is>
          <t>GIN</t>
        </is>
      </c>
      <c r="C3591" t="n">
        <v>2014</v>
      </c>
      <c r="D3591" t="n">
        <v>6.1505055670642</v>
      </c>
    </row>
    <row r="3592">
      <c r="A3592" t="inlineStr">
        <is>
          <t>Guinea</t>
        </is>
      </c>
      <c r="B3592" t="inlineStr">
        <is>
          <t>GIN</t>
        </is>
      </c>
      <c r="C3592" t="n">
        <v>2015</v>
      </c>
      <c r="D3592" t="n">
        <v>11.7800825029834</v>
      </c>
    </row>
    <row r="3593">
      <c r="A3593" t="inlineStr">
        <is>
          <t>Guinea</t>
        </is>
      </c>
      <c r="B3593" t="inlineStr">
        <is>
          <t>GIN</t>
        </is>
      </c>
      <c r="C3593" t="n">
        <v>2016</v>
      </c>
      <c r="D3593" t="n">
        <v>8.172681122751319</v>
      </c>
    </row>
    <row r="3594">
      <c r="A3594" t="inlineStr">
        <is>
          <t>Guinea</t>
        </is>
      </c>
      <c r="B3594" t="inlineStr">
        <is>
          <t>GIN</t>
        </is>
      </c>
      <c r="C3594" t="n">
        <v>2017</v>
      </c>
      <c r="D3594" t="n">
        <v>8.914359479130971</v>
      </c>
    </row>
    <row r="3595">
      <c r="A3595" t="inlineStr">
        <is>
          <t>Guinea</t>
        </is>
      </c>
      <c r="B3595" t="inlineStr">
        <is>
          <t>GIN</t>
        </is>
      </c>
      <c r="C3595" t="n">
        <v>2018</v>
      </c>
      <c r="D3595" t="n">
        <v>9.82761701259191</v>
      </c>
    </row>
    <row r="3596">
      <c r="A3596" t="inlineStr">
        <is>
          <t>Guinea</t>
        </is>
      </c>
      <c r="B3596" t="inlineStr">
        <is>
          <t>GIN</t>
        </is>
      </c>
      <c r="C3596" t="n">
        <v>2019</v>
      </c>
      <c r="D3596" t="n">
        <v>9.470010392530121</v>
      </c>
    </row>
    <row r="3597">
      <c r="A3597" t="inlineStr">
        <is>
          <t>Guinea</t>
        </is>
      </c>
      <c r="B3597" t="inlineStr">
        <is>
          <t>GIN</t>
        </is>
      </c>
      <c r="C3597" t="n">
        <v>2020</v>
      </c>
      <c r="D3597" t="n">
        <v>10.6016203387167</v>
      </c>
    </row>
    <row r="3598">
      <c r="A3598" t="inlineStr">
        <is>
          <t>Guinea</t>
        </is>
      </c>
      <c r="B3598" t="inlineStr">
        <is>
          <t>GIN</t>
        </is>
      </c>
      <c r="C3598" t="n">
        <v>2021</v>
      </c>
      <c r="D3598" t="n">
        <v>12.5972882566934</v>
      </c>
    </row>
    <row r="3599">
      <c r="A3599" t="inlineStr">
        <is>
          <t>Guinea</t>
        </is>
      </c>
      <c r="B3599" t="inlineStr">
        <is>
          <t>GIN</t>
        </is>
      </c>
      <c r="C3599" t="n">
        <v>2022</v>
      </c>
      <c r="D3599" t="n">
        <v>10.4930409984424</v>
      </c>
    </row>
    <row r="3600">
      <c r="A3600" t="inlineStr">
        <is>
          <t>Guinea</t>
        </is>
      </c>
      <c r="B3600" t="inlineStr">
        <is>
          <t>GIN</t>
        </is>
      </c>
      <c r="C3600" t="n">
        <v>2023</v>
      </c>
      <c r="D3600" t="n">
        <v>7.80497591927973</v>
      </c>
    </row>
    <row r="3601">
      <c r="A3601" t="inlineStr">
        <is>
          <t>Guinea</t>
        </is>
      </c>
      <c r="B3601" t="inlineStr">
        <is>
          <t>GIN</t>
        </is>
      </c>
      <c r="C3601" t="n">
        <v>2024</v>
      </c>
      <c r="D3601" t="n">
        <v>8.12313914948596</v>
      </c>
    </row>
    <row r="3602">
      <c r="A3602" t="inlineStr">
        <is>
          <t>Gambia, The</t>
        </is>
      </c>
      <c r="B3602" t="inlineStr">
        <is>
          <t>GMB</t>
        </is>
      </c>
      <c r="C3602" t="n">
        <v>1962</v>
      </c>
      <c r="D3602" t="n">
        <v>1.78761787610517</v>
      </c>
    </row>
    <row r="3603">
      <c r="A3603" t="inlineStr">
        <is>
          <t>Gambia, The</t>
        </is>
      </c>
      <c r="B3603" t="inlineStr">
        <is>
          <t>GMB</t>
        </is>
      </c>
      <c r="C3603" t="n">
        <v>1963</v>
      </c>
      <c r="D3603" t="n">
        <v>4.61612825298721</v>
      </c>
    </row>
    <row r="3604">
      <c r="A3604" t="inlineStr">
        <is>
          <t>Gambia, The</t>
        </is>
      </c>
      <c r="B3604" t="inlineStr">
        <is>
          <t>GMB</t>
        </is>
      </c>
      <c r="C3604" t="n">
        <v>1964</v>
      </c>
      <c r="D3604" t="n">
        <v>-4.53565378123679</v>
      </c>
    </row>
    <row r="3605">
      <c r="A3605" t="inlineStr">
        <is>
          <t>Gambia, The</t>
        </is>
      </c>
      <c r="B3605" t="inlineStr">
        <is>
          <t>GMB</t>
        </is>
      </c>
      <c r="C3605" t="n">
        <v>1965</v>
      </c>
      <c r="D3605" t="n">
        <v>1.21803662168856</v>
      </c>
    </row>
    <row r="3606">
      <c r="A3606" t="inlineStr">
        <is>
          <t>Gambia, The</t>
        </is>
      </c>
      <c r="B3606" t="inlineStr">
        <is>
          <t>GMB</t>
        </is>
      </c>
      <c r="C3606" t="n">
        <v>1966</v>
      </c>
      <c r="D3606" t="n">
        <v>0.23908192532822</v>
      </c>
    </row>
    <row r="3607">
      <c r="A3607" t="inlineStr">
        <is>
          <t>Gambia, The</t>
        </is>
      </c>
      <c r="B3607" t="inlineStr">
        <is>
          <t>GMB</t>
        </is>
      </c>
      <c r="C3607" t="n">
        <v>1967</v>
      </c>
      <c r="D3607" t="n">
        <v>1.40721895381677</v>
      </c>
    </row>
    <row r="3608">
      <c r="A3608" t="inlineStr">
        <is>
          <t>Gambia, The</t>
        </is>
      </c>
      <c r="B3608" t="inlineStr">
        <is>
          <t>GMB</t>
        </is>
      </c>
      <c r="C3608" t="n">
        <v>1968</v>
      </c>
      <c r="D3608" t="n">
        <v>4.17875343012887</v>
      </c>
    </row>
    <row r="3609">
      <c r="A3609" t="inlineStr">
        <is>
          <t>Gambia, The</t>
        </is>
      </c>
      <c r="B3609" t="inlineStr">
        <is>
          <t>GMB</t>
        </is>
      </c>
      <c r="C3609" t="n">
        <v>1969</v>
      </c>
      <c r="D3609" t="n">
        <v>5.01204093884017</v>
      </c>
    </row>
    <row r="3610">
      <c r="A3610" t="inlineStr">
        <is>
          <t>Gambia, The</t>
        </is>
      </c>
      <c r="B3610" t="inlineStr">
        <is>
          <t>GMB</t>
        </is>
      </c>
      <c r="C3610" t="n">
        <v>1970</v>
      </c>
      <c r="D3610" t="n">
        <v>-1.98509387961995</v>
      </c>
    </row>
    <row r="3611">
      <c r="A3611" t="inlineStr">
        <is>
          <t>Gambia, The</t>
        </is>
      </c>
      <c r="B3611" t="inlineStr">
        <is>
          <t>GMB</t>
        </is>
      </c>
      <c r="C3611" t="n">
        <v>1971</v>
      </c>
      <c r="D3611" t="n">
        <v>3.05622578045008</v>
      </c>
    </row>
    <row r="3612">
      <c r="A3612" t="inlineStr">
        <is>
          <t>Gambia, The</t>
        </is>
      </c>
      <c r="B3612" t="inlineStr">
        <is>
          <t>GMB</t>
        </is>
      </c>
      <c r="C3612" t="n">
        <v>1972</v>
      </c>
      <c r="D3612" t="n">
        <v>8.698119900794349</v>
      </c>
    </row>
    <row r="3613">
      <c r="A3613" t="inlineStr">
        <is>
          <t>Gambia, The</t>
        </is>
      </c>
      <c r="B3613" t="inlineStr">
        <is>
          <t>GMB</t>
        </is>
      </c>
      <c r="C3613" t="n">
        <v>1973</v>
      </c>
      <c r="D3613" t="n">
        <v>6.91860844589019</v>
      </c>
    </row>
    <row r="3614">
      <c r="A3614" t="inlineStr">
        <is>
          <t>Gambia, The</t>
        </is>
      </c>
      <c r="B3614" t="inlineStr">
        <is>
          <t>GMB</t>
        </is>
      </c>
      <c r="C3614" t="n">
        <v>1974</v>
      </c>
      <c r="D3614" t="n">
        <v>9.236310359668529</v>
      </c>
    </row>
    <row r="3615">
      <c r="A3615" t="inlineStr">
        <is>
          <t>Gambia, The</t>
        </is>
      </c>
      <c r="B3615" t="inlineStr">
        <is>
          <t>GMB</t>
        </is>
      </c>
      <c r="C3615" t="n">
        <v>1975</v>
      </c>
      <c r="D3615" t="n">
        <v>25.9249999994999</v>
      </c>
    </row>
    <row r="3616">
      <c r="A3616" t="inlineStr">
        <is>
          <t>Gambia, The</t>
        </is>
      </c>
      <c r="B3616" t="inlineStr">
        <is>
          <t>GMB</t>
        </is>
      </c>
      <c r="C3616" t="n">
        <v>1976</v>
      </c>
      <c r="D3616" t="n">
        <v>17.0273310832519</v>
      </c>
    </row>
    <row r="3617">
      <c r="A3617" t="inlineStr">
        <is>
          <t>Gambia, The</t>
        </is>
      </c>
      <c r="B3617" t="inlineStr">
        <is>
          <t>GMB</t>
        </is>
      </c>
      <c r="C3617" t="n">
        <v>1977</v>
      </c>
      <c r="D3617" t="n">
        <v>12.3897308301286</v>
      </c>
    </row>
    <row r="3618">
      <c r="A3618" t="inlineStr">
        <is>
          <t>Gambia, The</t>
        </is>
      </c>
      <c r="B3618" t="inlineStr">
        <is>
          <t>GMB</t>
        </is>
      </c>
      <c r="C3618" t="n">
        <v>1978</v>
      </c>
      <c r="D3618" t="n">
        <v>8.85534591214091</v>
      </c>
    </row>
    <row r="3619">
      <c r="A3619" t="inlineStr">
        <is>
          <t>Gambia, The</t>
        </is>
      </c>
      <c r="B3619" t="inlineStr">
        <is>
          <t>GMB</t>
        </is>
      </c>
      <c r="C3619" t="n">
        <v>1979</v>
      </c>
      <c r="D3619" t="n">
        <v>6.12895770734282</v>
      </c>
    </row>
    <row r="3620">
      <c r="A3620" t="inlineStr">
        <is>
          <t>Gambia, The</t>
        </is>
      </c>
      <c r="B3620" t="inlineStr">
        <is>
          <t>GMB</t>
        </is>
      </c>
      <c r="C3620" t="n">
        <v>1980</v>
      </c>
      <c r="D3620" t="n">
        <v>6.82461565247797</v>
      </c>
    </row>
    <row r="3621">
      <c r="A3621" t="inlineStr">
        <is>
          <t>Gambia, The</t>
        </is>
      </c>
      <c r="B3621" t="inlineStr">
        <is>
          <t>GMB</t>
        </is>
      </c>
      <c r="C3621" t="n">
        <v>1981</v>
      </c>
      <c r="D3621" t="n">
        <v>5.94422700614445</v>
      </c>
    </row>
    <row r="3622">
      <c r="A3622" t="inlineStr">
        <is>
          <t>Gambia, The</t>
        </is>
      </c>
      <c r="B3622" t="inlineStr">
        <is>
          <t>GMB</t>
        </is>
      </c>
      <c r="C3622" t="n">
        <v>1982</v>
      </c>
      <c r="D3622" t="n">
        <v>10.8558454553089</v>
      </c>
    </row>
    <row r="3623">
      <c r="A3623" t="inlineStr">
        <is>
          <t>Gambia, The</t>
        </is>
      </c>
      <c r="B3623" t="inlineStr">
        <is>
          <t>GMB</t>
        </is>
      </c>
      <c r="C3623" t="n">
        <v>1983</v>
      </c>
      <c r="D3623" t="n">
        <v>10.6363036761385</v>
      </c>
    </row>
    <row r="3624">
      <c r="A3624" t="inlineStr">
        <is>
          <t>Gambia, The</t>
        </is>
      </c>
      <c r="B3624" t="inlineStr">
        <is>
          <t>GMB</t>
        </is>
      </c>
      <c r="C3624" t="n">
        <v>1984</v>
      </c>
      <c r="D3624" t="n">
        <v>22.0984594145327</v>
      </c>
    </row>
    <row r="3625">
      <c r="A3625" t="inlineStr">
        <is>
          <t>Gambia, The</t>
        </is>
      </c>
      <c r="B3625" t="inlineStr">
        <is>
          <t>GMB</t>
        </is>
      </c>
      <c r="C3625" t="n">
        <v>1985</v>
      </c>
      <c r="D3625" t="n">
        <v>18.319884874273</v>
      </c>
    </row>
    <row r="3626">
      <c r="A3626" t="inlineStr">
        <is>
          <t>Gambia, The</t>
        </is>
      </c>
      <c r="B3626" t="inlineStr">
        <is>
          <t>GMB</t>
        </is>
      </c>
      <c r="C3626" t="n">
        <v>1986</v>
      </c>
      <c r="D3626" t="n">
        <v>56.560172013504</v>
      </c>
    </row>
    <row r="3627">
      <c r="A3627" t="inlineStr">
        <is>
          <t>Gambia, The</t>
        </is>
      </c>
      <c r="B3627" t="inlineStr">
        <is>
          <t>GMB</t>
        </is>
      </c>
      <c r="C3627" t="n">
        <v>1987</v>
      </c>
      <c r="D3627" t="n">
        <v>23.5291669556941</v>
      </c>
    </row>
    <row r="3628">
      <c r="A3628" t="inlineStr">
        <is>
          <t>Gambia, The</t>
        </is>
      </c>
      <c r="B3628" t="inlineStr">
        <is>
          <t>GMB</t>
        </is>
      </c>
      <c r="C3628" t="n">
        <v>1988</v>
      </c>
      <c r="D3628" t="n">
        <v>11.6905868876763</v>
      </c>
    </row>
    <row r="3629">
      <c r="A3629" t="inlineStr">
        <is>
          <t>Gambia, The</t>
        </is>
      </c>
      <c r="B3629" t="inlineStr">
        <is>
          <t>GMB</t>
        </is>
      </c>
      <c r="C3629" t="n">
        <v>1989</v>
      </c>
      <c r="D3629" t="n">
        <v>8.275016087515921</v>
      </c>
    </row>
    <row r="3630">
      <c r="A3630" t="inlineStr">
        <is>
          <t>Gambia, The</t>
        </is>
      </c>
      <c r="B3630" t="inlineStr">
        <is>
          <t>GMB</t>
        </is>
      </c>
      <c r="C3630" t="n">
        <v>1990</v>
      </c>
      <c r="D3630" t="n">
        <v>12.1677841130696</v>
      </c>
    </row>
    <row r="3631">
      <c r="A3631" t="inlineStr">
        <is>
          <t>Gambia, The</t>
        </is>
      </c>
      <c r="B3631" t="inlineStr">
        <is>
          <t>GMB</t>
        </is>
      </c>
      <c r="C3631" t="n">
        <v>1991</v>
      </c>
      <c r="D3631" t="n">
        <v>8.64234325973438</v>
      </c>
    </row>
    <row r="3632">
      <c r="A3632" t="inlineStr">
        <is>
          <t>Gambia, The</t>
        </is>
      </c>
      <c r="B3632" t="inlineStr">
        <is>
          <t>GMB</t>
        </is>
      </c>
      <c r="C3632" t="n">
        <v>1992</v>
      </c>
      <c r="D3632" t="n">
        <v>9.486542506171631</v>
      </c>
    </row>
    <row r="3633">
      <c r="A3633" t="inlineStr">
        <is>
          <t>Gambia, The</t>
        </is>
      </c>
      <c r="B3633" t="inlineStr">
        <is>
          <t>GMB</t>
        </is>
      </c>
      <c r="C3633" t="n">
        <v>1993</v>
      </c>
      <c r="D3633" t="n">
        <v>6.46380422753847</v>
      </c>
    </row>
    <row r="3634">
      <c r="A3634" t="inlineStr">
        <is>
          <t>Gambia, The</t>
        </is>
      </c>
      <c r="B3634" t="inlineStr">
        <is>
          <t>GMB</t>
        </is>
      </c>
      <c r="C3634" t="n">
        <v>1994</v>
      </c>
      <c r="D3634" t="n">
        <v>1.71020632305637</v>
      </c>
    </row>
    <row r="3635">
      <c r="A3635" t="inlineStr">
        <is>
          <t>Gambia, The</t>
        </is>
      </c>
      <c r="B3635" t="inlineStr">
        <is>
          <t>GMB</t>
        </is>
      </c>
      <c r="C3635" t="n">
        <v>1995</v>
      </c>
      <c r="D3635" t="n">
        <v>6.98097441830556</v>
      </c>
    </row>
    <row r="3636">
      <c r="A3636" t="inlineStr">
        <is>
          <t>Gambia, The</t>
        </is>
      </c>
      <c r="B3636" t="inlineStr">
        <is>
          <t>GMB</t>
        </is>
      </c>
      <c r="C3636" t="n">
        <v>1996</v>
      </c>
      <c r="D3636" t="n">
        <v>1.09948870771018</v>
      </c>
    </row>
    <row r="3637">
      <c r="A3637" t="inlineStr">
        <is>
          <t>Gambia, The</t>
        </is>
      </c>
      <c r="B3637" t="inlineStr">
        <is>
          <t>GMB</t>
        </is>
      </c>
      <c r="C3637" t="n">
        <v>1997</v>
      </c>
      <c r="D3637" t="n">
        <v>2.78122790023229</v>
      </c>
    </row>
    <row r="3638">
      <c r="A3638" t="inlineStr">
        <is>
          <t>Gambia, The</t>
        </is>
      </c>
      <c r="B3638" t="inlineStr">
        <is>
          <t>GMB</t>
        </is>
      </c>
      <c r="C3638" t="n">
        <v>1998</v>
      </c>
      <c r="D3638" t="n">
        <v>1.11418841174713</v>
      </c>
    </row>
    <row r="3639">
      <c r="A3639" t="inlineStr">
        <is>
          <t>Gambia, The</t>
        </is>
      </c>
      <c r="B3639" t="inlineStr">
        <is>
          <t>GMB</t>
        </is>
      </c>
      <c r="C3639" t="n">
        <v>1999</v>
      </c>
      <c r="D3639" t="n">
        <v>3.8123720536602</v>
      </c>
    </row>
    <row r="3640">
      <c r="A3640" t="inlineStr">
        <is>
          <t>Gambia, The</t>
        </is>
      </c>
      <c r="B3640" t="inlineStr">
        <is>
          <t>GMB</t>
        </is>
      </c>
      <c r="C3640" t="n">
        <v>2000</v>
      </c>
      <c r="D3640" t="n">
        <v>0.8449695667737001</v>
      </c>
    </row>
    <row r="3641">
      <c r="A3641" t="inlineStr">
        <is>
          <t>Gambia, The</t>
        </is>
      </c>
      <c r="B3641" t="inlineStr">
        <is>
          <t>GMB</t>
        </is>
      </c>
      <c r="C3641" t="n">
        <v>2001</v>
      </c>
      <c r="D3641" t="n">
        <v>4.49259609239754</v>
      </c>
    </row>
    <row r="3642">
      <c r="A3642" t="inlineStr">
        <is>
          <t>Gambia, The</t>
        </is>
      </c>
      <c r="B3642" t="inlineStr">
        <is>
          <t>GMB</t>
        </is>
      </c>
      <c r="C3642" t="n">
        <v>2002</v>
      </c>
      <c r="D3642" t="n">
        <v>8.609124743863269</v>
      </c>
    </row>
    <row r="3643">
      <c r="A3643" t="inlineStr">
        <is>
          <t>Gambia, The</t>
        </is>
      </c>
      <c r="B3643" t="inlineStr">
        <is>
          <t>GMB</t>
        </is>
      </c>
      <c r="C3643" t="n">
        <v>2003</v>
      </c>
      <c r="D3643" t="n">
        <v>17.0328665431988</v>
      </c>
    </row>
    <row r="3644">
      <c r="A3644" t="inlineStr">
        <is>
          <t>Gambia, The</t>
        </is>
      </c>
      <c r="B3644" t="inlineStr">
        <is>
          <t>GMB</t>
        </is>
      </c>
      <c r="C3644" t="n">
        <v>2004</v>
      </c>
      <c r="D3644" t="n">
        <v>14.2067432845569</v>
      </c>
    </row>
    <row r="3645">
      <c r="A3645" t="inlineStr">
        <is>
          <t>Gambia, The</t>
        </is>
      </c>
      <c r="B3645" t="inlineStr">
        <is>
          <t>GMB</t>
        </is>
      </c>
      <c r="C3645" t="n">
        <v>2005</v>
      </c>
      <c r="D3645" t="n">
        <v>4.83862177543157</v>
      </c>
    </row>
    <row r="3646">
      <c r="A3646" t="inlineStr">
        <is>
          <t>Gambia, The</t>
        </is>
      </c>
      <c r="B3646" t="inlineStr">
        <is>
          <t>GMB</t>
        </is>
      </c>
      <c r="C3646" t="n">
        <v>2006</v>
      </c>
      <c r="D3646" t="n">
        <v>2.0565034236599</v>
      </c>
    </row>
    <row r="3647">
      <c r="A3647" t="inlineStr">
        <is>
          <t>Gambia, The</t>
        </is>
      </c>
      <c r="B3647" t="inlineStr">
        <is>
          <t>GMB</t>
        </is>
      </c>
      <c r="C3647" t="n">
        <v>2007</v>
      </c>
      <c r="D3647" t="n">
        <v>5.36913473801957</v>
      </c>
    </row>
    <row r="3648">
      <c r="A3648" t="inlineStr">
        <is>
          <t>Gambia, The</t>
        </is>
      </c>
      <c r="B3648" t="inlineStr">
        <is>
          <t>GMB</t>
        </is>
      </c>
      <c r="C3648" t="n">
        <v>2008</v>
      </c>
      <c r="D3648" t="n">
        <v>4.4436549094501</v>
      </c>
    </row>
    <row r="3649">
      <c r="A3649" t="inlineStr">
        <is>
          <t>Gambia, The</t>
        </is>
      </c>
      <c r="B3649" t="inlineStr">
        <is>
          <t>GMB</t>
        </is>
      </c>
      <c r="C3649" t="n">
        <v>2009</v>
      </c>
      <c r="D3649" t="n">
        <v>4.56150687670983</v>
      </c>
    </row>
    <row r="3650">
      <c r="A3650" t="inlineStr">
        <is>
          <t>Gambia, The</t>
        </is>
      </c>
      <c r="B3650" t="inlineStr">
        <is>
          <t>GMB</t>
        </is>
      </c>
      <c r="C3650" t="n">
        <v>2010</v>
      </c>
      <c r="D3650" t="n">
        <v>5.04968075857402</v>
      </c>
    </row>
    <row r="3651">
      <c r="A3651" t="inlineStr">
        <is>
          <t>Gambia, The</t>
        </is>
      </c>
      <c r="B3651" t="inlineStr">
        <is>
          <t>GMB</t>
        </is>
      </c>
      <c r="C3651" t="n">
        <v>2011</v>
      </c>
      <c r="D3651" t="n">
        <v>4.7958826618311</v>
      </c>
    </row>
    <row r="3652">
      <c r="A3652" t="inlineStr">
        <is>
          <t>Gambia, The</t>
        </is>
      </c>
      <c r="B3652" t="inlineStr">
        <is>
          <t>GMB</t>
        </is>
      </c>
      <c r="C3652" t="n">
        <v>2012</v>
      </c>
      <c r="D3652" t="n">
        <v>4.25432199813899</v>
      </c>
    </row>
    <row r="3653">
      <c r="A3653" t="inlineStr">
        <is>
          <t>Gambia, The</t>
        </is>
      </c>
      <c r="B3653" t="inlineStr">
        <is>
          <t>GMB</t>
        </is>
      </c>
      <c r="C3653" t="n">
        <v>2013</v>
      </c>
      <c r="D3653" t="n">
        <v>5.69912989637382</v>
      </c>
    </row>
    <row r="3654">
      <c r="A3654" t="inlineStr">
        <is>
          <t>Gambia, The</t>
        </is>
      </c>
      <c r="B3654" t="inlineStr">
        <is>
          <t>GMB</t>
        </is>
      </c>
      <c r="C3654" t="n">
        <v>2014</v>
      </c>
      <c r="D3654" t="n">
        <v>5.94799935696626</v>
      </c>
    </row>
    <row r="3655">
      <c r="A3655" t="inlineStr">
        <is>
          <t>Gambia, The</t>
        </is>
      </c>
      <c r="B3655" t="inlineStr">
        <is>
          <t>GMB</t>
        </is>
      </c>
      <c r="C3655" t="n">
        <v>2015</v>
      </c>
      <c r="D3655" t="n">
        <v>6.8084549457961</v>
      </c>
    </row>
    <row r="3656">
      <c r="A3656" t="inlineStr">
        <is>
          <t>Gambia, The</t>
        </is>
      </c>
      <c r="B3656" t="inlineStr">
        <is>
          <t>GMB</t>
        </is>
      </c>
      <c r="C3656" t="n">
        <v>2016</v>
      </c>
      <c r="D3656" t="n">
        <v>7.22879272057922</v>
      </c>
    </row>
    <row r="3657">
      <c r="A3657" t="inlineStr">
        <is>
          <t>Gambia, The</t>
        </is>
      </c>
      <c r="B3657" t="inlineStr">
        <is>
          <t>GMB</t>
        </is>
      </c>
      <c r="C3657" t="n">
        <v>2017</v>
      </c>
      <c r="D3657" t="n">
        <v>8.034189745459109</v>
      </c>
    </row>
    <row r="3658">
      <c r="A3658" t="inlineStr">
        <is>
          <t>Gambia, The</t>
        </is>
      </c>
      <c r="B3658" t="inlineStr">
        <is>
          <t>GMB</t>
        </is>
      </c>
      <c r="C3658" t="n">
        <v>2018</v>
      </c>
      <c r="D3658" t="n">
        <v>6.52096823946573</v>
      </c>
    </row>
    <row r="3659">
      <c r="A3659" t="inlineStr">
        <is>
          <t>Gambia, The</t>
        </is>
      </c>
      <c r="B3659" t="inlineStr">
        <is>
          <t>GMB</t>
        </is>
      </c>
      <c r="C3659" t="n">
        <v>2019</v>
      </c>
      <c r="D3659" t="n">
        <v>7.11567625631192</v>
      </c>
    </row>
    <row r="3660">
      <c r="A3660" t="inlineStr">
        <is>
          <t>Gambia, The</t>
        </is>
      </c>
      <c r="B3660" t="inlineStr">
        <is>
          <t>GMB</t>
        </is>
      </c>
      <c r="C3660" t="n">
        <v>2020</v>
      </c>
      <c r="D3660" t="n">
        <v>5.93127636562441</v>
      </c>
    </row>
    <row r="3661">
      <c r="A3661" t="inlineStr">
        <is>
          <t>Gambia, The</t>
        </is>
      </c>
      <c r="B3661" t="inlineStr">
        <is>
          <t>GMB</t>
        </is>
      </c>
      <c r="C3661" t="n">
        <v>2021</v>
      </c>
      <c r="D3661" t="n">
        <v>7.37034758876618</v>
      </c>
    </row>
    <row r="3662">
      <c r="A3662" t="inlineStr">
        <is>
          <t>Gambia, The</t>
        </is>
      </c>
      <c r="B3662" t="inlineStr">
        <is>
          <t>GMB</t>
        </is>
      </c>
      <c r="C3662" t="n">
        <v>2022</v>
      </c>
      <c r="D3662" t="n">
        <v>11.5131198380505</v>
      </c>
    </row>
    <row r="3663">
      <c r="A3663" t="inlineStr">
        <is>
          <t>Gambia, The</t>
        </is>
      </c>
      <c r="B3663" t="inlineStr">
        <is>
          <t>GMB</t>
        </is>
      </c>
      <c r="C3663" t="n">
        <v>2023</v>
      </c>
      <c r="D3663" t="n">
        <v>16.9742129632327</v>
      </c>
    </row>
    <row r="3664">
      <c r="A3664" t="inlineStr">
        <is>
          <t>Guinea-Bissau</t>
        </is>
      </c>
      <c r="B3664" t="inlineStr">
        <is>
          <t>GNB</t>
        </is>
      </c>
      <c r="C3664" t="n">
        <v>1988</v>
      </c>
      <c r="D3664" t="n">
        <v>60.2817826333536</v>
      </c>
    </row>
    <row r="3665">
      <c r="A3665" t="inlineStr">
        <is>
          <t>Guinea-Bissau</t>
        </is>
      </c>
      <c r="B3665" t="inlineStr">
        <is>
          <t>GNB</t>
        </is>
      </c>
      <c r="C3665" t="n">
        <v>1989</v>
      </c>
      <c r="D3665" t="n">
        <v>80.78814064362339</v>
      </c>
    </row>
    <row r="3666">
      <c r="A3666" t="inlineStr">
        <is>
          <t>Guinea-Bissau</t>
        </is>
      </c>
      <c r="B3666" t="inlineStr">
        <is>
          <t>GNB</t>
        </is>
      </c>
      <c r="C3666" t="n">
        <v>1990</v>
      </c>
      <c r="D3666" t="n">
        <v>33.0019778318026</v>
      </c>
    </row>
    <row r="3667">
      <c r="A3667" t="inlineStr">
        <is>
          <t>Guinea-Bissau</t>
        </is>
      </c>
      <c r="B3667" t="inlineStr">
        <is>
          <t>GNB</t>
        </is>
      </c>
      <c r="C3667" t="n">
        <v>1991</v>
      </c>
      <c r="D3667" t="n">
        <v>57.5952847505663</v>
      </c>
    </row>
    <row r="3668">
      <c r="A3668" t="inlineStr">
        <is>
          <t>Guinea-Bissau</t>
        </is>
      </c>
      <c r="B3668" t="inlineStr">
        <is>
          <t>GNB</t>
        </is>
      </c>
      <c r="C3668" t="n">
        <v>1992</v>
      </c>
      <c r="D3668" t="n">
        <v>69.5836363993793</v>
      </c>
    </row>
    <row r="3669">
      <c r="A3669" t="inlineStr">
        <is>
          <t>Guinea-Bissau</t>
        </is>
      </c>
      <c r="B3669" t="inlineStr">
        <is>
          <t>GNB</t>
        </is>
      </c>
      <c r="C3669" t="n">
        <v>1993</v>
      </c>
      <c r="D3669" t="n">
        <v>48.1081660687068</v>
      </c>
    </row>
    <row r="3670">
      <c r="A3670" t="inlineStr">
        <is>
          <t>Guinea-Bissau</t>
        </is>
      </c>
      <c r="B3670" t="inlineStr">
        <is>
          <t>GNB</t>
        </is>
      </c>
      <c r="C3670" t="n">
        <v>1994</v>
      </c>
      <c r="D3670" t="n">
        <v>15.1763474313441</v>
      </c>
    </row>
    <row r="3671">
      <c r="A3671" t="inlineStr">
        <is>
          <t>Guinea-Bissau</t>
        </is>
      </c>
      <c r="B3671" t="inlineStr">
        <is>
          <t>GNB</t>
        </is>
      </c>
      <c r="C3671" t="n">
        <v>1995</v>
      </c>
      <c r="D3671" t="n">
        <v>45.3653083621856</v>
      </c>
    </row>
    <row r="3672">
      <c r="A3672" t="inlineStr">
        <is>
          <t>Guinea-Bissau</t>
        </is>
      </c>
      <c r="B3672" t="inlineStr">
        <is>
          <t>GNB</t>
        </is>
      </c>
      <c r="C3672" t="n">
        <v>1996</v>
      </c>
      <c r="D3672" t="n">
        <v>50.7340549612119</v>
      </c>
    </row>
    <row r="3673">
      <c r="A3673" t="inlineStr">
        <is>
          <t>Guinea-Bissau</t>
        </is>
      </c>
      <c r="B3673" t="inlineStr">
        <is>
          <t>GNB</t>
        </is>
      </c>
      <c r="C3673" t="n">
        <v>1997</v>
      </c>
      <c r="D3673" t="n">
        <v>49.1009235769531</v>
      </c>
    </row>
    <row r="3674">
      <c r="A3674" t="inlineStr">
        <is>
          <t>Guinea-Bissau</t>
        </is>
      </c>
      <c r="B3674" t="inlineStr">
        <is>
          <t>GNB</t>
        </is>
      </c>
      <c r="C3674" t="n">
        <v>1998</v>
      </c>
      <c r="D3674" t="n">
        <v>8.013755189656029</v>
      </c>
    </row>
    <row r="3675">
      <c r="A3675" t="inlineStr">
        <is>
          <t>Guinea-Bissau</t>
        </is>
      </c>
      <c r="B3675" t="inlineStr">
        <is>
          <t>GNB</t>
        </is>
      </c>
      <c r="C3675" t="n">
        <v>1999</v>
      </c>
      <c r="D3675" t="n">
        <v>-2.08630513223527</v>
      </c>
    </row>
    <row r="3676">
      <c r="A3676" t="inlineStr">
        <is>
          <t>Guinea-Bissau</t>
        </is>
      </c>
      <c r="B3676" t="inlineStr">
        <is>
          <t>GNB</t>
        </is>
      </c>
      <c r="C3676" t="n">
        <v>2000</v>
      </c>
      <c r="D3676" t="n">
        <v>8.63632094930278</v>
      </c>
    </row>
    <row r="3677">
      <c r="A3677" t="inlineStr">
        <is>
          <t>Guinea-Bissau</t>
        </is>
      </c>
      <c r="B3677" t="inlineStr">
        <is>
          <t>GNB</t>
        </is>
      </c>
      <c r="C3677" t="n">
        <v>2001</v>
      </c>
      <c r="D3677" t="n">
        <v>3.34812265527109</v>
      </c>
    </row>
    <row r="3678">
      <c r="A3678" t="inlineStr">
        <is>
          <t>Guinea-Bissau</t>
        </is>
      </c>
      <c r="B3678" t="inlineStr">
        <is>
          <t>GNB</t>
        </is>
      </c>
      <c r="C3678" t="n">
        <v>2002</v>
      </c>
      <c r="D3678" t="n">
        <v>3.30012175283749</v>
      </c>
    </row>
    <row r="3679">
      <c r="A3679" t="inlineStr">
        <is>
          <t>Guinea-Bissau</t>
        </is>
      </c>
      <c r="B3679" t="inlineStr">
        <is>
          <t>GNB</t>
        </is>
      </c>
      <c r="C3679" t="n">
        <v>2003</v>
      </c>
      <c r="D3679" t="n">
        <v>-3.5025855110342</v>
      </c>
    </row>
    <row r="3680">
      <c r="A3680" t="inlineStr">
        <is>
          <t>Guinea-Bissau</t>
        </is>
      </c>
      <c r="B3680" t="inlineStr">
        <is>
          <t>GNB</t>
        </is>
      </c>
      <c r="C3680" t="n">
        <v>2004</v>
      </c>
      <c r="D3680" t="n">
        <v>0.883302696930943</v>
      </c>
    </row>
    <row r="3681">
      <c r="A3681" t="inlineStr">
        <is>
          <t>Guinea-Bissau</t>
        </is>
      </c>
      <c r="B3681" t="inlineStr">
        <is>
          <t>GNB</t>
        </is>
      </c>
      <c r="C3681" t="n">
        <v>2005</v>
      </c>
      <c r="D3681" t="n">
        <v>3.32919922802856</v>
      </c>
    </row>
    <row r="3682">
      <c r="A3682" t="inlineStr">
        <is>
          <t>Guinea-Bissau</t>
        </is>
      </c>
      <c r="B3682" t="inlineStr">
        <is>
          <t>GNB</t>
        </is>
      </c>
      <c r="C3682" t="n">
        <v>2006</v>
      </c>
      <c r="D3682" t="n">
        <v>1.95473717628916</v>
      </c>
    </row>
    <row r="3683">
      <c r="A3683" t="inlineStr">
        <is>
          <t>Guinea-Bissau</t>
        </is>
      </c>
      <c r="B3683" t="inlineStr">
        <is>
          <t>GNB</t>
        </is>
      </c>
      <c r="C3683" t="n">
        <v>2007</v>
      </c>
      <c r="D3683" t="n">
        <v>4.61743772241997</v>
      </c>
    </row>
    <row r="3684">
      <c r="A3684" t="inlineStr">
        <is>
          <t>Guinea-Bissau</t>
        </is>
      </c>
      <c r="B3684" t="inlineStr">
        <is>
          <t>GNB</t>
        </is>
      </c>
      <c r="C3684" t="n">
        <v>2008</v>
      </c>
      <c r="D3684" t="n">
        <v>10.4600731354706</v>
      </c>
    </row>
    <row r="3685">
      <c r="A3685" t="inlineStr">
        <is>
          <t>Guinea-Bissau</t>
        </is>
      </c>
      <c r="B3685" t="inlineStr">
        <is>
          <t>GNB</t>
        </is>
      </c>
      <c r="C3685" t="n">
        <v>2009</v>
      </c>
      <c r="D3685" t="n">
        <v>-1.65139733620775</v>
      </c>
    </row>
    <row r="3686">
      <c r="A3686" t="inlineStr">
        <is>
          <t>Guinea-Bissau</t>
        </is>
      </c>
      <c r="B3686" t="inlineStr">
        <is>
          <t>GNB</t>
        </is>
      </c>
      <c r="C3686" t="n">
        <v>2010</v>
      </c>
      <c r="D3686" t="n">
        <v>2.51785140171697</v>
      </c>
    </row>
    <row r="3687">
      <c r="A3687" t="inlineStr">
        <is>
          <t>Guinea-Bissau</t>
        </is>
      </c>
      <c r="B3687" t="inlineStr">
        <is>
          <t>GNB</t>
        </is>
      </c>
      <c r="C3687" t="n">
        <v>2011</v>
      </c>
      <c r="D3687" t="n">
        <v>5.04610226320204</v>
      </c>
    </row>
    <row r="3688">
      <c r="A3688" t="inlineStr">
        <is>
          <t>Guinea-Bissau</t>
        </is>
      </c>
      <c r="B3688" t="inlineStr">
        <is>
          <t>GNB</t>
        </is>
      </c>
      <c r="C3688" t="n">
        <v>2012</v>
      </c>
      <c r="D3688" t="n">
        <v>2.13054580274493</v>
      </c>
    </row>
    <row r="3689">
      <c r="A3689" t="inlineStr">
        <is>
          <t>Guinea-Bissau</t>
        </is>
      </c>
      <c r="B3689" t="inlineStr">
        <is>
          <t>GNB</t>
        </is>
      </c>
      <c r="C3689" t="n">
        <v>2013</v>
      </c>
      <c r="D3689" t="n">
        <v>1.20712555668414</v>
      </c>
    </row>
    <row r="3690">
      <c r="A3690" t="inlineStr">
        <is>
          <t>Guinea-Bissau</t>
        </is>
      </c>
      <c r="B3690" t="inlineStr">
        <is>
          <t>GNB</t>
        </is>
      </c>
      <c r="C3690" t="n">
        <v>2014</v>
      </c>
      <c r="D3690" t="n">
        <v>-1.50924460570503</v>
      </c>
    </row>
    <row r="3691">
      <c r="A3691" t="inlineStr">
        <is>
          <t>Guinea-Bissau</t>
        </is>
      </c>
      <c r="B3691" t="inlineStr">
        <is>
          <t>GNB</t>
        </is>
      </c>
      <c r="C3691" t="n">
        <v>2015</v>
      </c>
      <c r="D3691" t="n">
        <v>1.47672048910494</v>
      </c>
    </row>
    <row r="3692">
      <c r="A3692" t="inlineStr">
        <is>
          <t>Guinea-Bissau</t>
        </is>
      </c>
      <c r="B3692" t="inlineStr">
        <is>
          <t>GNB</t>
        </is>
      </c>
      <c r="C3692" t="n">
        <v>2016</v>
      </c>
      <c r="D3692" t="n">
        <v>1.50312055861088</v>
      </c>
    </row>
    <row r="3693">
      <c r="A3693" t="inlineStr">
        <is>
          <t>Guinea-Bissau</t>
        </is>
      </c>
      <c r="B3693" t="inlineStr">
        <is>
          <t>GNB</t>
        </is>
      </c>
      <c r="C3693" t="n">
        <v>2017</v>
      </c>
      <c r="D3693" t="n">
        <v>1.69111461822289</v>
      </c>
    </row>
    <row r="3694">
      <c r="A3694" t="inlineStr">
        <is>
          <t>Guinea-Bissau</t>
        </is>
      </c>
      <c r="B3694" t="inlineStr">
        <is>
          <t>GNB</t>
        </is>
      </c>
      <c r="C3694" t="n">
        <v>2018</v>
      </c>
      <c r="D3694" t="n">
        <v>0.381324702791081</v>
      </c>
    </row>
    <row r="3695">
      <c r="A3695" t="inlineStr">
        <is>
          <t>Guinea-Bissau</t>
        </is>
      </c>
      <c r="B3695" t="inlineStr">
        <is>
          <t>GNB</t>
        </is>
      </c>
      <c r="C3695" t="n">
        <v>2019</v>
      </c>
      <c r="D3695" t="n">
        <v>0.24660026814783</v>
      </c>
    </row>
    <row r="3696">
      <c r="A3696" t="inlineStr">
        <is>
          <t>Guinea-Bissau</t>
        </is>
      </c>
      <c r="B3696" t="inlineStr">
        <is>
          <t>GNB</t>
        </is>
      </c>
      <c r="C3696" t="n">
        <v>2020</v>
      </c>
      <c r="D3696" t="n">
        <v>1.14000939393213</v>
      </c>
    </row>
    <row r="3697">
      <c r="A3697" t="inlineStr">
        <is>
          <t>Guinea-Bissau</t>
        </is>
      </c>
      <c r="B3697" t="inlineStr">
        <is>
          <t>GNB</t>
        </is>
      </c>
      <c r="C3697" t="n">
        <v>2021</v>
      </c>
      <c r="D3697" t="n">
        <v>2.24248879577659</v>
      </c>
    </row>
    <row r="3698">
      <c r="A3698" t="inlineStr">
        <is>
          <t>Guinea-Bissau</t>
        </is>
      </c>
      <c r="B3698" t="inlineStr">
        <is>
          <t>GNB</t>
        </is>
      </c>
      <c r="C3698" t="n">
        <v>2022</v>
      </c>
      <c r="D3698" t="n">
        <v>9.393838774565911</v>
      </c>
    </row>
    <row r="3699">
      <c r="A3699" t="inlineStr">
        <is>
          <t>Equatorial Guinea</t>
        </is>
      </c>
      <c r="B3699" t="inlineStr">
        <is>
          <t>GNQ</t>
        </is>
      </c>
      <c r="C3699" t="n">
        <v>1986</v>
      </c>
      <c r="D3699" t="n">
        <v>-17.6404240920371</v>
      </c>
    </row>
    <row r="3700">
      <c r="A3700" t="inlineStr">
        <is>
          <t>Equatorial Guinea</t>
        </is>
      </c>
      <c r="B3700" t="inlineStr">
        <is>
          <t>GNQ</t>
        </is>
      </c>
      <c r="C3700" t="n">
        <v>1987</v>
      </c>
      <c r="D3700" t="n">
        <v>-13.1744727471927</v>
      </c>
    </row>
    <row r="3701">
      <c r="A3701" t="inlineStr">
        <is>
          <t>Equatorial Guinea</t>
        </is>
      </c>
      <c r="B3701" t="inlineStr">
        <is>
          <t>GNQ</t>
        </is>
      </c>
      <c r="C3701" t="n">
        <v>1988</v>
      </c>
      <c r="D3701" t="n">
        <v>2.52365930599391</v>
      </c>
    </row>
    <row r="3702">
      <c r="A3702" t="inlineStr">
        <is>
          <t>Equatorial Guinea</t>
        </is>
      </c>
      <c r="B3702" t="inlineStr">
        <is>
          <t>GNQ</t>
        </is>
      </c>
      <c r="C3702" t="n">
        <v>1989</v>
      </c>
      <c r="D3702" t="n">
        <v>6.16615384615363</v>
      </c>
    </row>
    <row r="3703">
      <c r="A3703" t="inlineStr">
        <is>
          <t>Equatorial Guinea</t>
        </is>
      </c>
      <c r="B3703" t="inlineStr">
        <is>
          <t>GNQ</t>
        </is>
      </c>
      <c r="C3703" t="n">
        <v>1990</v>
      </c>
      <c r="D3703" t="n">
        <v>0.857871551124735</v>
      </c>
    </row>
    <row r="3704">
      <c r="A3704" t="inlineStr">
        <is>
          <t>Equatorial Guinea</t>
        </is>
      </c>
      <c r="B3704" t="inlineStr">
        <is>
          <t>GNQ</t>
        </is>
      </c>
      <c r="C3704" t="n">
        <v>1991</v>
      </c>
      <c r="D3704" t="n">
        <v>-3.42528735632201</v>
      </c>
    </row>
    <row r="3705">
      <c r="A3705" t="inlineStr">
        <is>
          <t>Equatorial Guinea</t>
        </is>
      </c>
      <c r="B3705" t="inlineStr">
        <is>
          <t>GNQ</t>
        </is>
      </c>
      <c r="C3705" t="n">
        <v>1992</v>
      </c>
      <c r="D3705" t="n">
        <v>-4.27874315639129</v>
      </c>
    </row>
    <row r="3706">
      <c r="A3706" t="inlineStr">
        <is>
          <t>Equatorial Guinea</t>
        </is>
      </c>
      <c r="B3706" t="inlineStr">
        <is>
          <t>GNQ</t>
        </is>
      </c>
      <c r="C3706" t="n">
        <v>1993</v>
      </c>
      <c r="D3706" t="n">
        <v>5.4522847373328</v>
      </c>
    </row>
    <row r="3707">
      <c r="A3707" t="inlineStr">
        <is>
          <t>Equatorial Guinea</t>
        </is>
      </c>
      <c r="B3707" t="inlineStr">
        <is>
          <t>GNQ</t>
        </is>
      </c>
      <c r="C3707" t="n">
        <v>1994</v>
      </c>
      <c r="D3707" t="n">
        <v>31.8410168416385</v>
      </c>
    </row>
    <row r="3708">
      <c r="A3708" t="inlineStr">
        <is>
          <t>Equatorial Guinea</t>
        </is>
      </c>
      <c r="B3708" t="inlineStr">
        <is>
          <t>GNQ</t>
        </is>
      </c>
      <c r="C3708" t="n">
        <v>1995</v>
      </c>
      <c r="D3708" t="n">
        <v>19.8724349483472</v>
      </c>
    </row>
    <row r="3709">
      <c r="A3709" t="inlineStr">
        <is>
          <t>Equatorial Guinea</t>
        </is>
      </c>
      <c r="B3709" t="inlineStr">
        <is>
          <t>GNQ</t>
        </is>
      </c>
      <c r="C3709" t="n">
        <v>1996</v>
      </c>
      <c r="D3709" t="n">
        <v>4.54072771540235</v>
      </c>
    </row>
    <row r="3710">
      <c r="A3710" t="inlineStr">
        <is>
          <t>Equatorial Guinea</t>
        </is>
      </c>
      <c r="B3710" t="inlineStr">
        <is>
          <t>GNQ</t>
        </is>
      </c>
      <c r="C3710" t="n">
        <v>1997</v>
      </c>
      <c r="D3710" t="n">
        <v>3.01650540694366</v>
      </c>
    </row>
    <row r="3711">
      <c r="A3711" t="inlineStr">
        <is>
          <t>Equatorial Guinea</t>
        </is>
      </c>
      <c r="B3711" t="inlineStr">
        <is>
          <t>GNQ</t>
        </is>
      </c>
      <c r="C3711" t="n">
        <v>1998</v>
      </c>
      <c r="D3711" t="n">
        <v>7.93571069814148</v>
      </c>
    </row>
    <row r="3712">
      <c r="A3712" t="inlineStr">
        <is>
          <t>Equatorial Guinea</t>
        </is>
      </c>
      <c r="B3712" t="inlineStr">
        <is>
          <t>GNQ</t>
        </is>
      </c>
      <c r="C3712" t="n">
        <v>1999</v>
      </c>
      <c r="D3712" t="n">
        <v>0.372266170311928</v>
      </c>
    </row>
    <row r="3713">
      <c r="A3713" t="inlineStr">
        <is>
          <t>Equatorial Guinea</t>
        </is>
      </c>
      <c r="B3713" t="inlineStr">
        <is>
          <t>GNQ</t>
        </is>
      </c>
      <c r="C3713" t="n">
        <v>2000</v>
      </c>
      <c r="D3713" t="n">
        <v>4.80228886901398</v>
      </c>
    </row>
    <row r="3714">
      <c r="A3714" t="inlineStr">
        <is>
          <t>Equatorial Guinea</t>
        </is>
      </c>
      <c r="B3714" t="inlineStr">
        <is>
          <t>GNQ</t>
        </is>
      </c>
      <c r="C3714" t="n">
        <v>2001</v>
      </c>
      <c r="D3714" t="n">
        <v>8.825389258549659</v>
      </c>
    </row>
    <row r="3715">
      <c r="A3715" t="inlineStr">
        <is>
          <t>Equatorial Guinea</t>
        </is>
      </c>
      <c r="B3715" t="inlineStr">
        <is>
          <t>GNQ</t>
        </is>
      </c>
      <c r="C3715" t="n">
        <v>2002</v>
      </c>
      <c r="D3715" t="n">
        <v>7.5924784983324</v>
      </c>
    </row>
    <row r="3716">
      <c r="A3716" t="inlineStr">
        <is>
          <t>Equatorial Guinea</t>
        </is>
      </c>
      <c r="B3716" t="inlineStr">
        <is>
          <t>GNQ</t>
        </is>
      </c>
      <c r="C3716" t="n">
        <v>2003</v>
      </c>
      <c r="D3716" t="n">
        <v>7.32354399351809</v>
      </c>
    </row>
    <row r="3717">
      <c r="A3717" t="inlineStr">
        <is>
          <t>Equatorial Guinea</t>
        </is>
      </c>
      <c r="B3717" t="inlineStr">
        <is>
          <t>GNQ</t>
        </is>
      </c>
      <c r="C3717" t="n">
        <v>2004</v>
      </c>
      <c r="D3717" t="n">
        <v>4.21968787094834</v>
      </c>
    </row>
    <row r="3718">
      <c r="A3718" t="inlineStr">
        <is>
          <t>Equatorial Guinea</t>
        </is>
      </c>
      <c r="B3718" t="inlineStr">
        <is>
          <t>GNQ</t>
        </is>
      </c>
      <c r="C3718" t="n">
        <v>2005</v>
      </c>
      <c r="D3718" t="n">
        <v>5.63163351357613</v>
      </c>
    </row>
    <row r="3719">
      <c r="A3719" t="inlineStr">
        <is>
          <t>Equatorial Guinea</t>
        </is>
      </c>
      <c r="B3719" t="inlineStr">
        <is>
          <t>GNQ</t>
        </is>
      </c>
      <c r="C3719" t="n">
        <v>2006</v>
      </c>
      <c r="D3719" t="n">
        <v>4.41589984169561</v>
      </c>
    </row>
    <row r="3720">
      <c r="A3720" t="inlineStr">
        <is>
          <t>Equatorial Guinea</t>
        </is>
      </c>
      <c r="B3720" t="inlineStr">
        <is>
          <t>GNQ</t>
        </is>
      </c>
      <c r="C3720" t="n">
        <v>2007</v>
      </c>
      <c r="D3720" t="n">
        <v>2.80373831775704</v>
      </c>
    </row>
    <row r="3721">
      <c r="A3721" t="inlineStr">
        <is>
          <t>Equatorial Guinea</t>
        </is>
      </c>
      <c r="B3721" t="inlineStr">
        <is>
          <t>GNQ</t>
        </is>
      </c>
      <c r="C3721" t="n">
        <v>2008</v>
      </c>
      <c r="D3721" t="n">
        <v>6.55176691184535</v>
      </c>
    </row>
    <row r="3722">
      <c r="A3722" t="inlineStr">
        <is>
          <t>Equatorial Guinea</t>
        </is>
      </c>
      <c r="B3722" t="inlineStr">
        <is>
          <t>GNQ</t>
        </is>
      </c>
      <c r="C3722" t="n">
        <v>2009</v>
      </c>
      <c r="D3722" t="n">
        <v>4.69106567747375</v>
      </c>
    </row>
    <row r="3723">
      <c r="A3723" t="inlineStr">
        <is>
          <t>Equatorial Guinea</t>
        </is>
      </c>
      <c r="B3723" t="inlineStr">
        <is>
          <t>GNQ</t>
        </is>
      </c>
      <c r="C3723" t="n">
        <v>2010</v>
      </c>
      <c r="D3723" t="n">
        <v>7.78916547991184</v>
      </c>
    </row>
    <row r="3724">
      <c r="A3724" t="inlineStr">
        <is>
          <t>Equatorial Guinea</t>
        </is>
      </c>
      <c r="B3724" t="inlineStr">
        <is>
          <t>GNQ</t>
        </is>
      </c>
      <c r="C3724" t="n">
        <v>2011</v>
      </c>
      <c r="D3724" t="n">
        <v>4.805389221557</v>
      </c>
    </row>
    <row r="3725">
      <c r="A3725" t="inlineStr">
        <is>
          <t>Equatorial Guinea</t>
        </is>
      </c>
      <c r="B3725" t="inlineStr">
        <is>
          <t>GNQ</t>
        </is>
      </c>
      <c r="C3725" t="n">
        <v>2012</v>
      </c>
      <c r="D3725" t="n">
        <v>3.65662048278806</v>
      </c>
    </row>
    <row r="3726">
      <c r="A3726" t="inlineStr">
        <is>
          <t>Equatorial Guinea</t>
        </is>
      </c>
      <c r="B3726" t="inlineStr">
        <is>
          <t>GNQ</t>
        </is>
      </c>
      <c r="C3726" t="n">
        <v>2013</v>
      </c>
      <c r="D3726" t="n">
        <v>2.94887694639662</v>
      </c>
    </row>
    <row r="3727">
      <c r="A3727" t="inlineStr">
        <is>
          <t>Equatorial Guinea</t>
        </is>
      </c>
      <c r="B3727" t="inlineStr">
        <is>
          <t>GNQ</t>
        </is>
      </c>
      <c r="C3727" t="n">
        <v>2014</v>
      </c>
      <c r="D3727" t="n">
        <v>4.30999866149107</v>
      </c>
    </row>
    <row r="3728">
      <c r="A3728" t="inlineStr">
        <is>
          <t>Equatorial Guinea</t>
        </is>
      </c>
      <c r="B3728" t="inlineStr">
        <is>
          <t>GNQ</t>
        </is>
      </c>
      <c r="C3728" t="n">
        <v>2015</v>
      </c>
      <c r="D3728" t="n">
        <v>1.67663085315988</v>
      </c>
    </row>
    <row r="3729">
      <c r="A3729" t="inlineStr">
        <is>
          <t>Equatorial Guinea</t>
        </is>
      </c>
      <c r="B3729" t="inlineStr">
        <is>
          <t>GNQ</t>
        </is>
      </c>
      <c r="C3729" t="n">
        <v>2016</v>
      </c>
      <c r="D3729" t="n">
        <v>1.41193915479015</v>
      </c>
    </row>
    <row r="3730">
      <c r="A3730" t="inlineStr">
        <is>
          <t>Equatorial Guinea</t>
        </is>
      </c>
      <c r="B3730" t="inlineStr">
        <is>
          <t>GNQ</t>
        </is>
      </c>
      <c r="C3730" t="n">
        <v>2017</v>
      </c>
      <c r="D3730" t="n">
        <v>0.74435474661241</v>
      </c>
    </row>
    <row r="3731">
      <c r="A3731" t="inlineStr">
        <is>
          <t>Equatorial Guinea</t>
        </is>
      </c>
      <c r="B3731" t="inlineStr">
        <is>
          <t>GNQ</t>
        </is>
      </c>
      <c r="C3731" t="n">
        <v>2018</v>
      </c>
      <c r="D3731" t="n">
        <v>1.06007410662171</v>
      </c>
    </row>
    <row r="3732">
      <c r="A3732" t="inlineStr">
        <is>
          <t>Equatorial Guinea</t>
        </is>
      </c>
      <c r="B3732" t="inlineStr">
        <is>
          <t>GNQ</t>
        </is>
      </c>
      <c r="C3732" t="n">
        <v>2019</v>
      </c>
      <c r="D3732" t="n">
        <v>1.53027528964189</v>
      </c>
    </row>
    <row r="3733">
      <c r="A3733" t="inlineStr">
        <is>
          <t>Equatorial Guinea</t>
        </is>
      </c>
      <c r="B3733" t="inlineStr">
        <is>
          <t>GNQ</t>
        </is>
      </c>
      <c r="C3733" t="n">
        <v>2020</v>
      </c>
      <c r="D3733" t="n">
        <v>4.76669523944228</v>
      </c>
    </row>
    <row r="3734">
      <c r="A3734" t="inlineStr">
        <is>
          <t>Equatorial Guinea</t>
        </is>
      </c>
      <c r="B3734" t="inlineStr">
        <is>
          <t>GNQ</t>
        </is>
      </c>
      <c r="C3734" t="n">
        <v>2021</v>
      </c>
      <c r="D3734" t="n">
        <v>-0.0971007664640198</v>
      </c>
    </row>
    <row r="3735">
      <c r="A3735" t="inlineStr">
        <is>
          <t>Equatorial Guinea</t>
        </is>
      </c>
      <c r="B3735" t="inlineStr">
        <is>
          <t>GNQ</t>
        </is>
      </c>
      <c r="C3735" t="n">
        <v>2022</v>
      </c>
      <c r="D3735" t="n">
        <v>4.78671704710803</v>
      </c>
    </row>
    <row r="3736">
      <c r="A3736" t="inlineStr">
        <is>
          <t>Greece</t>
        </is>
      </c>
      <c r="B3736" t="inlineStr">
        <is>
          <t>GRC</t>
        </is>
      </c>
      <c r="C3736" t="n">
        <v>1960</v>
      </c>
      <c r="D3736" t="n">
        <v>1.47784758493376</v>
      </c>
    </row>
    <row r="3737">
      <c r="A3737" t="inlineStr">
        <is>
          <t>Greece</t>
        </is>
      </c>
      <c r="B3737" t="inlineStr">
        <is>
          <t>GRC</t>
        </is>
      </c>
      <c r="C3737" t="n">
        <v>1961</v>
      </c>
      <c r="D3737" t="n">
        <v>2.10357934997025</v>
      </c>
    </row>
    <row r="3738">
      <c r="A3738" t="inlineStr">
        <is>
          <t>Greece</t>
        </is>
      </c>
      <c r="B3738" t="inlineStr">
        <is>
          <t>GRC</t>
        </is>
      </c>
      <c r="C3738" t="n">
        <v>1962</v>
      </c>
      <c r="D3738" t="n">
        <v>-0.475428291049914</v>
      </c>
    </row>
    <row r="3739">
      <c r="A3739" t="inlineStr">
        <is>
          <t>Greece</t>
        </is>
      </c>
      <c r="B3739" t="inlineStr">
        <is>
          <t>GRC</t>
        </is>
      </c>
      <c r="C3739" t="n">
        <v>1963</v>
      </c>
      <c r="D3739" t="n">
        <v>3.18466272791608</v>
      </c>
    </row>
    <row r="3740">
      <c r="A3740" t="inlineStr">
        <is>
          <t>Greece</t>
        </is>
      </c>
      <c r="B3740" t="inlineStr">
        <is>
          <t>GRC</t>
        </is>
      </c>
      <c r="C3740" t="n">
        <v>1964</v>
      </c>
      <c r="D3740" t="n">
        <v>0.617302978512524</v>
      </c>
    </row>
    <row r="3741">
      <c r="A3741" t="inlineStr">
        <is>
          <t>Greece</t>
        </is>
      </c>
      <c r="B3741" t="inlineStr">
        <is>
          <t>GRC</t>
        </is>
      </c>
      <c r="C3741" t="n">
        <v>1965</v>
      </c>
      <c r="D3741" t="n">
        <v>3.22087246997095</v>
      </c>
    </row>
    <row r="3742">
      <c r="A3742" t="inlineStr">
        <is>
          <t>Greece</t>
        </is>
      </c>
      <c r="B3742" t="inlineStr">
        <is>
          <t>GRC</t>
        </is>
      </c>
      <c r="C3742" t="n">
        <v>1966</v>
      </c>
      <c r="D3742" t="n">
        <v>4.90341596130601</v>
      </c>
    </row>
    <row r="3743">
      <c r="A3743" t="inlineStr">
        <is>
          <t>Greece</t>
        </is>
      </c>
      <c r="B3743" t="inlineStr">
        <is>
          <t>GRC</t>
        </is>
      </c>
      <c r="C3743" t="n">
        <v>1967</v>
      </c>
      <c r="D3743" t="n">
        <v>1.84135702750597</v>
      </c>
    </row>
    <row r="3744">
      <c r="A3744" t="inlineStr">
        <is>
          <t>Greece</t>
        </is>
      </c>
      <c r="B3744" t="inlineStr">
        <is>
          <t>GRC</t>
        </is>
      </c>
      <c r="C3744" t="n">
        <v>1968</v>
      </c>
      <c r="D3744" t="n">
        <v>0.139060583507755</v>
      </c>
    </row>
    <row r="3745">
      <c r="A3745" t="inlineStr">
        <is>
          <t>Greece</t>
        </is>
      </c>
      <c r="B3745" t="inlineStr">
        <is>
          <t>GRC</t>
        </is>
      </c>
      <c r="C3745" t="n">
        <v>1969</v>
      </c>
      <c r="D3745" t="n">
        <v>2.63891868835485</v>
      </c>
    </row>
    <row r="3746">
      <c r="A3746" t="inlineStr">
        <is>
          <t>Greece</t>
        </is>
      </c>
      <c r="B3746" t="inlineStr">
        <is>
          <t>GRC</t>
        </is>
      </c>
      <c r="C3746" t="n">
        <v>1970</v>
      </c>
      <c r="D3746" t="n">
        <v>2.84167067884117</v>
      </c>
    </row>
    <row r="3747">
      <c r="A3747" t="inlineStr">
        <is>
          <t>Greece</t>
        </is>
      </c>
      <c r="B3747" t="inlineStr">
        <is>
          <t>GRC</t>
        </is>
      </c>
      <c r="C3747" t="n">
        <v>1971</v>
      </c>
      <c r="D3747" t="n">
        <v>3.28947072230333</v>
      </c>
    </row>
    <row r="3748">
      <c r="A3748" t="inlineStr">
        <is>
          <t>Greece</t>
        </is>
      </c>
      <c r="B3748" t="inlineStr">
        <is>
          <t>GRC</t>
        </is>
      </c>
      <c r="C3748" t="n">
        <v>1972</v>
      </c>
      <c r="D3748" t="n">
        <v>4.33120123203348</v>
      </c>
    </row>
    <row r="3749">
      <c r="A3749" t="inlineStr">
        <is>
          <t>Greece</t>
        </is>
      </c>
      <c r="B3749" t="inlineStr">
        <is>
          <t>GRC</t>
        </is>
      </c>
      <c r="C3749" t="n">
        <v>1973</v>
      </c>
      <c r="D3749" t="n">
        <v>15.3846240702128</v>
      </c>
    </row>
    <row r="3750">
      <c r="A3750" t="inlineStr">
        <is>
          <t>Greece</t>
        </is>
      </c>
      <c r="B3750" t="inlineStr">
        <is>
          <t>GRC</t>
        </is>
      </c>
      <c r="C3750" t="n">
        <v>1974</v>
      </c>
      <c r="D3750" t="n">
        <v>26.5608465867349</v>
      </c>
    </row>
    <row r="3751">
      <c r="A3751" t="inlineStr">
        <is>
          <t>Greece</t>
        </is>
      </c>
      <c r="B3751" t="inlineStr">
        <is>
          <t>GRC</t>
        </is>
      </c>
      <c r="C3751" t="n">
        <v>1975</v>
      </c>
      <c r="D3751" t="n">
        <v>13.6287617821755</v>
      </c>
    </row>
    <row r="3752">
      <c r="A3752" t="inlineStr">
        <is>
          <t>Greece</t>
        </is>
      </c>
      <c r="B3752" t="inlineStr">
        <is>
          <t>GRC</t>
        </is>
      </c>
      <c r="C3752" t="n">
        <v>1976</v>
      </c>
      <c r="D3752" t="n">
        <v>13.0242794587955</v>
      </c>
    </row>
    <row r="3753">
      <c r="A3753" t="inlineStr">
        <is>
          <t>Greece</t>
        </is>
      </c>
      <c r="B3753" t="inlineStr">
        <is>
          <t>GRC</t>
        </is>
      </c>
      <c r="C3753" t="n">
        <v>1977</v>
      </c>
      <c r="D3753" t="n">
        <v>12.3697970875078</v>
      </c>
    </row>
    <row r="3754">
      <c r="A3754" t="inlineStr">
        <is>
          <t>Greece</t>
        </is>
      </c>
      <c r="B3754" t="inlineStr">
        <is>
          <t>GRC</t>
        </is>
      </c>
      <c r="C3754" t="n">
        <v>1978</v>
      </c>
      <c r="D3754" t="n">
        <v>12.5724256724441</v>
      </c>
    </row>
    <row r="3755">
      <c r="A3755" t="inlineStr">
        <is>
          <t>Greece</t>
        </is>
      </c>
      <c r="B3755" t="inlineStr">
        <is>
          <t>GRC</t>
        </is>
      </c>
      <c r="C3755" t="n">
        <v>1979</v>
      </c>
      <c r="D3755" t="n">
        <v>19.0941746808767</v>
      </c>
    </row>
    <row r="3756">
      <c r="A3756" t="inlineStr">
        <is>
          <t>Greece</t>
        </is>
      </c>
      <c r="B3756" t="inlineStr">
        <is>
          <t>GRC</t>
        </is>
      </c>
      <c r="C3756" t="n">
        <v>1980</v>
      </c>
      <c r="D3756" t="n">
        <v>24.6758939736232</v>
      </c>
    </row>
    <row r="3757">
      <c r="A3757" t="inlineStr">
        <is>
          <t>Greece</t>
        </is>
      </c>
      <c r="B3757" t="inlineStr">
        <is>
          <t>GRC</t>
        </is>
      </c>
      <c r="C3757" t="n">
        <v>1981</v>
      </c>
      <c r="D3757" t="n">
        <v>24.5060675977966</v>
      </c>
    </row>
    <row r="3758">
      <c r="A3758" t="inlineStr">
        <is>
          <t>Greece</t>
        </is>
      </c>
      <c r="B3758" t="inlineStr">
        <is>
          <t>GRC</t>
        </is>
      </c>
      <c r="C3758" t="n">
        <v>1982</v>
      </c>
      <c r="D3758" t="n">
        <v>20.9910886220016</v>
      </c>
    </row>
    <row r="3759">
      <c r="A3759" t="inlineStr">
        <is>
          <t>Greece</t>
        </is>
      </c>
      <c r="B3759" t="inlineStr">
        <is>
          <t>GRC</t>
        </is>
      </c>
      <c r="C3759" t="n">
        <v>1983</v>
      </c>
      <c r="D3759" t="n">
        <v>20.1794812892138</v>
      </c>
    </row>
    <row r="3760">
      <c r="A3760" t="inlineStr">
        <is>
          <t>Greece</t>
        </is>
      </c>
      <c r="B3760" t="inlineStr">
        <is>
          <t>GRC</t>
        </is>
      </c>
      <c r="C3760" t="n">
        <v>1984</v>
      </c>
      <c r="D3760" t="n">
        <v>18.4568132050187</v>
      </c>
    </row>
    <row r="3761">
      <c r="A3761" t="inlineStr">
        <is>
          <t>Greece</t>
        </is>
      </c>
      <c r="B3761" t="inlineStr">
        <is>
          <t>GRC</t>
        </is>
      </c>
      <c r="C3761" t="n">
        <v>1985</v>
      </c>
      <c r="D3761" t="n">
        <v>19.3146929406642</v>
      </c>
    </row>
    <row r="3762">
      <c r="A3762" t="inlineStr">
        <is>
          <t>Greece</t>
        </is>
      </c>
      <c r="B3762" t="inlineStr">
        <is>
          <t>GRC</t>
        </is>
      </c>
      <c r="C3762" t="n">
        <v>1986</v>
      </c>
      <c r="D3762" t="n">
        <v>23.0154508205013</v>
      </c>
    </row>
    <row r="3763">
      <c r="A3763" t="inlineStr">
        <is>
          <t>Greece</t>
        </is>
      </c>
      <c r="B3763" t="inlineStr">
        <is>
          <t>GRC</t>
        </is>
      </c>
      <c r="C3763" t="n">
        <v>1987</v>
      </c>
      <c r="D3763" t="n">
        <v>16.3968631635363</v>
      </c>
    </row>
    <row r="3764">
      <c r="A3764" t="inlineStr">
        <is>
          <t>Greece</t>
        </is>
      </c>
      <c r="B3764" t="inlineStr">
        <is>
          <t>GRC</t>
        </is>
      </c>
      <c r="C3764" t="n">
        <v>1988</v>
      </c>
      <c r="D3764" t="n">
        <v>13.5288583215049</v>
      </c>
    </row>
    <row r="3765">
      <c r="A3765" t="inlineStr">
        <is>
          <t>Greece</t>
        </is>
      </c>
      <c r="B3765" t="inlineStr">
        <is>
          <t>GRC</t>
        </is>
      </c>
      <c r="C3765" t="n">
        <v>1989</v>
      </c>
      <c r="D3765" t="n">
        <v>13.6555638723612</v>
      </c>
    </row>
    <row r="3766">
      <c r="A3766" t="inlineStr">
        <is>
          <t>Greece</t>
        </is>
      </c>
      <c r="B3766" t="inlineStr">
        <is>
          <t>GRC</t>
        </is>
      </c>
      <c r="C3766" t="n">
        <v>1990</v>
      </c>
      <c r="D3766" t="n">
        <v>20.433499109463</v>
      </c>
    </row>
    <row r="3767">
      <c r="A3767" t="inlineStr">
        <is>
          <t>Greece</t>
        </is>
      </c>
      <c r="B3767" t="inlineStr">
        <is>
          <t>GRC</t>
        </is>
      </c>
      <c r="C3767" t="n">
        <v>1991</v>
      </c>
      <c r="D3767" t="n">
        <v>19.4558456445745</v>
      </c>
    </row>
    <row r="3768">
      <c r="A3768" t="inlineStr">
        <is>
          <t>Greece</t>
        </is>
      </c>
      <c r="B3768" t="inlineStr">
        <is>
          <t>GRC</t>
        </is>
      </c>
      <c r="C3768" t="n">
        <v>1992</v>
      </c>
      <c r="D3768" t="n">
        <v>15.8770737923919</v>
      </c>
    </row>
    <row r="3769">
      <c r="A3769" t="inlineStr">
        <is>
          <t>Greece</t>
        </is>
      </c>
      <c r="B3769" t="inlineStr">
        <is>
          <t>GRC</t>
        </is>
      </c>
      <c r="C3769" t="n">
        <v>1993</v>
      </c>
      <c r="D3769" t="n">
        <v>14.4112644439348</v>
      </c>
    </row>
    <row r="3770">
      <c r="A3770" t="inlineStr">
        <is>
          <t>Greece</t>
        </is>
      </c>
      <c r="B3770" t="inlineStr">
        <is>
          <t>GRC</t>
        </is>
      </c>
      <c r="C3770" t="n">
        <v>1994</v>
      </c>
      <c r="D3770" t="n">
        <v>10.8740756809132</v>
      </c>
    </row>
    <row r="3771">
      <c r="A3771" t="inlineStr">
        <is>
          <t>Greece</t>
        </is>
      </c>
      <c r="B3771" t="inlineStr">
        <is>
          <t>GRC</t>
        </is>
      </c>
      <c r="C3771" t="n">
        <v>1995</v>
      </c>
      <c r="D3771" t="n">
        <v>8.934514159615169</v>
      </c>
    </row>
    <row r="3772">
      <c r="A3772" t="inlineStr">
        <is>
          <t>Greece</t>
        </is>
      </c>
      <c r="B3772" t="inlineStr">
        <is>
          <t>GRC</t>
        </is>
      </c>
      <c r="C3772" t="n">
        <v>1996</v>
      </c>
      <c r="D3772" t="n">
        <v>8.19455217632728</v>
      </c>
    </row>
    <row r="3773">
      <c r="A3773" t="inlineStr">
        <is>
          <t>Greece</t>
        </is>
      </c>
      <c r="B3773" t="inlineStr">
        <is>
          <t>GRC</t>
        </is>
      </c>
      <c r="C3773" t="n">
        <v>1997</v>
      </c>
      <c r="D3773" t="n">
        <v>5.5360026677348</v>
      </c>
    </row>
    <row r="3774">
      <c r="A3774" t="inlineStr">
        <is>
          <t>Greece</t>
        </is>
      </c>
      <c r="B3774" t="inlineStr">
        <is>
          <t>GRC</t>
        </is>
      </c>
      <c r="C3774" t="n">
        <v>1998</v>
      </c>
      <c r="D3774" t="n">
        <v>4.76622572397641</v>
      </c>
    </row>
    <row r="3775">
      <c r="A3775" t="inlineStr">
        <is>
          <t>Greece</t>
        </is>
      </c>
      <c r="B3775" t="inlineStr">
        <is>
          <t>GRC</t>
        </is>
      </c>
      <c r="C3775" t="n">
        <v>1999</v>
      </c>
      <c r="D3775" t="n">
        <v>2.6366330602198</v>
      </c>
    </row>
    <row r="3776">
      <c r="A3776" t="inlineStr">
        <is>
          <t>Greece</t>
        </is>
      </c>
      <c r="B3776" t="inlineStr">
        <is>
          <t>GRC</t>
        </is>
      </c>
      <c r="C3776" t="n">
        <v>2000</v>
      </c>
      <c r="D3776" t="n">
        <v>3.1511816249383</v>
      </c>
    </row>
    <row r="3777">
      <c r="A3777" t="inlineStr">
        <is>
          <t>Greece</t>
        </is>
      </c>
      <c r="B3777" t="inlineStr">
        <is>
          <t>GRC</t>
        </is>
      </c>
      <c r="C3777" t="n">
        <v>2001</v>
      </c>
      <c r="D3777" t="n">
        <v>3.37396832213867</v>
      </c>
    </row>
    <row r="3778">
      <c r="A3778" t="inlineStr">
        <is>
          <t>Greece</t>
        </is>
      </c>
      <c r="B3778" t="inlineStr">
        <is>
          <t>GRC</t>
        </is>
      </c>
      <c r="C3778" t="n">
        <v>2002</v>
      </c>
      <c r="D3778" t="n">
        <v>3.62935871878874</v>
      </c>
    </row>
    <row r="3779">
      <c r="A3779" t="inlineStr">
        <is>
          <t>Greece</t>
        </is>
      </c>
      <c r="B3779" t="inlineStr">
        <is>
          <t>GRC</t>
        </is>
      </c>
      <c r="C3779" t="n">
        <v>2003</v>
      </c>
      <c r="D3779" t="n">
        <v>3.53065027765552</v>
      </c>
    </row>
    <row r="3780">
      <c r="A3780" t="inlineStr">
        <is>
          <t>Greece</t>
        </is>
      </c>
      <c r="B3780" t="inlineStr">
        <is>
          <t>GRC</t>
        </is>
      </c>
      <c r="C3780" t="n">
        <v>2004</v>
      </c>
      <c r="D3780" t="n">
        <v>2.8988481075817</v>
      </c>
    </row>
    <row r="3781">
      <c r="A3781" t="inlineStr">
        <is>
          <t>Greece</t>
        </is>
      </c>
      <c r="B3781" t="inlineStr">
        <is>
          <t>GRC</t>
        </is>
      </c>
      <c r="C3781" t="n">
        <v>2005</v>
      </c>
      <c r="D3781" t="n">
        <v>3.54507273335078</v>
      </c>
    </row>
    <row r="3782">
      <c r="A3782" t="inlineStr">
        <is>
          <t>Greece</t>
        </is>
      </c>
      <c r="B3782" t="inlineStr">
        <is>
          <t>GRC</t>
        </is>
      </c>
      <c r="C3782" t="n">
        <v>2006</v>
      </c>
      <c r="D3782" t="n">
        <v>3.19594684144545</v>
      </c>
    </row>
    <row r="3783">
      <c r="A3783" t="inlineStr">
        <is>
          <t>Greece</t>
        </is>
      </c>
      <c r="B3783" t="inlineStr">
        <is>
          <t>GRC</t>
        </is>
      </c>
      <c r="C3783" t="n">
        <v>2007</v>
      </c>
      <c r="D3783" t="n">
        <v>2.89500321516578</v>
      </c>
    </row>
    <row r="3784">
      <c r="A3784" t="inlineStr">
        <is>
          <t>Greece</t>
        </is>
      </c>
      <c r="B3784" t="inlineStr">
        <is>
          <t>GRC</t>
        </is>
      </c>
      <c r="C3784" t="n">
        <v>2008</v>
      </c>
      <c r="D3784" t="n">
        <v>4.15279708110293</v>
      </c>
    </row>
    <row r="3785">
      <c r="A3785" t="inlineStr">
        <is>
          <t>Greece</t>
        </is>
      </c>
      <c r="B3785" t="inlineStr">
        <is>
          <t>GRC</t>
        </is>
      </c>
      <c r="C3785" t="n">
        <v>2009</v>
      </c>
      <c r="D3785" t="n">
        <v>1.21007269197809</v>
      </c>
    </row>
    <row r="3786">
      <c r="A3786" t="inlineStr">
        <is>
          <t>Greece</t>
        </is>
      </c>
      <c r="B3786" t="inlineStr">
        <is>
          <t>GRC</t>
        </is>
      </c>
      <c r="C3786" t="n">
        <v>2010</v>
      </c>
      <c r="D3786" t="n">
        <v>4.71298907760388</v>
      </c>
    </row>
    <row r="3787">
      <c r="A3787" t="inlineStr">
        <is>
          <t>Greece</t>
        </is>
      </c>
      <c r="B3787" t="inlineStr">
        <is>
          <t>GRC</t>
        </is>
      </c>
      <c r="C3787" t="n">
        <v>2011</v>
      </c>
      <c r="D3787" t="n">
        <v>3.3298532335065</v>
      </c>
    </row>
    <row r="3788">
      <c r="A3788" t="inlineStr">
        <is>
          <t>Greece</t>
        </is>
      </c>
      <c r="B3788" t="inlineStr">
        <is>
          <t>GRC</t>
        </is>
      </c>
      <c r="C3788" t="n">
        <v>2012</v>
      </c>
      <c r="D3788" t="n">
        <v>1.50152696177758</v>
      </c>
    </row>
    <row r="3789">
      <c r="A3789" t="inlineStr">
        <is>
          <t>Greece</t>
        </is>
      </c>
      <c r="B3789" t="inlineStr">
        <is>
          <t>GRC</t>
        </is>
      </c>
      <c r="C3789" t="n">
        <v>2013</v>
      </c>
      <c r="D3789" t="n">
        <v>-0.921269454256994</v>
      </c>
    </row>
    <row r="3790">
      <c r="A3790" t="inlineStr">
        <is>
          <t>Greece</t>
        </is>
      </c>
      <c r="B3790" t="inlineStr">
        <is>
          <t>GRC</t>
        </is>
      </c>
      <c r="C3790" t="n">
        <v>2014</v>
      </c>
      <c r="D3790" t="n">
        <v>-1.31226096405506</v>
      </c>
    </row>
    <row r="3791">
      <c r="A3791" t="inlineStr">
        <is>
          <t>Greece</t>
        </is>
      </c>
      <c r="B3791" t="inlineStr">
        <is>
          <t>GRC</t>
        </is>
      </c>
      <c r="C3791" t="n">
        <v>2015</v>
      </c>
      <c r="D3791" t="n">
        <v>-1.73588804765284</v>
      </c>
    </row>
    <row r="3792">
      <c r="A3792" t="inlineStr">
        <is>
          <t>Greece</t>
        </is>
      </c>
      <c r="B3792" t="inlineStr">
        <is>
          <t>GRC</t>
        </is>
      </c>
      <c r="C3792" t="n">
        <v>2016</v>
      </c>
      <c r="D3792" t="n">
        <v>-0.825653978390973</v>
      </c>
    </row>
    <row r="3793">
      <c r="A3793" t="inlineStr">
        <is>
          <t>Greece</t>
        </is>
      </c>
      <c r="B3793" t="inlineStr">
        <is>
          <t>GRC</t>
        </is>
      </c>
      <c r="C3793" t="n">
        <v>2017</v>
      </c>
      <c r="D3793" t="n">
        <v>1.12125452031419</v>
      </c>
    </row>
    <row r="3794">
      <c r="A3794" t="inlineStr">
        <is>
          <t>Greece</t>
        </is>
      </c>
      <c r="B3794" t="inlineStr">
        <is>
          <t>GRC</t>
        </is>
      </c>
      <c r="C3794" t="n">
        <v>2018</v>
      </c>
      <c r="D3794" t="n">
        <v>0.62562141345364</v>
      </c>
    </row>
    <row r="3795">
      <c r="A3795" t="inlineStr">
        <is>
          <t>Greece</t>
        </is>
      </c>
      <c r="B3795" t="inlineStr">
        <is>
          <t>GRC</t>
        </is>
      </c>
      <c r="C3795" t="n">
        <v>2019</v>
      </c>
      <c r="D3795" t="n">
        <v>0.253007522038157</v>
      </c>
    </row>
    <row r="3796">
      <c r="A3796" t="inlineStr">
        <is>
          <t>Greece</t>
        </is>
      </c>
      <c r="B3796" t="inlineStr">
        <is>
          <t>GRC</t>
        </is>
      </c>
      <c r="C3796" t="n">
        <v>2020</v>
      </c>
      <c r="D3796" t="n">
        <v>-1.24798355581405</v>
      </c>
    </row>
    <row r="3797">
      <c r="A3797" t="inlineStr">
        <is>
          <t>Greece</t>
        </is>
      </c>
      <c r="B3797" t="inlineStr">
        <is>
          <t>GRC</t>
        </is>
      </c>
      <c r="C3797" t="n">
        <v>2021</v>
      </c>
      <c r="D3797" t="n">
        <v>1.22382501019854</v>
      </c>
    </row>
    <row r="3798">
      <c r="A3798" t="inlineStr">
        <is>
          <t>Greece</t>
        </is>
      </c>
      <c r="B3798" t="inlineStr">
        <is>
          <t>GRC</t>
        </is>
      </c>
      <c r="C3798" t="n">
        <v>2022</v>
      </c>
      <c r="D3798" t="n">
        <v>9.645259812806319</v>
      </c>
    </row>
    <row r="3799">
      <c r="A3799" t="inlineStr">
        <is>
          <t>Greece</t>
        </is>
      </c>
      <c r="B3799" t="inlineStr">
        <is>
          <t>GRC</t>
        </is>
      </c>
      <c r="C3799" t="n">
        <v>2023</v>
      </c>
      <c r="D3799" t="n">
        <v>3.46480128513405</v>
      </c>
    </row>
    <row r="3800">
      <c r="A3800" t="inlineStr">
        <is>
          <t>Greece</t>
        </is>
      </c>
      <c r="B3800" t="inlineStr">
        <is>
          <t>GRC</t>
        </is>
      </c>
      <c r="C3800" t="n">
        <v>2024</v>
      </c>
      <c r="D3800" t="n">
        <v>2.74149045788606</v>
      </c>
    </row>
    <row r="3801">
      <c r="A3801" t="inlineStr">
        <is>
          <t>Grenada</t>
        </is>
      </c>
      <c r="B3801" t="inlineStr">
        <is>
          <t>GRD</t>
        </is>
      </c>
      <c r="C3801" t="n">
        <v>1977</v>
      </c>
      <c r="D3801" t="n">
        <v>18.4568835098337</v>
      </c>
    </row>
    <row r="3802">
      <c r="A3802" t="inlineStr">
        <is>
          <t>Grenada</t>
        </is>
      </c>
      <c r="B3802" t="inlineStr">
        <is>
          <t>GRD</t>
        </is>
      </c>
      <c r="C3802" t="n">
        <v>1978</v>
      </c>
      <c r="D3802" t="n">
        <v>18.1353767560665</v>
      </c>
    </row>
    <row r="3803">
      <c r="A3803" t="inlineStr">
        <is>
          <t>Grenada</t>
        </is>
      </c>
      <c r="B3803" t="inlineStr">
        <is>
          <t>GRD</t>
        </is>
      </c>
      <c r="C3803" t="n">
        <v>1979</v>
      </c>
      <c r="D3803" t="n">
        <v>20.8828828828831</v>
      </c>
    </row>
    <row r="3804">
      <c r="A3804" t="inlineStr">
        <is>
          <t>Grenada</t>
        </is>
      </c>
      <c r="B3804" t="inlineStr">
        <is>
          <t>GRD</t>
        </is>
      </c>
      <c r="C3804" t="n">
        <v>1980</v>
      </c>
      <c r="D3804" t="n">
        <v>21.821433894768</v>
      </c>
    </row>
    <row r="3805">
      <c r="A3805" t="inlineStr">
        <is>
          <t>Grenada</t>
        </is>
      </c>
      <c r="B3805" t="inlineStr">
        <is>
          <t>GRD</t>
        </is>
      </c>
      <c r="C3805" t="n">
        <v>1981</v>
      </c>
      <c r="D3805" t="n">
        <v>18.7874709409026</v>
      </c>
    </row>
    <row r="3806">
      <c r="A3806" t="inlineStr">
        <is>
          <t>Grenada</t>
        </is>
      </c>
      <c r="B3806" t="inlineStr">
        <is>
          <t>GRD</t>
        </is>
      </c>
      <c r="C3806" t="n">
        <v>1982</v>
      </c>
      <c r="D3806" t="n">
        <v>7.81274141216489</v>
      </c>
    </row>
    <row r="3807">
      <c r="A3807" t="inlineStr">
        <is>
          <t>Grenada</t>
        </is>
      </c>
      <c r="B3807" t="inlineStr">
        <is>
          <t>GRD</t>
        </is>
      </c>
      <c r="C3807" t="n">
        <v>1983</v>
      </c>
      <c r="D3807" t="n">
        <v>6.09534728193344</v>
      </c>
    </row>
    <row r="3808">
      <c r="A3808" t="inlineStr">
        <is>
          <t>Grenada</t>
        </is>
      </c>
      <c r="B3808" t="inlineStr">
        <is>
          <t>GRD</t>
        </is>
      </c>
      <c r="C3808" t="n">
        <v>1984</v>
      </c>
      <c r="D3808" t="n">
        <v>5.65961278703288</v>
      </c>
    </row>
    <row r="3809">
      <c r="A3809" t="inlineStr">
        <is>
          <t>Grenada</t>
        </is>
      </c>
      <c r="B3809" t="inlineStr">
        <is>
          <t>GRD</t>
        </is>
      </c>
      <c r="C3809" t="n">
        <v>1985</v>
      </c>
      <c r="D3809" t="n">
        <v>2.50138492350979</v>
      </c>
    </row>
    <row r="3810">
      <c r="A3810" t="inlineStr">
        <is>
          <t>Grenada</t>
        </is>
      </c>
      <c r="B3810" t="inlineStr">
        <is>
          <t>GRD</t>
        </is>
      </c>
      <c r="C3810" t="n">
        <v>1986</v>
      </c>
      <c r="D3810" t="n">
        <v>0.5570799035505321</v>
      </c>
    </row>
    <row r="3811">
      <c r="A3811" t="inlineStr">
        <is>
          <t>Grenada</t>
        </is>
      </c>
      <c r="B3811" t="inlineStr">
        <is>
          <t>GRD</t>
        </is>
      </c>
      <c r="C3811" t="n">
        <v>1987</v>
      </c>
      <c r="D3811" t="n">
        <v>-0.872333388457509</v>
      </c>
    </row>
    <row r="3812">
      <c r="A3812" t="inlineStr">
        <is>
          <t>Grenada</t>
        </is>
      </c>
      <c r="B3812" t="inlineStr">
        <is>
          <t>GRD</t>
        </is>
      </c>
      <c r="C3812" t="n">
        <v>1988</v>
      </c>
      <c r="D3812" t="n">
        <v>4.00000000000013</v>
      </c>
    </row>
    <row r="3813">
      <c r="A3813" t="inlineStr">
        <is>
          <t>Grenada</t>
        </is>
      </c>
      <c r="B3813" t="inlineStr">
        <is>
          <t>GRD</t>
        </is>
      </c>
      <c r="C3813" t="n">
        <v>1989</v>
      </c>
      <c r="D3813" t="n">
        <v>5.59294871794896</v>
      </c>
    </row>
    <row r="3814">
      <c r="A3814" t="inlineStr">
        <is>
          <t>Grenada</t>
        </is>
      </c>
      <c r="B3814" t="inlineStr">
        <is>
          <t>GRD</t>
        </is>
      </c>
      <c r="C3814" t="n">
        <v>1990</v>
      </c>
      <c r="D3814" t="n">
        <v>2.72423736530525</v>
      </c>
    </row>
    <row r="3815">
      <c r="A3815" t="inlineStr">
        <is>
          <t>Grenada</t>
        </is>
      </c>
      <c r="B3815" t="inlineStr">
        <is>
          <t>GRD</t>
        </is>
      </c>
      <c r="C3815" t="n">
        <v>1991</v>
      </c>
      <c r="D3815" t="n">
        <v>2.64460367880678</v>
      </c>
    </row>
    <row r="3816">
      <c r="A3816" t="inlineStr">
        <is>
          <t>Grenada</t>
        </is>
      </c>
      <c r="B3816" t="inlineStr">
        <is>
          <t>GRD</t>
        </is>
      </c>
      <c r="C3816" t="n">
        <v>1992</v>
      </c>
      <c r="D3816" t="n">
        <v>3.77833753148618</v>
      </c>
    </row>
    <row r="3817">
      <c r="A3817" t="inlineStr">
        <is>
          <t>Grenada</t>
        </is>
      </c>
      <c r="B3817" t="inlineStr">
        <is>
          <t>GRD</t>
        </is>
      </c>
      <c r="C3817" t="n">
        <v>1993</v>
      </c>
      <c r="D3817" t="n">
        <v>2.80859916782245</v>
      </c>
    </row>
    <row r="3818">
      <c r="A3818" t="inlineStr">
        <is>
          <t>Grenada</t>
        </is>
      </c>
      <c r="B3818" t="inlineStr">
        <is>
          <t>GRD</t>
        </is>
      </c>
      <c r="C3818" t="n">
        <v>1994</v>
      </c>
      <c r="D3818" t="n">
        <v>3.77065767284965</v>
      </c>
    </row>
    <row r="3819">
      <c r="A3819" t="inlineStr">
        <is>
          <t>Grenada</t>
        </is>
      </c>
      <c r="B3819" t="inlineStr">
        <is>
          <t>GRD</t>
        </is>
      </c>
      <c r="C3819" t="n">
        <v>1995</v>
      </c>
      <c r="D3819" t="n">
        <v>1.86882475298978</v>
      </c>
    </row>
    <row r="3820">
      <c r="A3820" t="inlineStr">
        <is>
          <t>Grenada</t>
        </is>
      </c>
      <c r="B3820" t="inlineStr">
        <is>
          <t>GRD</t>
        </is>
      </c>
      <c r="C3820" t="n">
        <v>1996</v>
      </c>
      <c r="D3820" t="n">
        <v>2.03235172127782</v>
      </c>
    </row>
    <row r="3821">
      <c r="A3821" t="inlineStr">
        <is>
          <t>Grenada</t>
        </is>
      </c>
      <c r="B3821" t="inlineStr">
        <is>
          <t>GRD</t>
        </is>
      </c>
      <c r="C3821" t="n">
        <v>1997</v>
      </c>
      <c r="D3821" t="n">
        <v>1.24452782989343</v>
      </c>
    </row>
    <row r="3822">
      <c r="A3822" t="inlineStr">
        <is>
          <t>Grenada</t>
        </is>
      </c>
      <c r="B3822" t="inlineStr">
        <is>
          <t>GRD</t>
        </is>
      </c>
      <c r="C3822" t="n">
        <v>1998</v>
      </c>
      <c r="D3822" t="n">
        <v>1.37769330389496</v>
      </c>
    </row>
    <row r="3823">
      <c r="A3823" t="inlineStr">
        <is>
          <t>Grenada</t>
        </is>
      </c>
      <c r="B3823" t="inlineStr">
        <is>
          <t>GRD</t>
        </is>
      </c>
      <c r="C3823" t="n">
        <v>1999</v>
      </c>
      <c r="D3823" t="n">
        <v>0.577427638677119</v>
      </c>
    </row>
    <row r="3824">
      <c r="A3824" t="inlineStr">
        <is>
          <t>Grenada</t>
        </is>
      </c>
      <c r="B3824" t="inlineStr">
        <is>
          <t>GRD</t>
        </is>
      </c>
      <c r="C3824" t="n">
        <v>2000</v>
      </c>
      <c r="D3824" t="n">
        <v>2.18181818181821</v>
      </c>
    </row>
    <row r="3825">
      <c r="A3825" t="inlineStr">
        <is>
          <t>Grenada</t>
        </is>
      </c>
      <c r="B3825" t="inlineStr">
        <is>
          <t>GRD</t>
        </is>
      </c>
      <c r="C3825" t="n">
        <v>2001</v>
      </c>
      <c r="D3825" t="n">
        <v>3.14099305202543</v>
      </c>
    </row>
    <row r="3826">
      <c r="A3826" t="inlineStr">
        <is>
          <t>Grenada</t>
        </is>
      </c>
      <c r="B3826" t="inlineStr">
        <is>
          <t>GRD</t>
        </is>
      </c>
      <c r="C3826" t="n">
        <v>2002</v>
      </c>
      <c r="D3826" t="n">
        <v>1.06721547992874</v>
      </c>
    </row>
    <row r="3827">
      <c r="A3827" t="inlineStr">
        <is>
          <t>Grenada</t>
        </is>
      </c>
      <c r="B3827" t="inlineStr">
        <is>
          <t>GRD</t>
        </is>
      </c>
      <c r="C3827" t="n">
        <v>2003</v>
      </c>
      <c r="D3827" t="n">
        <v>2.15492809908679</v>
      </c>
    </row>
    <row r="3828">
      <c r="A3828" t="inlineStr">
        <is>
          <t>Grenada</t>
        </is>
      </c>
      <c r="B3828" t="inlineStr">
        <is>
          <t>GRD</t>
        </is>
      </c>
      <c r="C3828" t="n">
        <v>2004</v>
      </c>
      <c r="D3828" t="n">
        <v>2.3129167822611</v>
      </c>
    </row>
    <row r="3829">
      <c r="A3829" t="inlineStr">
        <is>
          <t>Grenada</t>
        </is>
      </c>
      <c r="B3829" t="inlineStr">
        <is>
          <t>GRD</t>
        </is>
      </c>
      <c r="C3829" t="n">
        <v>2005</v>
      </c>
      <c r="D3829" t="n">
        <v>3.475806937554</v>
      </c>
    </row>
    <row r="3830">
      <c r="A3830" t="inlineStr">
        <is>
          <t>Grenada</t>
        </is>
      </c>
      <c r="B3830" t="inlineStr">
        <is>
          <t>GRD</t>
        </is>
      </c>
      <c r="C3830" t="n">
        <v>2006</v>
      </c>
      <c r="D3830" t="n">
        <v>4.25195321977967</v>
      </c>
    </row>
    <row r="3831">
      <c r="A3831" t="inlineStr">
        <is>
          <t>Grenada</t>
        </is>
      </c>
      <c r="B3831" t="inlineStr">
        <is>
          <t>GRD</t>
        </is>
      </c>
      <c r="C3831" t="n">
        <v>2007</v>
      </c>
      <c r="D3831" t="n">
        <v>3.85882922469653</v>
      </c>
    </row>
    <row r="3832">
      <c r="A3832" t="inlineStr">
        <is>
          <t>Grenada</t>
        </is>
      </c>
      <c r="B3832" t="inlineStr">
        <is>
          <t>GRD</t>
        </is>
      </c>
      <c r="C3832" t="n">
        <v>2008</v>
      </c>
      <c r="D3832" t="n">
        <v>8.033273276503399</v>
      </c>
    </row>
    <row r="3833">
      <c r="A3833" t="inlineStr">
        <is>
          <t>Grenada</t>
        </is>
      </c>
      <c r="B3833" t="inlineStr">
        <is>
          <t>GRD</t>
        </is>
      </c>
      <c r="C3833" t="n">
        <v>2009</v>
      </c>
      <c r="D3833" t="n">
        <v>-0.308654779585642</v>
      </c>
    </row>
    <row r="3834">
      <c r="A3834" t="inlineStr">
        <is>
          <t>Grenada</t>
        </is>
      </c>
      <c r="B3834" t="inlineStr">
        <is>
          <t>GRD</t>
        </is>
      </c>
      <c r="C3834" t="n">
        <v>2010</v>
      </c>
      <c r="D3834" t="n">
        <v>3.43650905943351</v>
      </c>
    </row>
    <row r="3835">
      <c r="A3835" t="inlineStr">
        <is>
          <t>Grenada</t>
        </is>
      </c>
      <c r="B3835" t="inlineStr">
        <is>
          <t>GRD</t>
        </is>
      </c>
      <c r="C3835" t="n">
        <v>2011</v>
      </c>
      <c r="D3835" t="n">
        <v>3.0334728033474</v>
      </c>
    </row>
    <row r="3836">
      <c r="A3836" t="inlineStr">
        <is>
          <t>Grenada</t>
        </is>
      </c>
      <c r="B3836" t="inlineStr">
        <is>
          <t>GRD</t>
        </is>
      </c>
      <c r="C3836" t="n">
        <v>2012</v>
      </c>
      <c r="D3836" t="n">
        <v>2.41077704021862</v>
      </c>
    </row>
    <row r="3837">
      <c r="A3837" t="inlineStr">
        <is>
          <t>Grenada</t>
        </is>
      </c>
      <c r="B3837" t="inlineStr">
        <is>
          <t>GRD</t>
        </is>
      </c>
      <c r="C3837" t="n">
        <v>2013</v>
      </c>
      <c r="D3837" t="n">
        <v>-0.0439997864828058</v>
      </c>
    </row>
    <row r="3838">
      <c r="A3838" t="inlineStr">
        <is>
          <t>Grenada</t>
        </is>
      </c>
      <c r="B3838" t="inlineStr">
        <is>
          <t>GRD</t>
        </is>
      </c>
      <c r="C3838" t="n">
        <v>2014</v>
      </c>
      <c r="D3838" t="n">
        <v>-0.98360305555498</v>
      </c>
    </row>
    <row r="3839">
      <c r="A3839" t="inlineStr">
        <is>
          <t>Grenada</t>
        </is>
      </c>
      <c r="B3839" t="inlineStr">
        <is>
          <t>GRD</t>
        </is>
      </c>
      <c r="C3839" t="n">
        <v>2015</v>
      </c>
      <c r="D3839" t="n">
        <v>-0.515448031435329</v>
      </c>
    </row>
    <row r="3840">
      <c r="A3840" t="inlineStr">
        <is>
          <t>Grenada</t>
        </is>
      </c>
      <c r="B3840" t="inlineStr">
        <is>
          <t>GRD</t>
        </is>
      </c>
      <c r="C3840" t="n">
        <v>2016</v>
      </c>
      <c r="D3840" t="n">
        <v>1.65038994431573</v>
      </c>
    </row>
    <row r="3841">
      <c r="A3841" t="inlineStr">
        <is>
          <t>Grenada</t>
        </is>
      </c>
      <c r="B3841" t="inlineStr">
        <is>
          <t>GRD</t>
        </is>
      </c>
      <c r="C3841" t="n">
        <v>2017</v>
      </c>
      <c r="D3841" t="n">
        <v>0.908458255874249</v>
      </c>
    </row>
    <row r="3842">
      <c r="A3842" t="inlineStr">
        <is>
          <t>Grenada</t>
        </is>
      </c>
      <c r="B3842" t="inlineStr">
        <is>
          <t>GRD</t>
        </is>
      </c>
      <c r="C3842" t="n">
        <v>2018</v>
      </c>
      <c r="D3842" t="n">
        <v>0.804102313277033</v>
      </c>
    </row>
    <row r="3843">
      <c r="A3843" t="inlineStr">
        <is>
          <t>Grenada</t>
        </is>
      </c>
      <c r="B3843" t="inlineStr">
        <is>
          <t>GRD</t>
        </is>
      </c>
      <c r="C3843" t="n">
        <v>2019</v>
      </c>
      <c r="D3843" t="n">
        <v>0.598149764736022</v>
      </c>
    </row>
    <row r="3844">
      <c r="A3844" t="inlineStr">
        <is>
          <t>Grenada</t>
        </is>
      </c>
      <c r="B3844" t="inlineStr">
        <is>
          <t>GRD</t>
        </is>
      </c>
      <c r="C3844" t="n">
        <v>2020</v>
      </c>
      <c r="D3844" t="n">
        <v>-0.740732597045498</v>
      </c>
    </row>
    <row r="3845">
      <c r="A3845" t="inlineStr">
        <is>
          <t>Grenada</t>
        </is>
      </c>
      <c r="B3845" t="inlineStr">
        <is>
          <t>GRD</t>
        </is>
      </c>
      <c r="C3845" t="n">
        <v>2021</v>
      </c>
      <c r="D3845" t="n">
        <v>1.21951193916838</v>
      </c>
    </row>
    <row r="3846">
      <c r="A3846" t="inlineStr">
        <is>
          <t>Grenada</t>
        </is>
      </c>
      <c r="B3846" t="inlineStr">
        <is>
          <t>GRD</t>
        </is>
      </c>
      <c r="C3846" t="n">
        <v>2022</v>
      </c>
      <c r="D3846" t="n">
        <v>2.5805392590792</v>
      </c>
    </row>
    <row r="3847">
      <c r="A3847" t="inlineStr">
        <is>
          <t>Grenada</t>
        </is>
      </c>
      <c r="B3847" t="inlineStr">
        <is>
          <t>GRD</t>
        </is>
      </c>
      <c r="C3847" t="n">
        <v>2023</v>
      </c>
      <c r="D3847" t="n">
        <v>2.69612269814564</v>
      </c>
    </row>
    <row r="3848">
      <c r="A3848" t="inlineStr">
        <is>
          <t>Guatemala</t>
        </is>
      </c>
      <c r="B3848" t="inlineStr">
        <is>
          <t>GTM</t>
        </is>
      </c>
      <c r="C3848" t="n">
        <v>1960</v>
      </c>
      <c r="D3848" t="n">
        <v>-1.19069315346001</v>
      </c>
    </row>
    <row r="3849">
      <c r="A3849" t="inlineStr">
        <is>
          <t>Guatemala</t>
        </is>
      </c>
      <c r="B3849" t="inlineStr">
        <is>
          <t>GTM</t>
        </is>
      </c>
      <c r="C3849" t="n">
        <v>1961</v>
      </c>
      <c r="D3849" t="n">
        <v>-0.553335382726564</v>
      </c>
    </row>
    <row r="3850">
      <c r="A3850" t="inlineStr">
        <is>
          <t>Guatemala</t>
        </is>
      </c>
      <c r="B3850" t="inlineStr">
        <is>
          <t>GTM</t>
        </is>
      </c>
      <c r="C3850" t="n">
        <v>1962</v>
      </c>
      <c r="D3850" t="n">
        <v>2.05255023209693</v>
      </c>
    </row>
    <row r="3851">
      <c r="A3851" t="inlineStr">
        <is>
          <t>Guatemala</t>
        </is>
      </c>
      <c r="B3851" t="inlineStr">
        <is>
          <t>GTM</t>
        </is>
      </c>
      <c r="C3851" t="n">
        <v>1963</v>
      </c>
      <c r="D3851" t="n">
        <v>0.15145089937597</v>
      </c>
    </row>
    <row r="3852">
      <c r="A3852" t="inlineStr">
        <is>
          <t>Guatemala</t>
        </is>
      </c>
      <c r="B3852" t="inlineStr">
        <is>
          <t>GTM</t>
        </is>
      </c>
      <c r="C3852" t="n">
        <v>1964</v>
      </c>
      <c r="D3852" t="n">
        <v>-0.193563997036552</v>
      </c>
    </row>
    <row r="3853">
      <c r="A3853" t="inlineStr">
        <is>
          <t>Guatemala</t>
        </is>
      </c>
      <c r="B3853" t="inlineStr">
        <is>
          <t>GTM</t>
        </is>
      </c>
      <c r="C3853" t="n">
        <v>1965</v>
      </c>
      <c r="D3853" t="n">
        <v>-0.800000000003537</v>
      </c>
    </row>
    <row r="3854">
      <c r="A3854" t="inlineStr">
        <is>
          <t>Guatemala</t>
        </is>
      </c>
      <c r="B3854" t="inlineStr">
        <is>
          <t>GTM</t>
        </is>
      </c>
      <c r="C3854" t="n">
        <v>1966</v>
      </c>
      <c r="D3854" t="n">
        <v>0.684261974465291</v>
      </c>
    </row>
    <row r="3855">
      <c r="A3855" t="inlineStr">
        <is>
          <t>Guatemala</t>
        </is>
      </c>
      <c r="B3855" t="inlineStr">
        <is>
          <t>GTM</t>
        </is>
      </c>
      <c r="C3855" t="n">
        <v>1967</v>
      </c>
      <c r="D3855" t="n">
        <v>0.485436893448745</v>
      </c>
    </row>
    <row r="3856">
      <c r="A3856" t="inlineStr">
        <is>
          <t>Guatemala</t>
        </is>
      </c>
      <c r="B3856" t="inlineStr">
        <is>
          <t>GTM</t>
        </is>
      </c>
      <c r="C3856" t="n">
        <v>1968</v>
      </c>
      <c r="D3856" t="n">
        <v>1.92632850230086</v>
      </c>
    </row>
    <row r="3857">
      <c r="A3857" t="inlineStr">
        <is>
          <t>Guatemala</t>
        </is>
      </c>
      <c r="B3857" t="inlineStr">
        <is>
          <t>GTM</t>
        </is>
      </c>
      <c r="C3857" t="n">
        <v>1969</v>
      </c>
      <c r="D3857" t="n">
        <v>2.09728064471571</v>
      </c>
    </row>
    <row r="3858">
      <c r="A3858" t="inlineStr">
        <is>
          <t>Guatemala</t>
        </is>
      </c>
      <c r="B3858" t="inlineStr">
        <is>
          <t>GTM</t>
        </is>
      </c>
      <c r="C3858" t="n">
        <v>1970</v>
      </c>
      <c r="D3858" t="n">
        <v>2.34433934881409</v>
      </c>
    </row>
    <row r="3859">
      <c r="A3859" t="inlineStr">
        <is>
          <t>Guatemala</t>
        </is>
      </c>
      <c r="B3859" t="inlineStr">
        <is>
          <t>GTM</t>
        </is>
      </c>
      <c r="C3859" t="n">
        <v>1971</v>
      </c>
      <c r="D3859" t="n">
        <v>-0.453591880763753</v>
      </c>
    </row>
    <row r="3860">
      <c r="A3860" t="inlineStr">
        <is>
          <t>Guatemala</t>
        </is>
      </c>
      <c r="B3860" t="inlineStr">
        <is>
          <t>GTM</t>
        </is>
      </c>
      <c r="C3860" t="n">
        <v>1972</v>
      </c>
      <c r="D3860" t="n">
        <v>0.529703252323012</v>
      </c>
    </row>
    <row r="3861">
      <c r="A3861" t="inlineStr">
        <is>
          <t>Guatemala</t>
        </is>
      </c>
      <c r="B3861" t="inlineStr">
        <is>
          <t>GTM</t>
        </is>
      </c>
      <c r="C3861" t="n">
        <v>1973</v>
      </c>
      <c r="D3861" t="n">
        <v>13.7960339945019</v>
      </c>
    </row>
    <row r="3862">
      <c r="A3862" t="inlineStr">
        <is>
          <t>Guatemala</t>
        </is>
      </c>
      <c r="B3862" t="inlineStr">
        <is>
          <t>GTM</t>
        </is>
      </c>
      <c r="C3862" t="n">
        <v>1974</v>
      </c>
      <c r="D3862" t="n">
        <v>16.4948966890134</v>
      </c>
    </row>
    <row r="3863">
      <c r="A3863" t="inlineStr">
        <is>
          <t>Guatemala</t>
        </is>
      </c>
      <c r="B3863" t="inlineStr">
        <is>
          <t>GTM</t>
        </is>
      </c>
      <c r="C3863" t="n">
        <v>1975</v>
      </c>
      <c r="D3863" t="n">
        <v>13.1592443798582</v>
      </c>
    </row>
    <row r="3864">
      <c r="A3864" t="inlineStr">
        <is>
          <t>Guatemala</t>
        </is>
      </c>
      <c r="B3864" t="inlineStr">
        <is>
          <t>GTM</t>
        </is>
      </c>
      <c r="C3864" t="n">
        <v>1976</v>
      </c>
      <c r="D3864" t="n">
        <v>10.72499999925</v>
      </c>
    </row>
    <row r="3865">
      <c r="A3865" t="inlineStr">
        <is>
          <t>Guatemala</t>
        </is>
      </c>
      <c r="B3865" t="inlineStr">
        <is>
          <t>GTM</t>
        </is>
      </c>
      <c r="C3865" t="n">
        <v>1977</v>
      </c>
      <c r="D3865" t="n">
        <v>12.3245796860999</v>
      </c>
    </row>
    <row r="3866">
      <c r="A3866" t="inlineStr">
        <is>
          <t>Guatemala</t>
        </is>
      </c>
      <c r="B3866" t="inlineStr">
        <is>
          <t>GTM</t>
        </is>
      </c>
      <c r="C3866" t="n">
        <v>1978</v>
      </c>
      <c r="D3866" t="n">
        <v>8.287976249577049</v>
      </c>
    </row>
    <row r="3867">
      <c r="A3867" t="inlineStr">
        <is>
          <t>Guatemala</t>
        </is>
      </c>
      <c r="B3867" t="inlineStr">
        <is>
          <t>GTM</t>
        </is>
      </c>
      <c r="C3867" t="n">
        <v>1979</v>
      </c>
      <c r="D3867" t="n">
        <v>11.3433858811608</v>
      </c>
    </row>
    <row r="3868">
      <c r="A3868" t="inlineStr">
        <is>
          <t>Guatemala</t>
        </is>
      </c>
      <c r="B3868" t="inlineStr">
        <is>
          <t>GTM</t>
        </is>
      </c>
      <c r="C3868" t="n">
        <v>1980</v>
      </c>
      <c r="D3868" t="n">
        <v>10.8238432335411</v>
      </c>
    </row>
    <row r="3869">
      <c r="A3869" t="inlineStr">
        <is>
          <t>Guatemala</t>
        </is>
      </c>
      <c r="B3869" t="inlineStr">
        <is>
          <t>GTM</t>
        </is>
      </c>
      <c r="C3869" t="n">
        <v>1981</v>
      </c>
      <c r="D3869" t="n">
        <v>11.4330679503505</v>
      </c>
    </row>
    <row r="3870">
      <c r="A3870" t="inlineStr">
        <is>
          <t>Guatemala</t>
        </is>
      </c>
      <c r="B3870" t="inlineStr">
        <is>
          <t>GTM</t>
        </is>
      </c>
      <c r="C3870" t="n">
        <v>1982</v>
      </c>
      <c r="D3870" t="n">
        <v>0.307385561437016</v>
      </c>
    </row>
    <row r="3871">
      <c r="A3871" t="inlineStr">
        <is>
          <t>Guatemala</t>
        </is>
      </c>
      <c r="B3871" t="inlineStr">
        <is>
          <t>GTM</t>
        </is>
      </c>
      <c r="C3871" t="n">
        <v>1983</v>
      </c>
      <c r="D3871" t="n">
        <v>4.53867815133257</v>
      </c>
    </row>
    <row r="3872">
      <c r="A3872" t="inlineStr">
        <is>
          <t>Guatemala</t>
        </is>
      </c>
      <c r="B3872" t="inlineStr">
        <is>
          <t>GTM</t>
        </is>
      </c>
      <c r="C3872" t="n">
        <v>1984</v>
      </c>
      <c r="D3872" t="n">
        <v>3.4067501183779</v>
      </c>
    </row>
    <row r="3873">
      <c r="A3873" t="inlineStr">
        <is>
          <t>Guatemala</t>
        </is>
      </c>
      <c r="B3873" t="inlineStr">
        <is>
          <t>GTM</t>
        </is>
      </c>
      <c r="C3873" t="n">
        <v>1985</v>
      </c>
      <c r="D3873" t="n">
        <v>18.6867912971238</v>
      </c>
    </row>
    <row r="3874">
      <c r="A3874" t="inlineStr">
        <is>
          <t>Guatemala</t>
        </is>
      </c>
      <c r="B3874" t="inlineStr">
        <is>
          <t>GTM</t>
        </is>
      </c>
      <c r="C3874" t="n">
        <v>1986</v>
      </c>
      <c r="D3874" t="n">
        <v>36.9311212965017</v>
      </c>
    </row>
    <row r="3875">
      <c r="A3875" t="inlineStr">
        <is>
          <t>Guatemala</t>
        </is>
      </c>
      <c r="B3875" t="inlineStr">
        <is>
          <t>GTM</t>
        </is>
      </c>
      <c r="C3875" t="n">
        <v>1987</v>
      </c>
      <c r="D3875" t="n">
        <v>12.3232132755045</v>
      </c>
    </row>
    <row r="3876">
      <c r="A3876" t="inlineStr">
        <is>
          <t>Guatemala</t>
        </is>
      </c>
      <c r="B3876" t="inlineStr">
        <is>
          <t>GTM</t>
        </is>
      </c>
      <c r="C3876" t="n">
        <v>1988</v>
      </c>
      <c r="D3876" t="n">
        <v>10.8327037689913</v>
      </c>
    </row>
    <row r="3877">
      <c r="A3877" t="inlineStr">
        <is>
          <t>Guatemala</t>
        </is>
      </c>
      <c r="B3877" t="inlineStr">
        <is>
          <t>GTM</t>
        </is>
      </c>
      <c r="C3877" t="n">
        <v>1989</v>
      </c>
      <c r="D3877" t="n">
        <v>11.3871321997957</v>
      </c>
    </row>
    <row r="3878">
      <c r="A3878" t="inlineStr">
        <is>
          <t>Guatemala</t>
        </is>
      </c>
      <c r="B3878" t="inlineStr">
        <is>
          <t>GTM</t>
        </is>
      </c>
      <c r="C3878" t="n">
        <v>1990</v>
      </c>
      <c r="D3878" t="n">
        <v>41.2218671380974</v>
      </c>
    </row>
    <row r="3879">
      <c r="A3879" t="inlineStr">
        <is>
          <t>Guatemala</t>
        </is>
      </c>
      <c r="B3879" t="inlineStr">
        <is>
          <t>GTM</t>
        </is>
      </c>
      <c r="C3879" t="n">
        <v>1991</v>
      </c>
      <c r="D3879" t="n">
        <v>33.1664219167534</v>
      </c>
    </row>
    <row r="3880">
      <c r="A3880" t="inlineStr">
        <is>
          <t>Guatemala</t>
        </is>
      </c>
      <c r="B3880" t="inlineStr">
        <is>
          <t>GTM</t>
        </is>
      </c>
      <c r="C3880" t="n">
        <v>1992</v>
      </c>
      <c r="D3880" t="n">
        <v>10.0459179984089</v>
      </c>
    </row>
    <row r="3881">
      <c r="A3881" t="inlineStr">
        <is>
          <t>Guatemala</t>
        </is>
      </c>
      <c r="B3881" t="inlineStr">
        <is>
          <t>GTM</t>
        </is>
      </c>
      <c r="C3881" t="n">
        <v>1993</v>
      </c>
      <c r="D3881" t="n">
        <v>11.8196901746257</v>
      </c>
    </row>
    <row r="3882">
      <c r="A3882" t="inlineStr">
        <is>
          <t>Guatemala</t>
        </is>
      </c>
      <c r="B3882" t="inlineStr">
        <is>
          <t>GTM</t>
        </is>
      </c>
      <c r="C3882" t="n">
        <v>1994</v>
      </c>
      <c r="D3882" t="n">
        <v>10.8553211494391</v>
      </c>
    </row>
    <row r="3883">
      <c r="A3883" t="inlineStr">
        <is>
          <t>Guatemala</t>
        </is>
      </c>
      <c r="B3883" t="inlineStr">
        <is>
          <t>GTM</t>
        </is>
      </c>
      <c r="C3883" t="n">
        <v>1995</v>
      </c>
      <c r="D3883" t="n">
        <v>8.411413122705641</v>
      </c>
    </row>
    <row r="3884">
      <c r="A3884" t="inlineStr">
        <is>
          <t>Guatemala</t>
        </is>
      </c>
      <c r="B3884" t="inlineStr">
        <is>
          <t>GTM</t>
        </is>
      </c>
      <c r="C3884" t="n">
        <v>1996</v>
      </c>
      <c r="D3884" t="n">
        <v>11.0569165321987</v>
      </c>
    </row>
    <row r="3885">
      <c r="A3885" t="inlineStr">
        <is>
          <t>Guatemala</t>
        </is>
      </c>
      <c r="B3885" t="inlineStr">
        <is>
          <t>GTM</t>
        </is>
      </c>
      <c r="C3885" t="n">
        <v>1997</v>
      </c>
      <c r="D3885" t="n">
        <v>9.232902948849381</v>
      </c>
    </row>
    <row r="3886">
      <c r="A3886" t="inlineStr">
        <is>
          <t>Guatemala</t>
        </is>
      </c>
      <c r="B3886" t="inlineStr">
        <is>
          <t>GTM</t>
        </is>
      </c>
      <c r="C3886" t="n">
        <v>1998</v>
      </c>
      <c r="D3886" t="n">
        <v>6.61346070518056</v>
      </c>
    </row>
    <row r="3887">
      <c r="A3887" t="inlineStr">
        <is>
          <t>Guatemala</t>
        </is>
      </c>
      <c r="B3887" t="inlineStr">
        <is>
          <t>GTM</t>
        </is>
      </c>
      <c r="C3887" t="n">
        <v>1999</v>
      </c>
      <c r="D3887" t="n">
        <v>5.2136105860112</v>
      </c>
    </row>
    <row r="3888">
      <c r="A3888" t="inlineStr">
        <is>
          <t>Guatemala</t>
        </is>
      </c>
      <c r="B3888" t="inlineStr">
        <is>
          <t>GTM</t>
        </is>
      </c>
      <c r="C3888" t="n">
        <v>2000</v>
      </c>
      <c r="D3888" t="n">
        <v>5.9775773473714</v>
      </c>
    </row>
    <row r="3889">
      <c r="A3889" t="inlineStr">
        <is>
          <t>Guatemala</t>
        </is>
      </c>
      <c r="B3889" t="inlineStr">
        <is>
          <t>GTM</t>
        </is>
      </c>
      <c r="C3889" t="n">
        <v>2001</v>
      </c>
      <c r="D3889" t="n">
        <v>7.28587366610134</v>
      </c>
    </row>
    <row r="3890">
      <c r="A3890" t="inlineStr">
        <is>
          <t>Guatemala</t>
        </is>
      </c>
      <c r="B3890" t="inlineStr">
        <is>
          <t>GTM</t>
        </is>
      </c>
      <c r="C3890" t="n">
        <v>2002</v>
      </c>
      <c r="D3890" t="n">
        <v>8.132630542810549</v>
      </c>
    </row>
    <row r="3891">
      <c r="A3891" t="inlineStr">
        <is>
          <t>Guatemala</t>
        </is>
      </c>
      <c r="B3891" t="inlineStr">
        <is>
          <t>GTM</t>
        </is>
      </c>
      <c r="C3891" t="n">
        <v>2003</v>
      </c>
      <c r="D3891" t="n">
        <v>5.60347675434469</v>
      </c>
    </row>
    <row r="3892">
      <c r="A3892" t="inlineStr">
        <is>
          <t>Guatemala</t>
        </is>
      </c>
      <c r="B3892" t="inlineStr">
        <is>
          <t>GTM</t>
        </is>
      </c>
      <c r="C3892" t="n">
        <v>2004</v>
      </c>
      <c r="D3892" t="n">
        <v>7.5786224730973</v>
      </c>
    </row>
    <row r="3893">
      <c r="A3893" t="inlineStr">
        <is>
          <t>Guatemala</t>
        </is>
      </c>
      <c r="B3893" t="inlineStr">
        <is>
          <t>GTM</t>
        </is>
      </c>
      <c r="C3893" t="n">
        <v>2005</v>
      </c>
      <c r="D3893" t="n">
        <v>9.10864985719221</v>
      </c>
    </row>
    <row r="3894">
      <c r="A3894" t="inlineStr">
        <is>
          <t>Guatemala</t>
        </is>
      </c>
      <c r="B3894" t="inlineStr">
        <is>
          <t>GTM</t>
        </is>
      </c>
      <c r="C3894" t="n">
        <v>2006</v>
      </c>
      <c r="D3894" t="n">
        <v>6.56085282795383</v>
      </c>
    </row>
    <row r="3895">
      <c r="A3895" t="inlineStr">
        <is>
          <t>Guatemala</t>
        </is>
      </c>
      <c r="B3895" t="inlineStr">
        <is>
          <t>GTM</t>
        </is>
      </c>
      <c r="C3895" t="n">
        <v>2007</v>
      </c>
      <c r="D3895" t="n">
        <v>6.82161753590318</v>
      </c>
    </row>
    <row r="3896">
      <c r="A3896" t="inlineStr">
        <is>
          <t>Guatemala</t>
        </is>
      </c>
      <c r="B3896" t="inlineStr">
        <is>
          <t>GTM</t>
        </is>
      </c>
      <c r="C3896" t="n">
        <v>2008</v>
      </c>
      <c r="D3896" t="n">
        <v>11.3557611263151</v>
      </c>
    </row>
    <row r="3897">
      <c r="A3897" t="inlineStr">
        <is>
          <t>Guatemala</t>
        </is>
      </c>
      <c r="B3897" t="inlineStr">
        <is>
          <t>GTM</t>
        </is>
      </c>
      <c r="C3897" t="n">
        <v>2009</v>
      </c>
      <c r="D3897" t="n">
        <v>1.85910254733021</v>
      </c>
    </row>
    <row r="3898">
      <c r="A3898" t="inlineStr">
        <is>
          <t>Guatemala</t>
        </is>
      </c>
      <c r="B3898" t="inlineStr">
        <is>
          <t>GTM</t>
        </is>
      </c>
      <c r="C3898" t="n">
        <v>2010</v>
      </c>
      <c r="D3898" t="n">
        <v>3.85950909833175</v>
      </c>
    </row>
    <row r="3899">
      <c r="A3899" t="inlineStr">
        <is>
          <t>Guatemala</t>
        </is>
      </c>
      <c r="B3899" t="inlineStr">
        <is>
          <t>GTM</t>
        </is>
      </c>
      <c r="C3899" t="n">
        <v>2011</v>
      </c>
      <c r="D3899" t="n">
        <v>6.21412393067091</v>
      </c>
    </row>
    <row r="3900">
      <c r="A3900" t="inlineStr">
        <is>
          <t>Guatemala</t>
        </is>
      </c>
      <c r="B3900" t="inlineStr">
        <is>
          <t>GTM</t>
        </is>
      </c>
      <c r="C3900" t="n">
        <v>2012</v>
      </c>
      <c r="D3900" t="n">
        <v>3.78180754679678</v>
      </c>
    </row>
    <row r="3901">
      <c r="A3901" t="inlineStr">
        <is>
          <t>Guatemala</t>
        </is>
      </c>
      <c r="B3901" t="inlineStr">
        <is>
          <t>GTM</t>
        </is>
      </c>
      <c r="C3901" t="n">
        <v>2013</v>
      </c>
      <c r="D3901" t="n">
        <v>4.34337131279521</v>
      </c>
    </row>
    <row r="3902">
      <c r="A3902" t="inlineStr">
        <is>
          <t>Guatemala</t>
        </is>
      </c>
      <c r="B3902" t="inlineStr">
        <is>
          <t>GTM</t>
        </is>
      </c>
      <c r="C3902" t="n">
        <v>2014</v>
      </c>
      <c r="D3902" t="n">
        <v>3.4183616966296</v>
      </c>
    </row>
    <row r="3903">
      <c r="A3903" t="inlineStr">
        <is>
          <t>Guatemala</t>
        </is>
      </c>
      <c r="B3903" t="inlineStr">
        <is>
          <t>GTM</t>
        </is>
      </c>
      <c r="C3903" t="n">
        <v>2015</v>
      </c>
      <c r="D3903" t="n">
        <v>2.38872032839551</v>
      </c>
    </row>
    <row r="3904">
      <c r="A3904" t="inlineStr">
        <is>
          <t>Guatemala</t>
        </is>
      </c>
      <c r="B3904" t="inlineStr">
        <is>
          <t>GTM</t>
        </is>
      </c>
      <c r="C3904" t="n">
        <v>2016</v>
      </c>
      <c r="D3904" t="n">
        <v>4.44844199942827</v>
      </c>
    </row>
    <row r="3905">
      <c r="A3905" t="inlineStr">
        <is>
          <t>Guatemala</t>
        </is>
      </c>
      <c r="B3905" t="inlineStr">
        <is>
          <t>GTM</t>
        </is>
      </c>
      <c r="C3905" t="n">
        <v>2017</v>
      </c>
      <c r="D3905" t="n">
        <v>4.42453655182538</v>
      </c>
    </row>
    <row r="3906">
      <c r="A3906" t="inlineStr">
        <is>
          <t>Guatemala</t>
        </is>
      </c>
      <c r="B3906" t="inlineStr">
        <is>
          <t>GTM</t>
        </is>
      </c>
      <c r="C3906" t="n">
        <v>2018</v>
      </c>
      <c r="D3906" t="n">
        <v>3.75186186704516</v>
      </c>
    </row>
    <row r="3907">
      <c r="A3907" t="inlineStr">
        <is>
          <t>Guatemala</t>
        </is>
      </c>
      <c r="B3907" t="inlineStr">
        <is>
          <t>GTM</t>
        </is>
      </c>
      <c r="C3907" t="n">
        <v>2019</v>
      </c>
      <c r="D3907" t="n">
        <v>3.69998398008598</v>
      </c>
    </row>
    <row r="3908">
      <c r="A3908" t="inlineStr">
        <is>
          <t>Guatemala</t>
        </is>
      </c>
      <c r="B3908" t="inlineStr">
        <is>
          <t>GTM</t>
        </is>
      </c>
      <c r="C3908" t="n">
        <v>2020</v>
      </c>
      <c r="D3908" t="n">
        <v>3.21444062197352</v>
      </c>
    </row>
    <row r="3909">
      <c r="A3909" t="inlineStr">
        <is>
          <t>Guatemala</t>
        </is>
      </c>
      <c r="B3909" t="inlineStr">
        <is>
          <t>GTM</t>
        </is>
      </c>
      <c r="C3909" t="n">
        <v>2021</v>
      </c>
      <c r="D3909" t="n">
        <v>4.26105127422813</v>
      </c>
    </row>
    <row r="3910">
      <c r="A3910" t="inlineStr">
        <is>
          <t>Guatemala</t>
        </is>
      </c>
      <c r="B3910" t="inlineStr">
        <is>
          <t>GTM</t>
        </is>
      </c>
      <c r="C3910" t="n">
        <v>2022</v>
      </c>
      <c r="D3910" t="n">
        <v>6.88512823344287</v>
      </c>
    </row>
    <row r="3911">
      <c r="A3911" t="inlineStr">
        <is>
          <t>Guatemala</t>
        </is>
      </c>
      <c r="B3911" t="inlineStr">
        <is>
          <t>GTM</t>
        </is>
      </c>
      <c r="C3911" t="n">
        <v>2023</v>
      </c>
      <c r="D3911" t="n">
        <v>6.20657592272126</v>
      </c>
    </row>
    <row r="3912">
      <c r="A3912" t="inlineStr">
        <is>
          <t>Guatemala</t>
        </is>
      </c>
      <c r="B3912" t="inlineStr">
        <is>
          <t>GTM</t>
        </is>
      </c>
      <c r="C3912" t="n">
        <v>2024</v>
      </c>
      <c r="D3912" t="n">
        <v>2.86919482222022</v>
      </c>
    </row>
    <row r="3913">
      <c r="A3913" t="inlineStr">
        <is>
          <t>Guyana</t>
        </is>
      </c>
      <c r="B3913" t="inlineStr">
        <is>
          <t>GUY</t>
        </is>
      </c>
      <c r="C3913" t="n">
        <v>1995</v>
      </c>
      <c r="D3913" t="n">
        <v>12.2105263157895</v>
      </c>
    </row>
    <row r="3914">
      <c r="A3914" t="inlineStr">
        <is>
          <t>Guyana</t>
        </is>
      </c>
      <c r="B3914" t="inlineStr">
        <is>
          <t>GUY</t>
        </is>
      </c>
      <c r="C3914" t="n">
        <v>1996</v>
      </c>
      <c r="D3914" t="n">
        <v>7.09471197276045</v>
      </c>
    </row>
    <row r="3915">
      <c r="A3915" t="inlineStr">
        <is>
          <t>Guyana</t>
        </is>
      </c>
      <c r="B3915" t="inlineStr">
        <is>
          <t>GUY</t>
        </is>
      </c>
      <c r="C3915" t="n">
        <v>1997</v>
      </c>
      <c r="D3915" t="n">
        <v>3.55567090578809</v>
      </c>
    </row>
    <row r="3916">
      <c r="A3916" t="inlineStr">
        <is>
          <t>Guyana</t>
        </is>
      </c>
      <c r="B3916" t="inlineStr">
        <is>
          <t>GUY</t>
        </is>
      </c>
      <c r="C3916" t="n">
        <v>1998</v>
      </c>
      <c r="D3916" t="n">
        <v>4.5864661654135</v>
      </c>
    </row>
    <row r="3917">
      <c r="A3917" t="inlineStr">
        <is>
          <t>Guyana</t>
        </is>
      </c>
      <c r="B3917" t="inlineStr">
        <is>
          <t>GUY</t>
        </is>
      </c>
      <c r="C3917" t="n">
        <v>1999</v>
      </c>
      <c r="D3917" t="n">
        <v>7.53821939851393</v>
      </c>
    </row>
    <row r="3918">
      <c r="A3918" t="inlineStr">
        <is>
          <t>Guyana</t>
        </is>
      </c>
      <c r="B3918" t="inlineStr">
        <is>
          <t>GUY</t>
        </is>
      </c>
      <c r="C3918" t="n">
        <v>2000</v>
      </c>
      <c r="D3918" t="n">
        <v>6.14854333024871</v>
      </c>
    </row>
    <row r="3919">
      <c r="A3919" t="inlineStr">
        <is>
          <t>Guyana</t>
        </is>
      </c>
      <c r="B3919" t="inlineStr">
        <is>
          <t>GUY</t>
        </is>
      </c>
      <c r="C3919" t="n">
        <v>2001</v>
      </c>
      <c r="D3919" t="n">
        <v>2.62741314203332</v>
      </c>
    </row>
    <row r="3920">
      <c r="A3920" t="inlineStr">
        <is>
          <t>Guyana</t>
        </is>
      </c>
      <c r="B3920" t="inlineStr">
        <is>
          <t>GUY</t>
        </is>
      </c>
      <c r="C3920" t="n">
        <v>2002</v>
      </c>
      <c r="D3920" t="n">
        <v>5.3410152137741</v>
      </c>
    </row>
    <row r="3921">
      <c r="A3921" t="inlineStr">
        <is>
          <t>Guyana</t>
        </is>
      </c>
      <c r="B3921" t="inlineStr">
        <is>
          <t>GUY</t>
        </is>
      </c>
      <c r="C3921" t="n">
        <v>2003</v>
      </c>
      <c r="D3921" t="n">
        <v>5.98097814066473</v>
      </c>
    </row>
    <row r="3922">
      <c r="A3922" t="inlineStr">
        <is>
          <t>Guyana</t>
        </is>
      </c>
      <c r="B3922" t="inlineStr">
        <is>
          <t>GUY</t>
        </is>
      </c>
      <c r="C3922" t="n">
        <v>2004</v>
      </c>
      <c r="D3922" t="n">
        <v>4.66846622369882</v>
      </c>
    </row>
    <row r="3923">
      <c r="A3923" t="inlineStr">
        <is>
          <t>Guyana</t>
        </is>
      </c>
      <c r="B3923" t="inlineStr">
        <is>
          <t>GUY</t>
        </is>
      </c>
      <c r="C3923" t="n">
        <v>2005</v>
      </c>
      <c r="D3923" t="n">
        <v>6.92554303890157</v>
      </c>
    </row>
    <row r="3924">
      <c r="A3924" t="inlineStr">
        <is>
          <t>Guyana</t>
        </is>
      </c>
      <c r="B3924" t="inlineStr">
        <is>
          <t>GUY</t>
        </is>
      </c>
      <c r="C3924" t="n">
        <v>2006</v>
      </c>
      <c r="D3924" t="n">
        <v>6.67715790410028</v>
      </c>
    </row>
    <row r="3925">
      <c r="A3925" t="inlineStr">
        <is>
          <t>Guyana</t>
        </is>
      </c>
      <c r="B3925" t="inlineStr">
        <is>
          <t>GUY</t>
        </is>
      </c>
      <c r="C3925" t="n">
        <v>2007</v>
      </c>
      <c r="D3925" t="n">
        <v>12.2001544446648</v>
      </c>
    </row>
    <row r="3926">
      <c r="A3926" t="inlineStr">
        <is>
          <t>Guyana</t>
        </is>
      </c>
      <c r="B3926" t="inlineStr">
        <is>
          <t>GUY</t>
        </is>
      </c>
      <c r="C3926" t="n">
        <v>2008</v>
      </c>
      <c r="D3926" t="n">
        <v>8.10202206969276</v>
      </c>
    </row>
    <row r="3927">
      <c r="A3927" t="inlineStr">
        <is>
          <t>Guyana</t>
        </is>
      </c>
      <c r="B3927" t="inlineStr">
        <is>
          <t>GUY</t>
        </is>
      </c>
      <c r="C3927" t="n">
        <v>2009</v>
      </c>
      <c r="D3927" t="n">
        <v>2.95230096381001</v>
      </c>
    </row>
    <row r="3928">
      <c r="A3928" t="inlineStr">
        <is>
          <t>Guyana</t>
        </is>
      </c>
      <c r="B3928" t="inlineStr">
        <is>
          <t>GUY</t>
        </is>
      </c>
      <c r="C3928" t="n">
        <v>2010</v>
      </c>
      <c r="D3928" t="n">
        <v>3.73337757704246</v>
      </c>
    </row>
    <row r="3929">
      <c r="A3929" t="inlineStr">
        <is>
          <t>Guyana</t>
        </is>
      </c>
      <c r="B3929" t="inlineStr">
        <is>
          <t>GUY</t>
        </is>
      </c>
      <c r="C3929" t="n">
        <v>2011</v>
      </c>
      <c r="D3929" t="n">
        <v>4.9777356370697</v>
      </c>
    </row>
    <row r="3930">
      <c r="A3930" t="inlineStr">
        <is>
          <t>Guyana</t>
        </is>
      </c>
      <c r="B3930" t="inlineStr">
        <is>
          <t>GUY</t>
        </is>
      </c>
      <c r="C3930" t="n">
        <v>2012</v>
      </c>
      <c r="D3930" t="n">
        <v>2.39193521312334</v>
      </c>
    </row>
    <row r="3931">
      <c r="A3931" t="inlineStr">
        <is>
          <t>Guyana</t>
        </is>
      </c>
      <c r="B3931" t="inlineStr">
        <is>
          <t>GUY</t>
        </is>
      </c>
      <c r="C3931" t="n">
        <v>2013</v>
      </c>
      <c r="D3931" t="n">
        <v>1.90125181860582</v>
      </c>
    </row>
    <row r="3932">
      <c r="A3932" t="inlineStr">
        <is>
          <t>Guyana</t>
        </is>
      </c>
      <c r="B3932" t="inlineStr">
        <is>
          <t>GUY</t>
        </is>
      </c>
      <c r="C3932" t="n">
        <v>2014</v>
      </c>
      <c r="D3932" t="n">
        <v>0.852630497539914</v>
      </c>
    </row>
    <row r="3933">
      <c r="A3933" t="inlineStr">
        <is>
          <t>Guyana</t>
        </is>
      </c>
      <c r="B3933" t="inlineStr">
        <is>
          <t>GUY</t>
        </is>
      </c>
      <c r="C3933" t="n">
        <v>2015</v>
      </c>
      <c r="D3933" t="n">
        <v>-1.00173432776374</v>
      </c>
    </row>
    <row r="3934">
      <c r="A3934" t="inlineStr">
        <is>
          <t>Guyana</t>
        </is>
      </c>
      <c r="B3934" t="inlineStr">
        <is>
          <t>GUY</t>
        </is>
      </c>
      <c r="C3934" t="n">
        <v>2016</v>
      </c>
      <c r="D3934" t="n">
        <v>0.836008061506207</v>
      </c>
    </row>
    <row r="3935">
      <c r="A3935" t="inlineStr">
        <is>
          <t>Guyana</t>
        </is>
      </c>
      <c r="B3935" t="inlineStr">
        <is>
          <t>GUY</t>
        </is>
      </c>
      <c r="C3935" t="n">
        <v>2017</v>
      </c>
      <c r="D3935" t="n">
        <v>1.90465615515584</v>
      </c>
    </row>
    <row r="3936">
      <c r="A3936" t="inlineStr">
        <is>
          <t>Guyana</t>
        </is>
      </c>
      <c r="B3936" t="inlineStr">
        <is>
          <t>GUY</t>
        </is>
      </c>
      <c r="C3936" t="n">
        <v>2018</v>
      </c>
      <c r="D3936" t="n">
        <v>1.28284288443528</v>
      </c>
    </row>
    <row r="3937">
      <c r="A3937" t="inlineStr">
        <is>
          <t>Guyana</t>
        </is>
      </c>
      <c r="B3937" t="inlineStr">
        <is>
          <t>GUY</t>
        </is>
      </c>
      <c r="C3937" t="n">
        <v>2019</v>
      </c>
      <c r="D3937" t="n">
        <v>2.08723089162013</v>
      </c>
    </row>
    <row r="3938">
      <c r="A3938" t="inlineStr">
        <is>
          <t>Guyana</t>
        </is>
      </c>
      <c r="B3938" t="inlineStr">
        <is>
          <t>GUY</t>
        </is>
      </c>
      <c r="C3938" t="n">
        <v>2020</v>
      </c>
      <c r="D3938" t="n">
        <v>0.99333702283873</v>
      </c>
    </row>
    <row r="3939">
      <c r="A3939" t="inlineStr">
        <is>
          <t>Guyana</t>
        </is>
      </c>
      <c r="B3939" t="inlineStr">
        <is>
          <t>GUY</t>
        </is>
      </c>
      <c r="C3939" t="n">
        <v>2021</v>
      </c>
      <c r="D3939" t="n">
        <v>5.03285574626702</v>
      </c>
    </row>
    <row r="3940">
      <c r="A3940" t="inlineStr">
        <is>
          <t>Guyana</t>
        </is>
      </c>
      <c r="B3940" t="inlineStr">
        <is>
          <t>GUY</t>
        </is>
      </c>
      <c r="C3940" t="n">
        <v>2022</v>
      </c>
      <c r="D3940" t="n">
        <v>6.11505550109935</v>
      </c>
    </row>
    <row r="3941">
      <c r="A3941" t="inlineStr">
        <is>
          <t>Guyana</t>
        </is>
      </c>
      <c r="B3941" t="inlineStr">
        <is>
          <t>GUY</t>
        </is>
      </c>
      <c r="C3941" t="n">
        <v>2023</v>
      </c>
      <c r="D3941" t="n">
        <v>2.82110335099641</v>
      </c>
    </row>
    <row r="3942">
      <c r="A3942" t="inlineStr">
        <is>
          <t>Guyana</t>
        </is>
      </c>
      <c r="B3942" t="inlineStr">
        <is>
          <t>GUY</t>
        </is>
      </c>
      <c r="C3942" t="n">
        <v>2024</v>
      </c>
      <c r="D3942" t="n">
        <v>2.90395226446373</v>
      </c>
    </row>
    <row r="3943">
      <c r="A3943" t="inlineStr">
        <is>
          <t>High income</t>
        </is>
      </c>
      <c r="B3943" t="inlineStr">
        <is>
          <t>HIC</t>
        </is>
      </c>
      <c r="C3943" t="n">
        <v>1981</v>
      </c>
      <c r="D3943" t="n">
        <v>11.4271763230549</v>
      </c>
    </row>
    <row r="3944">
      <c r="A3944" t="inlineStr">
        <is>
          <t>High income</t>
        </is>
      </c>
      <c r="B3944" t="inlineStr">
        <is>
          <t>HIC</t>
        </is>
      </c>
      <c r="C3944" t="n">
        <v>1982</v>
      </c>
      <c r="D3944" t="n">
        <v>8.88571308471459</v>
      </c>
    </row>
    <row r="3945">
      <c r="A3945" t="inlineStr">
        <is>
          <t>High income</t>
        </is>
      </c>
      <c r="B3945" t="inlineStr">
        <is>
          <t>HIC</t>
        </is>
      </c>
      <c r="C3945" t="n">
        <v>1983</v>
      </c>
      <c r="D3945" t="n">
        <v>6.90822881158842</v>
      </c>
    </row>
    <row r="3946">
      <c r="A3946" t="inlineStr">
        <is>
          <t>High income</t>
        </is>
      </c>
      <c r="B3946" t="inlineStr">
        <is>
          <t>HIC</t>
        </is>
      </c>
      <c r="C3946" t="n">
        <v>1984</v>
      </c>
      <c r="D3946" t="n">
        <v>5.99195111048444</v>
      </c>
    </row>
    <row r="3947">
      <c r="A3947" t="inlineStr">
        <is>
          <t>High income</t>
        </is>
      </c>
      <c r="B3947" t="inlineStr">
        <is>
          <t>HIC</t>
        </is>
      </c>
      <c r="C3947" t="n">
        <v>1985</v>
      </c>
      <c r="D3947" t="n">
        <v>4.64188054287193</v>
      </c>
    </row>
    <row r="3948">
      <c r="A3948" t="inlineStr">
        <is>
          <t>High income</t>
        </is>
      </c>
      <c r="B3948" t="inlineStr">
        <is>
          <t>HIC</t>
        </is>
      </c>
      <c r="C3948" t="n">
        <v>1986</v>
      </c>
      <c r="D3948" t="n">
        <v>2.84178008252842</v>
      </c>
    </row>
    <row r="3949">
      <c r="A3949" t="inlineStr">
        <is>
          <t>High income</t>
        </is>
      </c>
      <c r="B3949" t="inlineStr">
        <is>
          <t>HIC</t>
        </is>
      </c>
      <c r="C3949" t="n">
        <v>1987</v>
      </c>
      <c r="D3949" t="n">
        <v>3.65380433784698</v>
      </c>
    </row>
    <row r="3950">
      <c r="A3950" t="inlineStr">
        <is>
          <t>High income</t>
        </is>
      </c>
      <c r="B3950" t="inlineStr">
        <is>
          <t>HIC</t>
        </is>
      </c>
      <c r="C3950" t="n">
        <v>1988</v>
      </c>
      <c r="D3950" t="n">
        <v>4.27888177184933</v>
      </c>
    </row>
    <row r="3951">
      <c r="A3951" t="inlineStr">
        <is>
          <t>High income</t>
        </is>
      </c>
      <c r="B3951" t="inlineStr">
        <is>
          <t>HIC</t>
        </is>
      </c>
      <c r="C3951" t="n">
        <v>1989</v>
      </c>
      <c r="D3951" t="n">
        <v>5.16996495562573</v>
      </c>
    </row>
    <row r="3952">
      <c r="A3952" t="inlineStr">
        <is>
          <t>High income</t>
        </is>
      </c>
      <c r="B3952" t="inlineStr">
        <is>
          <t>HIC</t>
        </is>
      </c>
      <c r="C3952" t="n">
        <v>1990</v>
      </c>
      <c r="D3952" t="n">
        <v>5.4039590921894</v>
      </c>
    </row>
    <row r="3953">
      <c r="A3953" t="inlineStr">
        <is>
          <t>High income</t>
        </is>
      </c>
      <c r="B3953" t="inlineStr">
        <is>
          <t>HIC</t>
        </is>
      </c>
      <c r="C3953" t="n">
        <v>1991</v>
      </c>
      <c r="D3953" t="n">
        <v>5.29541497201842</v>
      </c>
    </row>
    <row r="3954">
      <c r="A3954" t="inlineStr">
        <is>
          <t>High income</t>
        </is>
      </c>
      <c r="B3954" t="inlineStr">
        <is>
          <t>HIC</t>
        </is>
      </c>
      <c r="C3954" t="n">
        <v>1992</v>
      </c>
      <c r="D3954" t="n">
        <v>4.02893900408648</v>
      </c>
    </row>
    <row r="3955">
      <c r="A3955" t="inlineStr">
        <is>
          <t>High income</t>
        </is>
      </c>
      <c r="B3955" t="inlineStr">
        <is>
          <t>HIC</t>
        </is>
      </c>
      <c r="C3955" t="n">
        <v>1993</v>
      </c>
      <c r="D3955" t="n">
        <v>4.1982601110385</v>
      </c>
    </row>
    <row r="3956">
      <c r="A3956" t="inlineStr">
        <is>
          <t>High income</t>
        </is>
      </c>
      <c r="B3956" t="inlineStr">
        <is>
          <t>HIC</t>
        </is>
      </c>
      <c r="C3956" t="n">
        <v>1994</v>
      </c>
      <c r="D3956" t="n">
        <v>2.87746700027128</v>
      </c>
    </row>
    <row r="3957">
      <c r="A3957" t="inlineStr">
        <is>
          <t>High income</t>
        </is>
      </c>
      <c r="B3957" t="inlineStr">
        <is>
          <t>HIC</t>
        </is>
      </c>
      <c r="C3957" t="n">
        <v>1995</v>
      </c>
      <c r="D3957" t="n">
        <v>3.75494413677554</v>
      </c>
    </row>
    <row r="3958">
      <c r="A3958" t="inlineStr">
        <is>
          <t>High income</t>
        </is>
      </c>
      <c r="B3958" t="inlineStr">
        <is>
          <t>HIC</t>
        </is>
      </c>
      <c r="C3958" t="n">
        <v>1996</v>
      </c>
      <c r="D3958" t="n">
        <v>2.93120419993441</v>
      </c>
    </row>
    <row r="3959">
      <c r="A3959" t="inlineStr">
        <is>
          <t>High income</t>
        </is>
      </c>
      <c r="B3959" t="inlineStr">
        <is>
          <t>HIC</t>
        </is>
      </c>
      <c r="C3959" t="n">
        <v>1997</v>
      </c>
      <c r="D3959" t="n">
        <v>2.43155133955926</v>
      </c>
    </row>
    <row r="3960">
      <c r="A3960" t="inlineStr">
        <is>
          <t>High income</t>
        </is>
      </c>
      <c r="B3960" t="inlineStr">
        <is>
          <t>HIC</t>
        </is>
      </c>
      <c r="C3960" t="n">
        <v>1998</v>
      </c>
      <c r="D3960" t="n">
        <v>1.95913632274251</v>
      </c>
    </row>
    <row r="3961">
      <c r="A3961" t="inlineStr">
        <is>
          <t>High income</t>
        </is>
      </c>
      <c r="B3961" t="inlineStr">
        <is>
          <t>HIC</t>
        </is>
      </c>
      <c r="C3961" t="n">
        <v>1999</v>
      </c>
      <c r="D3961" t="n">
        <v>2.13510866611858</v>
      </c>
    </row>
    <row r="3962">
      <c r="A3962" t="inlineStr">
        <is>
          <t>High income</t>
        </is>
      </c>
      <c r="B3962" t="inlineStr">
        <is>
          <t>HIC</t>
        </is>
      </c>
      <c r="C3962" t="n">
        <v>2000</v>
      </c>
      <c r="D3962" t="n">
        <v>2.68684736744012</v>
      </c>
    </row>
    <row r="3963">
      <c r="A3963" t="inlineStr">
        <is>
          <t>High income</t>
        </is>
      </c>
      <c r="B3963" t="inlineStr">
        <is>
          <t>HIC</t>
        </is>
      </c>
      <c r="C3963" t="n">
        <v>2001</v>
      </c>
      <c r="D3963" t="n">
        <v>2.62661472298117</v>
      </c>
    </row>
    <row r="3964">
      <c r="A3964" t="inlineStr">
        <is>
          <t>High income</t>
        </is>
      </c>
      <c r="B3964" t="inlineStr">
        <is>
          <t>HIC</t>
        </is>
      </c>
      <c r="C3964" t="n">
        <v>2002</v>
      </c>
      <c r="D3964" t="n">
        <v>2.07408613571643</v>
      </c>
    </row>
    <row r="3965">
      <c r="A3965" t="inlineStr">
        <is>
          <t>High income</t>
        </is>
      </c>
      <c r="B3965" t="inlineStr">
        <is>
          <t>HIC</t>
        </is>
      </c>
      <c r="C3965" t="n">
        <v>2003</v>
      </c>
      <c r="D3965" t="n">
        <v>2.05566329753742</v>
      </c>
    </row>
    <row r="3966">
      <c r="A3966" t="inlineStr">
        <is>
          <t>High income</t>
        </is>
      </c>
      <c r="B3966" t="inlineStr">
        <is>
          <t>HIC</t>
        </is>
      </c>
      <c r="C3966" t="n">
        <v>2004</v>
      </c>
      <c r="D3966" t="n">
        <v>2.1926413357709</v>
      </c>
    </row>
    <row r="3967">
      <c r="A3967" t="inlineStr">
        <is>
          <t>High income</t>
        </is>
      </c>
      <c r="B3967" t="inlineStr">
        <is>
          <t>HIC</t>
        </is>
      </c>
      <c r="C3967" t="n">
        <v>2005</v>
      </c>
      <c r="D3967" t="n">
        <v>2.62234586860218</v>
      </c>
    </row>
    <row r="3968">
      <c r="A3968" t="inlineStr">
        <is>
          <t>High income</t>
        </is>
      </c>
      <c r="B3968" t="inlineStr">
        <is>
          <t>HIC</t>
        </is>
      </c>
      <c r="C3968" t="n">
        <v>2006</v>
      </c>
      <c r="D3968" t="n">
        <v>2.66631494577069</v>
      </c>
    </row>
    <row r="3969">
      <c r="A3969" t="inlineStr">
        <is>
          <t>High income</t>
        </is>
      </c>
      <c r="B3969" t="inlineStr">
        <is>
          <t>HIC</t>
        </is>
      </c>
      <c r="C3969" t="n">
        <v>2007</v>
      </c>
      <c r="D3969" t="n">
        <v>2.85267248150138</v>
      </c>
    </row>
    <row r="3970">
      <c r="A3970" t="inlineStr">
        <is>
          <t>High income</t>
        </is>
      </c>
      <c r="B3970" t="inlineStr">
        <is>
          <t>HIC</t>
        </is>
      </c>
      <c r="C3970" t="n">
        <v>2008</v>
      </c>
      <c r="D3970" t="n">
        <v>4.63359409113757</v>
      </c>
    </row>
    <row r="3971">
      <c r="A3971" t="inlineStr">
        <is>
          <t>High income</t>
        </is>
      </c>
      <c r="B3971" t="inlineStr">
        <is>
          <t>HIC</t>
        </is>
      </c>
      <c r="C3971" t="n">
        <v>2009</v>
      </c>
      <c r="D3971" t="n">
        <v>1.58845890753654</v>
      </c>
    </row>
    <row r="3972">
      <c r="A3972" t="inlineStr">
        <is>
          <t>High income</t>
        </is>
      </c>
      <c r="B3972" t="inlineStr">
        <is>
          <t>HIC</t>
        </is>
      </c>
      <c r="C3972" t="n">
        <v>2010</v>
      </c>
      <c r="D3972" t="n">
        <v>2.07814071860787</v>
      </c>
    </row>
    <row r="3973">
      <c r="A3973" t="inlineStr">
        <is>
          <t>High income</t>
        </is>
      </c>
      <c r="B3973" t="inlineStr">
        <is>
          <t>HIC</t>
        </is>
      </c>
      <c r="C3973" t="n">
        <v>2011</v>
      </c>
      <c r="D3973" t="n">
        <v>3.41068341068342</v>
      </c>
    </row>
    <row r="3974">
      <c r="A3974" t="inlineStr">
        <is>
          <t>High income</t>
        </is>
      </c>
      <c r="B3974" t="inlineStr">
        <is>
          <t>HIC</t>
        </is>
      </c>
      <c r="C3974" t="n">
        <v>2012</v>
      </c>
      <c r="D3974" t="n">
        <v>2.66284165508021</v>
      </c>
    </row>
    <row r="3975">
      <c r="A3975" t="inlineStr">
        <is>
          <t>High income</t>
        </is>
      </c>
      <c r="B3975" t="inlineStr">
        <is>
          <t>HIC</t>
        </is>
      </c>
      <c r="C3975" t="n">
        <v>2013</v>
      </c>
      <c r="D3975" t="n">
        <v>1.49150472970343</v>
      </c>
    </row>
    <row r="3976">
      <c r="A3976" t="inlineStr">
        <is>
          <t>High income</t>
        </is>
      </c>
      <c r="B3976" t="inlineStr">
        <is>
          <t>HIC</t>
        </is>
      </c>
      <c r="C3976" t="n">
        <v>2014</v>
      </c>
      <c r="D3976" t="n">
        <v>1.03317212108915</v>
      </c>
    </row>
    <row r="3977">
      <c r="A3977" t="inlineStr">
        <is>
          <t>High income</t>
        </is>
      </c>
      <c r="B3977" t="inlineStr">
        <is>
          <t>HIC</t>
        </is>
      </c>
      <c r="C3977" t="n">
        <v>2015</v>
      </c>
      <c r="D3977" t="n">
        <v>0.31969585681802</v>
      </c>
    </row>
    <row r="3978">
      <c r="A3978" t="inlineStr">
        <is>
          <t>High income</t>
        </is>
      </c>
      <c r="B3978" t="inlineStr">
        <is>
          <t>HIC</t>
        </is>
      </c>
      <c r="C3978" t="n">
        <v>2016</v>
      </c>
      <c r="D3978" t="n">
        <v>0.443258157565783</v>
      </c>
    </row>
    <row r="3979">
      <c r="A3979" t="inlineStr">
        <is>
          <t>High income</t>
        </is>
      </c>
      <c r="B3979" t="inlineStr">
        <is>
          <t>HIC</t>
        </is>
      </c>
      <c r="C3979" t="n">
        <v>2017</v>
      </c>
      <c r="D3979" t="n">
        <v>1.58734107634072</v>
      </c>
    </row>
    <row r="3980">
      <c r="A3980" t="inlineStr">
        <is>
          <t>High income</t>
        </is>
      </c>
      <c r="B3980" t="inlineStr">
        <is>
          <t>HIC</t>
        </is>
      </c>
      <c r="C3980" t="n">
        <v>2018</v>
      </c>
      <c r="D3980" t="n">
        <v>1.85081508315502</v>
      </c>
    </row>
    <row r="3981">
      <c r="A3981" t="inlineStr">
        <is>
          <t>High income</t>
        </is>
      </c>
      <c r="B3981" t="inlineStr">
        <is>
          <t>HIC</t>
        </is>
      </c>
      <c r="C3981" t="n">
        <v>2019</v>
      </c>
      <c r="D3981" t="n">
        <v>1.61076787290379</v>
      </c>
    </row>
    <row r="3982">
      <c r="A3982" t="inlineStr">
        <is>
          <t>High income</t>
        </is>
      </c>
      <c r="B3982" t="inlineStr">
        <is>
          <t>HIC</t>
        </is>
      </c>
      <c r="C3982" t="n">
        <v>2020</v>
      </c>
      <c r="D3982" t="n">
        <v>0.56813717711819</v>
      </c>
    </row>
    <row r="3983">
      <c r="A3983" t="inlineStr">
        <is>
          <t>High income</t>
        </is>
      </c>
      <c r="B3983" t="inlineStr">
        <is>
          <t>HIC</t>
        </is>
      </c>
      <c r="C3983" t="n">
        <v>2021</v>
      </c>
      <c r="D3983" t="n">
        <v>2.52264559340189</v>
      </c>
    </row>
    <row r="3984">
      <c r="A3984" t="inlineStr">
        <is>
          <t>High income</t>
        </is>
      </c>
      <c r="B3984" t="inlineStr">
        <is>
          <t>HIC</t>
        </is>
      </c>
      <c r="C3984" t="n">
        <v>2022</v>
      </c>
      <c r="D3984" t="n">
        <v>7.17222476016441</v>
      </c>
    </row>
    <row r="3985">
      <c r="A3985" t="inlineStr">
        <is>
          <t>High income</t>
        </is>
      </c>
      <c r="B3985" t="inlineStr">
        <is>
          <t>HIC</t>
        </is>
      </c>
      <c r="C3985" t="n">
        <v>2023</v>
      </c>
      <c r="D3985" t="n">
        <v>4.84991227992453</v>
      </c>
    </row>
    <row r="3986">
      <c r="A3986" t="inlineStr">
        <is>
          <t>Hong Kong SAR, China</t>
        </is>
      </c>
      <c r="B3986" t="inlineStr">
        <is>
          <t>HKG</t>
        </is>
      </c>
      <c r="C3986" t="n">
        <v>1982</v>
      </c>
      <c r="D3986" t="n">
        <v>10.9704641350212</v>
      </c>
    </row>
    <row r="3987">
      <c r="A3987" t="inlineStr">
        <is>
          <t>Hong Kong SAR, China</t>
        </is>
      </c>
      <c r="B3987" t="inlineStr">
        <is>
          <t>HKG</t>
        </is>
      </c>
      <c r="C3987" t="n">
        <v>1983</v>
      </c>
      <c r="D3987" t="n">
        <v>9.8859315589355</v>
      </c>
    </row>
    <row r="3988">
      <c r="A3988" t="inlineStr">
        <is>
          <t>Hong Kong SAR, China</t>
        </is>
      </c>
      <c r="B3988" t="inlineStr">
        <is>
          <t>HKG</t>
        </is>
      </c>
      <c r="C3988" t="n">
        <v>1984</v>
      </c>
      <c r="D3988" t="n">
        <v>8.65051903114184</v>
      </c>
    </row>
    <row r="3989">
      <c r="A3989" t="inlineStr">
        <is>
          <t>Hong Kong SAR, China</t>
        </is>
      </c>
      <c r="B3989" t="inlineStr">
        <is>
          <t>HKG</t>
        </is>
      </c>
      <c r="C3989" t="n">
        <v>1985</v>
      </c>
      <c r="D3989" t="n">
        <v>3.50318471337575</v>
      </c>
    </row>
    <row r="3990">
      <c r="A3990" t="inlineStr">
        <is>
          <t>Hong Kong SAR, China</t>
        </is>
      </c>
      <c r="B3990" t="inlineStr">
        <is>
          <t>HKG</t>
        </is>
      </c>
      <c r="C3990" t="n">
        <v>1986</v>
      </c>
      <c r="D3990" t="n">
        <v>3.38461538461534</v>
      </c>
    </row>
    <row r="3991">
      <c r="A3991" t="inlineStr">
        <is>
          <t>Hong Kong SAR, China</t>
        </is>
      </c>
      <c r="B3991" t="inlineStr">
        <is>
          <t>HKG</t>
        </is>
      </c>
      <c r="C3991" t="n">
        <v>1987</v>
      </c>
      <c r="D3991" t="n">
        <v>5.65476190476196</v>
      </c>
    </row>
    <row r="3992">
      <c r="A3992" t="inlineStr">
        <is>
          <t>Hong Kong SAR, China</t>
        </is>
      </c>
      <c r="B3992" t="inlineStr">
        <is>
          <t>HKG</t>
        </is>
      </c>
      <c r="C3992" t="n">
        <v>1988</v>
      </c>
      <c r="D3992" t="n">
        <v>7.8873239436618</v>
      </c>
    </row>
    <row r="3993">
      <c r="A3993" t="inlineStr">
        <is>
          <t>Hong Kong SAR, China</t>
        </is>
      </c>
      <c r="B3993" t="inlineStr">
        <is>
          <t>HKG</t>
        </is>
      </c>
      <c r="C3993" t="n">
        <v>1989</v>
      </c>
      <c r="D3993" t="n">
        <v>10.1827676240209</v>
      </c>
    </row>
    <row r="3994">
      <c r="A3994" t="inlineStr">
        <is>
          <t>Hong Kong SAR, China</t>
        </is>
      </c>
      <c r="B3994" t="inlineStr">
        <is>
          <t>HKG</t>
        </is>
      </c>
      <c r="C3994" t="n">
        <v>1990</v>
      </c>
      <c r="D3994" t="n">
        <v>10.4265402843602</v>
      </c>
    </row>
    <row r="3995">
      <c r="A3995" t="inlineStr">
        <is>
          <t>Hong Kong SAR, China</t>
        </is>
      </c>
      <c r="B3995" t="inlineStr">
        <is>
          <t>HKG</t>
        </is>
      </c>
      <c r="C3995" t="n">
        <v>1991</v>
      </c>
      <c r="D3995" t="n">
        <v>11.1587982832617</v>
      </c>
    </row>
    <row r="3996">
      <c r="A3996" t="inlineStr">
        <is>
          <t>Hong Kong SAR, China</t>
        </is>
      </c>
      <c r="B3996" t="inlineStr">
        <is>
          <t>HKG</t>
        </is>
      </c>
      <c r="C3996" t="n">
        <v>1992</v>
      </c>
      <c r="D3996" t="n">
        <v>9.652509652509661</v>
      </c>
    </row>
    <row r="3997">
      <c r="A3997" t="inlineStr">
        <is>
          <t>Hong Kong SAR, China</t>
        </is>
      </c>
      <c r="B3997" t="inlineStr">
        <is>
          <t>HKG</t>
        </is>
      </c>
      <c r="C3997" t="n">
        <v>1993</v>
      </c>
      <c r="D3997" t="n">
        <v>8.802816901408571</v>
      </c>
    </row>
    <row r="3998">
      <c r="A3998" t="inlineStr">
        <is>
          <t>Hong Kong SAR, China</t>
        </is>
      </c>
      <c r="B3998" t="inlineStr">
        <is>
          <t>HKG</t>
        </is>
      </c>
      <c r="C3998" t="n">
        <v>1994</v>
      </c>
      <c r="D3998" t="n">
        <v>8.737864077669849</v>
      </c>
    </row>
    <row r="3999">
      <c r="A3999" t="inlineStr">
        <is>
          <t>Hong Kong SAR, China</t>
        </is>
      </c>
      <c r="B3999" t="inlineStr">
        <is>
          <t>HKG</t>
        </is>
      </c>
      <c r="C3999" t="n">
        <v>1995</v>
      </c>
      <c r="D3999" t="n">
        <v>9.07738095238091</v>
      </c>
    </row>
    <row r="4000">
      <c r="A4000" t="inlineStr">
        <is>
          <t>Hong Kong SAR, China</t>
        </is>
      </c>
      <c r="B4000" t="inlineStr">
        <is>
          <t>HKG</t>
        </is>
      </c>
      <c r="C4000" t="n">
        <v>1996</v>
      </c>
      <c r="D4000" t="n">
        <v>6.27557980900412</v>
      </c>
    </row>
    <row r="4001">
      <c r="A4001" t="inlineStr">
        <is>
          <t>Hong Kong SAR, China</t>
        </is>
      </c>
      <c r="B4001" t="inlineStr">
        <is>
          <t>HKG</t>
        </is>
      </c>
      <c r="C4001" t="n">
        <v>1997</v>
      </c>
      <c r="D4001" t="n">
        <v>5.77663671373521</v>
      </c>
    </row>
    <row r="4002">
      <c r="A4002" t="inlineStr">
        <is>
          <t>Hong Kong SAR, China</t>
        </is>
      </c>
      <c r="B4002" t="inlineStr">
        <is>
          <t>HKG</t>
        </is>
      </c>
      <c r="C4002" t="n">
        <v>1998</v>
      </c>
      <c r="D4002" t="n">
        <v>2.91262135922399</v>
      </c>
    </row>
    <row r="4003">
      <c r="A4003" t="inlineStr">
        <is>
          <t>Hong Kong SAR, China</t>
        </is>
      </c>
      <c r="B4003" t="inlineStr">
        <is>
          <t>HKG</t>
        </is>
      </c>
      <c r="C4003" t="n">
        <v>1999</v>
      </c>
      <c r="D4003" t="n">
        <v>-4.00943396226445</v>
      </c>
    </row>
    <row r="4004">
      <c r="A4004" t="inlineStr">
        <is>
          <t>Hong Kong SAR, China</t>
        </is>
      </c>
      <c r="B4004" t="inlineStr">
        <is>
          <t>HKG</t>
        </is>
      </c>
      <c r="C4004" t="n">
        <v>2000</v>
      </c>
      <c r="D4004" t="n">
        <v>-3.68550368550369</v>
      </c>
    </row>
    <row r="4005">
      <c r="A4005" t="inlineStr">
        <is>
          <t>Hong Kong SAR, China</t>
        </is>
      </c>
      <c r="B4005" t="inlineStr">
        <is>
          <t>HKG</t>
        </is>
      </c>
      <c r="C4005" t="n">
        <v>2001</v>
      </c>
      <c r="D4005" t="n">
        <v>-1.65816326530609</v>
      </c>
    </row>
    <row r="4006">
      <c r="A4006" t="inlineStr">
        <is>
          <t>Hong Kong SAR, China</t>
        </is>
      </c>
      <c r="B4006" t="inlineStr">
        <is>
          <t>HKG</t>
        </is>
      </c>
      <c r="C4006" t="n">
        <v>2002</v>
      </c>
      <c r="D4006" t="n">
        <v>-2.98313878080415</v>
      </c>
    </row>
    <row r="4007">
      <c r="A4007" t="inlineStr">
        <is>
          <t>Hong Kong SAR, China</t>
        </is>
      </c>
      <c r="B4007" t="inlineStr">
        <is>
          <t>HKG</t>
        </is>
      </c>
      <c r="C4007" t="n">
        <v>2003</v>
      </c>
      <c r="D4007" t="n">
        <v>-2.67379679144394</v>
      </c>
    </row>
    <row r="4008">
      <c r="A4008" t="inlineStr">
        <is>
          <t>Hong Kong SAR, China</t>
        </is>
      </c>
      <c r="B4008" t="inlineStr">
        <is>
          <t>HKG</t>
        </is>
      </c>
      <c r="C4008" t="n">
        <v>2004</v>
      </c>
      <c r="D4008" t="n">
        <v>-0.274725274725253</v>
      </c>
    </row>
    <row r="4009">
      <c r="A4009" t="inlineStr">
        <is>
          <t>Hong Kong SAR, China</t>
        </is>
      </c>
      <c r="B4009" t="inlineStr">
        <is>
          <t>HKG</t>
        </is>
      </c>
      <c r="C4009" t="n">
        <v>2005</v>
      </c>
      <c r="D4009" t="n">
        <v>0.826446280991827</v>
      </c>
    </row>
    <row r="4010">
      <c r="A4010" t="inlineStr">
        <is>
          <t>Hong Kong SAR, China</t>
        </is>
      </c>
      <c r="B4010" t="inlineStr">
        <is>
          <t>HKG</t>
        </is>
      </c>
      <c r="C4010" t="n">
        <v>2006</v>
      </c>
      <c r="D4010" t="n">
        <v>2.00025160397534</v>
      </c>
    </row>
    <row r="4011">
      <c r="A4011" t="inlineStr">
        <is>
          <t>Hong Kong SAR, China</t>
        </is>
      </c>
      <c r="B4011" t="inlineStr">
        <is>
          <t>HKG</t>
        </is>
      </c>
      <c r="C4011" t="n">
        <v>2007</v>
      </c>
      <c r="D4011" t="n">
        <v>2.03502713369511</v>
      </c>
    </row>
    <row r="4012">
      <c r="A4012" t="inlineStr">
        <is>
          <t>Hong Kong SAR, China</t>
        </is>
      </c>
      <c r="B4012" t="inlineStr">
        <is>
          <t>HKG</t>
        </is>
      </c>
      <c r="C4012" t="n">
        <v>2008</v>
      </c>
      <c r="D4012" t="n">
        <v>4.30315484104921</v>
      </c>
    </row>
    <row r="4013">
      <c r="A4013" t="inlineStr">
        <is>
          <t>Hong Kong SAR, China</t>
        </is>
      </c>
      <c r="B4013" t="inlineStr">
        <is>
          <t>HKG</t>
        </is>
      </c>
      <c r="C4013" t="n">
        <v>2009</v>
      </c>
      <c r="D4013" t="n">
        <v>0.579441418472608</v>
      </c>
    </row>
    <row r="4014">
      <c r="A4014" t="inlineStr">
        <is>
          <t>Hong Kong SAR, China</t>
        </is>
      </c>
      <c r="B4014" t="inlineStr">
        <is>
          <t>HKG</t>
        </is>
      </c>
      <c r="C4014" t="n">
        <v>2010</v>
      </c>
      <c r="D4014" t="n">
        <v>2.29289088604673</v>
      </c>
    </row>
    <row r="4015">
      <c r="A4015" t="inlineStr">
        <is>
          <t>Hong Kong SAR, China</t>
        </is>
      </c>
      <c r="B4015" t="inlineStr">
        <is>
          <t>HKG</t>
        </is>
      </c>
      <c r="C4015" t="n">
        <v>2011</v>
      </c>
      <c r="D4015" t="n">
        <v>5.3052489299392</v>
      </c>
    </row>
    <row r="4016">
      <c r="A4016" t="inlineStr">
        <is>
          <t>Hong Kong SAR, China</t>
        </is>
      </c>
      <c r="B4016" t="inlineStr">
        <is>
          <t>HKG</t>
        </is>
      </c>
      <c r="C4016" t="n">
        <v>2012</v>
      </c>
      <c r="D4016" t="n">
        <v>4.05390950903844</v>
      </c>
    </row>
    <row r="4017">
      <c r="A4017" t="inlineStr">
        <is>
          <t>Hong Kong SAR, China</t>
        </is>
      </c>
      <c r="B4017" t="inlineStr">
        <is>
          <t>HKG</t>
        </is>
      </c>
      <c r="C4017" t="n">
        <v>2013</v>
      </c>
      <c r="D4017" t="n">
        <v>4.33799342105267</v>
      </c>
    </row>
    <row r="4018">
      <c r="A4018" t="inlineStr">
        <is>
          <t>Hong Kong SAR, China</t>
        </is>
      </c>
      <c r="B4018" t="inlineStr">
        <is>
          <t>HKG</t>
        </is>
      </c>
      <c r="C4018" t="n">
        <v>2014</v>
      </c>
      <c r="D4018" t="n">
        <v>4.42364532019699</v>
      </c>
    </row>
    <row r="4019">
      <c r="A4019" t="inlineStr">
        <is>
          <t>Hong Kong SAR, China</t>
        </is>
      </c>
      <c r="B4019" t="inlineStr">
        <is>
          <t>HKG</t>
        </is>
      </c>
      <c r="C4019" t="n">
        <v>2015</v>
      </c>
      <c r="D4019" t="n">
        <v>2.99084819322581</v>
      </c>
    </row>
    <row r="4020">
      <c r="A4020" t="inlineStr">
        <is>
          <t>Hong Kong SAR, China</t>
        </is>
      </c>
      <c r="B4020" t="inlineStr">
        <is>
          <t>HKG</t>
        </is>
      </c>
      <c r="C4020" t="n">
        <v>2016</v>
      </c>
      <c r="D4020" t="n">
        <v>2.40930743862224</v>
      </c>
    </row>
    <row r="4021">
      <c r="A4021" t="inlineStr">
        <is>
          <t>Hong Kong SAR, China</t>
        </is>
      </c>
      <c r="B4021" t="inlineStr">
        <is>
          <t>HKG</t>
        </is>
      </c>
      <c r="C4021" t="n">
        <v>2017</v>
      </c>
      <c r="D4021" t="n">
        <v>1.49387243939522</v>
      </c>
    </row>
    <row r="4022">
      <c r="A4022" t="inlineStr">
        <is>
          <t>Hong Kong SAR, China</t>
        </is>
      </c>
      <c r="B4022" t="inlineStr">
        <is>
          <t>HKG</t>
        </is>
      </c>
      <c r="C4022" t="n">
        <v>2018</v>
      </c>
      <c r="D4022" t="n">
        <v>2.40613432046534</v>
      </c>
    </row>
    <row r="4023">
      <c r="A4023" t="inlineStr">
        <is>
          <t>Hong Kong SAR, China</t>
        </is>
      </c>
      <c r="B4023" t="inlineStr">
        <is>
          <t>HKG</t>
        </is>
      </c>
      <c r="C4023" t="n">
        <v>2019</v>
      </c>
      <c r="D4023" t="n">
        <v>2.88320853773996</v>
      </c>
    </row>
    <row r="4024">
      <c r="A4024" t="inlineStr">
        <is>
          <t>Hong Kong SAR, China</t>
        </is>
      </c>
      <c r="B4024" t="inlineStr">
        <is>
          <t>HKG</t>
        </is>
      </c>
      <c r="C4024" t="n">
        <v>2020</v>
      </c>
      <c r="D4024" t="n">
        <v>0.2509620210808</v>
      </c>
    </row>
    <row r="4025">
      <c r="A4025" t="inlineStr">
        <is>
          <t>Hong Kong SAR, China</t>
        </is>
      </c>
      <c r="B4025" t="inlineStr">
        <is>
          <t>HKG</t>
        </is>
      </c>
      <c r="C4025" t="n">
        <v>2021</v>
      </c>
      <c r="D4025" t="n">
        <v>1.56875834445922</v>
      </c>
    </row>
    <row r="4026">
      <c r="A4026" t="inlineStr">
        <is>
          <t>Hong Kong SAR, China</t>
        </is>
      </c>
      <c r="B4026" t="inlineStr">
        <is>
          <t>HKG</t>
        </is>
      </c>
      <c r="C4026" t="n">
        <v>2022</v>
      </c>
      <c r="D4026" t="n">
        <v>1.88136707196853</v>
      </c>
    </row>
    <row r="4027">
      <c r="A4027" t="inlineStr">
        <is>
          <t>Hong Kong SAR, China</t>
        </is>
      </c>
      <c r="B4027" t="inlineStr">
        <is>
          <t>HKG</t>
        </is>
      </c>
      <c r="C4027" t="n">
        <v>2023</v>
      </c>
      <c r="D4027" t="n">
        <v>2.09660511249089</v>
      </c>
    </row>
    <row r="4028">
      <c r="A4028" t="inlineStr">
        <is>
          <t>Hong Kong SAR, China</t>
        </is>
      </c>
      <c r="B4028" t="inlineStr">
        <is>
          <t>HKG</t>
        </is>
      </c>
      <c r="C4028" t="n">
        <v>2024</v>
      </c>
      <c r="D4028" t="n">
        <v>1.72972119105914</v>
      </c>
    </row>
    <row r="4029">
      <c r="A4029" t="inlineStr">
        <is>
          <t>Honduras</t>
        </is>
      </c>
      <c r="B4029" t="inlineStr">
        <is>
          <t>HND</t>
        </is>
      </c>
      <c r="C4029" t="n">
        <v>1960</v>
      </c>
      <c r="D4029" t="n">
        <v>-1.74623815710751</v>
      </c>
    </row>
    <row r="4030">
      <c r="A4030" t="inlineStr">
        <is>
          <t>Honduras</t>
        </is>
      </c>
      <c r="B4030" t="inlineStr">
        <is>
          <t>HND</t>
        </is>
      </c>
      <c r="C4030" t="n">
        <v>1961</v>
      </c>
      <c r="D4030" t="n">
        <v>1.56299237392687</v>
      </c>
    </row>
    <row r="4031">
      <c r="A4031" t="inlineStr">
        <is>
          <t>Honduras</t>
        </is>
      </c>
      <c r="B4031" t="inlineStr">
        <is>
          <t>HND</t>
        </is>
      </c>
      <c r="C4031" t="n">
        <v>1962</v>
      </c>
      <c r="D4031" t="n">
        <v>1.09215017084013</v>
      </c>
    </row>
    <row r="4032">
      <c r="A4032" t="inlineStr">
        <is>
          <t>Honduras</t>
        </is>
      </c>
      <c r="B4032" t="inlineStr">
        <is>
          <t>HND</t>
        </is>
      </c>
      <c r="C4032" t="n">
        <v>1963</v>
      </c>
      <c r="D4032" t="n">
        <v>3.08145601867274</v>
      </c>
    </row>
    <row r="4033">
      <c r="A4033" t="inlineStr">
        <is>
          <t>Honduras</t>
        </is>
      </c>
      <c r="B4033" t="inlineStr">
        <is>
          <t>HND</t>
        </is>
      </c>
      <c r="C4033" t="n">
        <v>1964</v>
      </c>
      <c r="D4033" t="n">
        <v>4.47210147080726</v>
      </c>
    </row>
    <row r="4034">
      <c r="A4034" t="inlineStr">
        <is>
          <t>Honduras</t>
        </is>
      </c>
      <c r="B4034" t="inlineStr">
        <is>
          <t>HND</t>
        </is>
      </c>
      <c r="C4034" t="n">
        <v>1965</v>
      </c>
      <c r="D4034" t="n">
        <v>3.18627450998763</v>
      </c>
    </row>
    <row r="4035">
      <c r="A4035" t="inlineStr">
        <is>
          <t>Honduras</t>
        </is>
      </c>
      <c r="B4035" t="inlineStr">
        <is>
          <t>HND</t>
        </is>
      </c>
      <c r="C4035" t="n">
        <v>1966</v>
      </c>
      <c r="D4035" t="n">
        <v>1.78423465718738</v>
      </c>
    </row>
    <row r="4036">
      <c r="A4036" t="inlineStr">
        <is>
          <t>Honduras</t>
        </is>
      </c>
      <c r="B4036" t="inlineStr">
        <is>
          <t>HND</t>
        </is>
      </c>
      <c r="C4036" t="n">
        <v>1967</v>
      </c>
      <c r="D4036" t="n">
        <v>2.09184098667308</v>
      </c>
    </row>
    <row r="4037">
      <c r="A4037" t="inlineStr">
        <is>
          <t>Honduras</t>
        </is>
      </c>
      <c r="B4037" t="inlineStr">
        <is>
          <t>HND</t>
        </is>
      </c>
      <c r="C4037" t="n">
        <v>1968</v>
      </c>
      <c r="D4037" t="n">
        <v>1.86122448972086</v>
      </c>
    </row>
    <row r="4038">
      <c r="A4038" t="inlineStr">
        <is>
          <t>Honduras</t>
        </is>
      </c>
      <c r="B4038" t="inlineStr">
        <is>
          <t>HND</t>
        </is>
      </c>
      <c r="C4038" t="n">
        <v>1969</v>
      </c>
      <c r="D4038" t="n">
        <v>1.25821445737097</v>
      </c>
    </row>
    <row r="4039">
      <c r="A4039" t="inlineStr">
        <is>
          <t>Honduras</t>
        </is>
      </c>
      <c r="B4039" t="inlineStr">
        <is>
          <t>HND</t>
        </is>
      </c>
      <c r="C4039" t="n">
        <v>1970</v>
      </c>
      <c r="D4039" t="n">
        <v>2.8808864266098</v>
      </c>
    </row>
    <row r="4040">
      <c r="A4040" t="inlineStr">
        <is>
          <t>Honduras</t>
        </is>
      </c>
      <c r="B4040" t="inlineStr">
        <is>
          <t>HND</t>
        </is>
      </c>
      <c r="C4040" t="n">
        <v>1971</v>
      </c>
      <c r="D4040" t="n">
        <v>2.22324794223759</v>
      </c>
    </row>
    <row r="4041">
      <c r="A4041" t="inlineStr">
        <is>
          <t>Honduras</t>
        </is>
      </c>
      <c r="B4041" t="inlineStr">
        <is>
          <t>HND</t>
        </is>
      </c>
      <c r="C4041" t="n">
        <v>1972</v>
      </c>
      <c r="D4041" t="n">
        <v>3.61228175799332</v>
      </c>
    </row>
    <row r="4042">
      <c r="A4042" t="inlineStr">
        <is>
          <t>Honduras</t>
        </is>
      </c>
      <c r="B4042" t="inlineStr">
        <is>
          <t>HND</t>
        </is>
      </c>
      <c r="C4042" t="n">
        <v>1973</v>
      </c>
      <c r="D4042" t="n">
        <v>5.19320162691133</v>
      </c>
    </row>
    <row r="4043">
      <c r="A4043" t="inlineStr">
        <is>
          <t>Honduras</t>
        </is>
      </c>
      <c r="B4043" t="inlineStr">
        <is>
          <t>HND</t>
        </is>
      </c>
      <c r="C4043" t="n">
        <v>1974</v>
      </c>
      <c r="D4043" t="n">
        <v>12.8495477454187</v>
      </c>
    </row>
    <row r="4044">
      <c r="A4044" t="inlineStr">
        <is>
          <t>Honduras</t>
        </is>
      </c>
      <c r="B4044" t="inlineStr">
        <is>
          <t>HND</t>
        </is>
      </c>
      <c r="C4044" t="n">
        <v>1975</v>
      </c>
      <c r="D4044" t="n">
        <v>8.376162506297099</v>
      </c>
    </row>
    <row r="4045">
      <c r="A4045" t="inlineStr">
        <is>
          <t>Honduras</t>
        </is>
      </c>
      <c r="B4045" t="inlineStr">
        <is>
          <t>HND</t>
        </is>
      </c>
      <c r="C4045" t="n">
        <v>1976</v>
      </c>
      <c r="D4045" t="n">
        <v>4.88341895790898</v>
      </c>
    </row>
    <row r="4046">
      <c r="A4046" t="inlineStr">
        <is>
          <t>Honduras</t>
        </is>
      </c>
      <c r="B4046" t="inlineStr">
        <is>
          <t>HND</t>
        </is>
      </c>
      <c r="C4046" t="n">
        <v>1977</v>
      </c>
      <c r="D4046" t="n">
        <v>8.43470771895128</v>
      </c>
    </row>
    <row r="4047">
      <c r="A4047" t="inlineStr">
        <is>
          <t>Honduras</t>
        </is>
      </c>
      <c r="B4047" t="inlineStr">
        <is>
          <t>HND</t>
        </is>
      </c>
      <c r="C4047" t="n">
        <v>1978</v>
      </c>
      <c r="D4047" t="n">
        <v>5.74832464618229</v>
      </c>
    </row>
    <row r="4048">
      <c r="A4048" t="inlineStr">
        <is>
          <t>Honduras</t>
        </is>
      </c>
      <c r="B4048" t="inlineStr">
        <is>
          <t>HND</t>
        </is>
      </c>
      <c r="C4048" t="n">
        <v>1979</v>
      </c>
      <c r="D4048" t="n">
        <v>12.1353558926061</v>
      </c>
    </row>
    <row r="4049">
      <c r="A4049" t="inlineStr">
        <is>
          <t>Honduras</t>
        </is>
      </c>
      <c r="B4049" t="inlineStr">
        <is>
          <t>HND</t>
        </is>
      </c>
      <c r="C4049" t="n">
        <v>1980</v>
      </c>
      <c r="D4049" t="n">
        <v>18.0615430355956</v>
      </c>
    </row>
    <row r="4050">
      <c r="A4050" t="inlineStr">
        <is>
          <t>Honduras</t>
        </is>
      </c>
      <c r="B4050" t="inlineStr">
        <is>
          <t>HND</t>
        </is>
      </c>
      <c r="C4050" t="n">
        <v>1981</v>
      </c>
      <c r="D4050" t="n">
        <v>9.405691261424961</v>
      </c>
    </row>
    <row r="4051">
      <c r="A4051" t="inlineStr">
        <is>
          <t>Honduras</t>
        </is>
      </c>
      <c r="B4051" t="inlineStr">
        <is>
          <t>HND</t>
        </is>
      </c>
      <c r="C4051" t="n">
        <v>1982</v>
      </c>
      <c r="D4051" t="n">
        <v>8.982621706168921</v>
      </c>
    </row>
    <row r="4052">
      <c r="A4052" t="inlineStr">
        <is>
          <t>Honduras</t>
        </is>
      </c>
      <c r="B4052" t="inlineStr">
        <is>
          <t>HND</t>
        </is>
      </c>
      <c r="C4052" t="n">
        <v>1983</v>
      </c>
      <c r="D4052" t="n">
        <v>8.252811658482599</v>
      </c>
    </row>
    <row r="4053">
      <c r="A4053" t="inlineStr">
        <is>
          <t>Honduras</t>
        </is>
      </c>
      <c r="B4053" t="inlineStr">
        <is>
          <t>HND</t>
        </is>
      </c>
      <c r="C4053" t="n">
        <v>1984</v>
      </c>
      <c r="D4053" t="n">
        <v>4.72636815920389</v>
      </c>
    </row>
    <row r="4054">
      <c r="A4054" t="inlineStr">
        <is>
          <t>Honduras</t>
        </is>
      </c>
      <c r="B4054" t="inlineStr">
        <is>
          <t>HND</t>
        </is>
      </c>
      <c r="C4054" t="n">
        <v>1985</v>
      </c>
      <c r="D4054" t="n">
        <v>3.36267523608605</v>
      </c>
    </row>
    <row r="4055">
      <c r="A4055" t="inlineStr">
        <is>
          <t>Honduras</t>
        </is>
      </c>
      <c r="B4055" t="inlineStr">
        <is>
          <t>HND</t>
        </is>
      </c>
      <c r="C4055" t="n">
        <v>1986</v>
      </c>
      <c r="D4055" t="n">
        <v>4.35272383207559</v>
      </c>
    </row>
    <row r="4056">
      <c r="A4056" t="inlineStr">
        <is>
          <t>Honduras</t>
        </is>
      </c>
      <c r="B4056" t="inlineStr">
        <is>
          <t>HND</t>
        </is>
      </c>
      <c r="C4056" t="n">
        <v>1987</v>
      </c>
      <c r="D4056" t="n">
        <v>2.48715402223898</v>
      </c>
    </row>
    <row r="4057">
      <c r="A4057" t="inlineStr">
        <is>
          <t>Honduras</t>
        </is>
      </c>
      <c r="B4057" t="inlineStr">
        <is>
          <t>HND</t>
        </is>
      </c>
      <c r="C4057" t="n">
        <v>1988</v>
      </c>
      <c r="D4057" t="n">
        <v>4.49125763640182</v>
      </c>
    </row>
    <row r="4058">
      <c r="A4058" t="inlineStr">
        <is>
          <t>Honduras</t>
        </is>
      </c>
      <c r="B4058" t="inlineStr">
        <is>
          <t>HND</t>
        </is>
      </c>
      <c r="C4058" t="n">
        <v>1989</v>
      </c>
      <c r="D4058" t="n">
        <v>9.850409257690981</v>
      </c>
    </row>
    <row r="4059">
      <c r="A4059" t="inlineStr">
        <is>
          <t>Honduras</t>
        </is>
      </c>
      <c r="B4059" t="inlineStr">
        <is>
          <t>HND</t>
        </is>
      </c>
      <c r="C4059" t="n">
        <v>1990</v>
      </c>
      <c r="D4059" t="n">
        <v>23.3225664366467</v>
      </c>
    </row>
    <row r="4060">
      <c r="A4060" t="inlineStr">
        <is>
          <t>Honduras</t>
        </is>
      </c>
      <c r="B4060" t="inlineStr">
        <is>
          <t>HND</t>
        </is>
      </c>
      <c r="C4060" t="n">
        <v>1991</v>
      </c>
      <c r="D4060" t="n">
        <v>33.9722602535864</v>
      </c>
    </row>
    <row r="4061">
      <c r="A4061" t="inlineStr">
        <is>
          <t>Honduras</t>
        </is>
      </c>
      <c r="B4061" t="inlineStr">
        <is>
          <t>HND</t>
        </is>
      </c>
      <c r="C4061" t="n">
        <v>1992</v>
      </c>
      <c r="D4061" t="n">
        <v>8.75988625255494</v>
      </c>
    </row>
    <row r="4062">
      <c r="A4062" t="inlineStr">
        <is>
          <t>Honduras</t>
        </is>
      </c>
      <c r="B4062" t="inlineStr">
        <is>
          <t>HND</t>
        </is>
      </c>
      <c r="C4062" t="n">
        <v>1993</v>
      </c>
      <c r="D4062" t="n">
        <v>10.748646716372</v>
      </c>
    </row>
    <row r="4063">
      <c r="A4063" t="inlineStr">
        <is>
          <t>Honduras</t>
        </is>
      </c>
      <c r="B4063" t="inlineStr">
        <is>
          <t>HND</t>
        </is>
      </c>
      <c r="C4063" t="n">
        <v>1994</v>
      </c>
      <c r="D4063" t="n">
        <v>21.729346883819</v>
      </c>
    </row>
    <row r="4064">
      <c r="A4064" t="inlineStr">
        <is>
          <t>Honduras</t>
        </is>
      </c>
      <c r="B4064" t="inlineStr">
        <is>
          <t>HND</t>
        </is>
      </c>
      <c r="C4064" t="n">
        <v>1995</v>
      </c>
      <c r="D4064" t="n">
        <v>29.4645292281585</v>
      </c>
    </row>
    <row r="4065">
      <c r="A4065" t="inlineStr">
        <is>
          <t>Honduras</t>
        </is>
      </c>
      <c r="B4065" t="inlineStr">
        <is>
          <t>HND</t>
        </is>
      </c>
      <c r="C4065" t="n">
        <v>1996</v>
      </c>
      <c r="D4065" t="n">
        <v>23.8378353073358</v>
      </c>
    </row>
    <row r="4066">
      <c r="A4066" t="inlineStr">
        <is>
          <t>Honduras</t>
        </is>
      </c>
      <c r="B4066" t="inlineStr">
        <is>
          <t>HND</t>
        </is>
      </c>
      <c r="C4066" t="n">
        <v>1997</v>
      </c>
      <c r="D4066" t="n">
        <v>20.1998667554962</v>
      </c>
    </row>
    <row r="4067">
      <c r="A4067" t="inlineStr">
        <is>
          <t>Honduras</t>
        </is>
      </c>
      <c r="B4067" t="inlineStr">
        <is>
          <t>HND</t>
        </is>
      </c>
      <c r="C4067" t="n">
        <v>1998</v>
      </c>
      <c r="D4067" t="n">
        <v>13.6681077485869</v>
      </c>
    </row>
    <row r="4068">
      <c r="A4068" t="inlineStr">
        <is>
          <t>Honduras</t>
        </is>
      </c>
      <c r="B4068" t="inlineStr">
        <is>
          <t>HND</t>
        </is>
      </c>
      <c r="C4068" t="n">
        <v>1999</v>
      </c>
      <c r="D4068" t="n">
        <v>11.66374097913</v>
      </c>
    </row>
    <row r="4069">
      <c r="A4069" t="inlineStr">
        <is>
          <t>Honduras</t>
        </is>
      </c>
      <c r="B4069" t="inlineStr">
        <is>
          <t>HND</t>
        </is>
      </c>
      <c r="C4069" t="n">
        <v>2000</v>
      </c>
      <c r="D4069" t="n">
        <v>11.0480349344976</v>
      </c>
    </row>
    <row r="4070">
      <c r="A4070" t="inlineStr">
        <is>
          <t>Honduras</t>
        </is>
      </c>
      <c r="B4070" t="inlineStr">
        <is>
          <t>HND</t>
        </is>
      </c>
      <c r="C4070" t="n">
        <v>2001</v>
      </c>
      <c r="D4070" t="n">
        <v>9.67415556865377</v>
      </c>
    </row>
    <row r="4071">
      <c r="A4071" t="inlineStr">
        <is>
          <t>Honduras</t>
        </is>
      </c>
      <c r="B4071" t="inlineStr">
        <is>
          <t>HND</t>
        </is>
      </c>
      <c r="C4071" t="n">
        <v>2002</v>
      </c>
      <c r="D4071" t="n">
        <v>7.69050972034271</v>
      </c>
    </row>
    <row r="4072">
      <c r="A4072" t="inlineStr">
        <is>
          <t>Honduras</t>
        </is>
      </c>
      <c r="B4072" t="inlineStr">
        <is>
          <t>HND</t>
        </is>
      </c>
      <c r="C4072" t="n">
        <v>2003</v>
      </c>
      <c r="D4072" t="n">
        <v>7.67416639397937</v>
      </c>
    </row>
    <row r="4073">
      <c r="A4073" t="inlineStr">
        <is>
          <t>Honduras</t>
        </is>
      </c>
      <c r="B4073" t="inlineStr">
        <is>
          <t>HND</t>
        </is>
      </c>
      <c r="C4073" t="n">
        <v>2004</v>
      </c>
      <c r="D4073" t="n">
        <v>8.113790970933801</v>
      </c>
    </row>
    <row r="4074">
      <c r="A4074" t="inlineStr">
        <is>
          <t>Honduras</t>
        </is>
      </c>
      <c r="B4074" t="inlineStr">
        <is>
          <t>HND</t>
        </is>
      </c>
      <c r="C4074" t="n">
        <v>2005</v>
      </c>
      <c r="D4074" t="n">
        <v>8.80906074819819</v>
      </c>
    </row>
    <row r="4075">
      <c r="A4075" t="inlineStr">
        <is>
          <t>Honduras</t>
        </is>
      </c>
      <c r="B4075" t="inlineStr">
        <is>
          <t>HND</t>
        </is>
      </c>
      <c r="C4075" t="n">
        <v>2006</v>
      </c>
      <c r="D4075" t="n">
        <v>5.57775207654298</v>
      </c>
    </row>
    <row r="4076">
      <c r="A4076" t="inlineStr">
        <is>
          <t>Honduras</t>
        </is>
      </c>
      <c r="B4076" t="inlineStr">
        <is>
          <t>HND</t>
        </is>
      </c>
      <c r="C4076" t="n">
        <v>2007</v>
      </c>
      <c r="D4076" t="n">
        <v>6.93621470895774</v>
      </c>
    </row>
    <row r="4077">
      <c r="A4077" t="inlineStr">
        <is>
          <t>Honduras</t>
        </is>
      </c>
      <c r="B4077" t="inlineStr">
        <is>
          <t>HND</t>
        </is>
      </c>
      <c r="C4077" t="n">
        <v>2008</v>
      </c>
      <c r="D4077" t="n">
        <v>11.4034270813932</v>
      </c>
    </row>
    <row r="4078">
      <c r="A4078" t="inlineStr">
        <is>
          <t>Honduras</t>
        </is>
      </c>
      <c r="B4078" t="inlineStr">
        <is>
          <t>HND</t>
        </is>
      </c>
      <c r="C4078" t="n">
        <v>2009</v>
      </c>
      <c r="D4078" t="n">
        <v>5.49634273772208</v>
      </c>
    </row>
    <row r="4079">
      <c r="A4079" t="inlineStr">
        <is>
          <t>Honduras</t>
        </is>
      </c>
      <c r="B4079" t="inlineStr">
        <is>
          <t>HND</t>
        </is>
      </c>
      <c r="C4079" t="n">
        <v>2010</v>
      </c>
      <c r="D4079" t="n">
        <v>4.69889064976226</v>
      </c>
    </row>
    <row r="4080">
      <c r="A4080" t="inlineStr">
        <is>
          <t>Honduras</t>
        </is>
      </c>
      <c r="B4080" t="inlineStr">
        <is>
          <t>HND</t>
        </is>
      </c>
      <c r="C4080" t="n">
        <v>2011</v>
      </c>
      <c r="D4080" t="n">
        <v>6.7622795731476</v>
      </c>
    </row>
    <row r="4081">
      <c r="A4081" t="inlineStr">
        <is>
          <t>Honduras</t>
        </is>
      </c>
      <c r="B4081" t="inlineStr">
        <is>
          <t>HND</t>
        </is>
      </c>
      <c r="C4081" t="n">
        <v>2012</v>
      </c>
      <c r="D4081" t="n">
        <v>5.19618615531848</v>
      </c>
    </row>
    <row r="4082">
      <c r="A4082" t="inlineStr">
        <is>
          <t>Honduras</t>
        </is>
      </c>
      <c r="B4082" t="inlineStr">
        <is>
          <t>HND</t>
        </is>
      </c>
      <c r="C4082" t="n">
        <v>2013</v>
      </c>
      <c r="D4082" t="n">
        <v>5.16189898581494</v>
      </c>
    </row>
    <row r="4083">
      <c r="A4083" t="inlineStr">
        <is>
          <t>Honduras</t>
        </is>
      </c>
      <c r="B4083" t="inlineStr">
        <is>
          <t>HND</t>
        </is>
      </c>
      <c r="C4083" t="n">
        <v>2014</v>
      </c>
      <c r="D4083" t="n">
        <v>6.12924930313022</v>
      </c>
    </row>
    <row r="4084">
      <c r="A4084" t="inlineStr">
        <is>
          <t>Honduras</t>
        </is>
      </c>
      <c r="B4084" t="inlineStr">
        <is>
          <t>HND</t>
        </is>
      </c>
      <c r="C4084" t="n">
        <v>2015</v>
      </c>
      <c r="D4084" t="n">
        <v>3.15783117980923</v>
      </c>
    </row>
    <row r="4085">
      <c r="A4085" t="inlineStr">
        <is>
          <t>Honduras</t>
        </is>
      </c>
      <c r="B4085" t="inlineStr">
        <is>
          <t>HND</t>
        </is>
      </c>
      <c r="C4085" t="n">
        <v>2016</v>
      </c>
      <c r="D4085" t="n">
        <v>2.72461223295289</v>
      </c>
    </row>
    <row r="4086">
      <c r="A4086" t="inlineStr">
        <is>
          <t>Honduras</t>
        </is>
      </c>
      <c r="B4086" t="inlineStr">
        <is>
          <t>HND</t>
        </is>
      </c>
      <c r="C4086" t="n">
        <v>2017</v>
      </c>
      <c r="D4086" t="n">
        <v>3.93436084442044</v>
      </c>
    </row>
    <row r="4087">
      <c r="A4087" t="inlineStr">
        <is>
          <t>Honduras</t>
        </is>
      </c>
      <c r="B4087" t="inlineStr">
        <is>
          <t>HND</t>
        </is>
      </c>
      <c r="C4087" t="n">
        <v>2018</v>
      </c>
      <c r="D4087" t="n">
        <v>4.34734937777528</v>
      </c>
    </row>
    <row r="4088">
      <c r="A4088" t="inlineStr">
        <is>
          <t>Honduras</t>
        </is>
      </c>
      <c r="B4088" t="inlineStr">
        <is>
          <t>HND</t>
        </is>
      </c>
      <c r="C4088" t="n">
        <v>2019</v>
      </c>
      <c r="D4088" t="n">
        <v>4.36587159819267</v>
      </c>
    </row>
    <row r="4089">
      <c r="A4089" t="inlineStr">
        <is>
          <t>Honduras</t>
        </is>
      </c>
      <c r="B4089" t="inlineStr">
        <is>
          <t>HND</t>
        </is>
      </c>
      <c r="C4089" t="n">
        <v>2020</v>
      </c>
      <c r="D4089" t="n">
        <v>3.46841177951184</v>
      </c>
    </row>
    <row r="4090">
      <c r="A4090" t="inlineStr">
        <is>
          <t>Honduras</t>
        </is>
      </c>
      <c r="B4090" t="inlineStr">
        <is>
          <t>HND</t>
        </is>
      </c>
      <c r="C4090" t="n">
        <v>2021</v>
      </c>
      <c r="D4090" t="n">
        <v>4.48087963413445</v>
      </c>
    </row>
    <row r="4091">
      <c r="A4091" t="inlineStr">
        <is>
          <t>Honduras</t>
        </is>
      </c>
      <c r="B4091" t="inlineStr">
        <is>
          <t>HND</t>
        </is>
      </c>
      <c r="C4091" t="n">
        <v>2022</v>
      </c>
      <c r="D4091" t="n">
        <v>9.08963911525025</v>
      </c>
    </row>
    <row r="4092">
      <c r="A4092" t="inlineStr">
        <is>
          <t>Honduras</t>
        </is>
      </c>
      <c r="B4092" t="inlineStr">
        <is>
          <t>HND</t>
        </is>
      </c>
      <c r="C4092" t="n">
        <v>2023</v>
      </c>
      <c r="D4092" t="n">
        <v>6.66325180347457</v>
      </c>
    </row>
    <row r="4093">
      <c r="A4093" t="inlineStr">
        <is>
          <t>Honduras</t>
        </is>
      </c>
      <c r="B4093" t="inlineStr">
        <is>
          <t>HND</t>
        </is>
      </c>
      <c r="C4093" t="n">
        <v>2024</v>
      </c>
      <c r="D4093" t="n">
        <v>4.60621098127107</v>
      </c>
    </row>
    <row r="4094">
      <c r="A4094" t="inlineStr">
        <is>
          <t>Heavily indebted poor countries (HIPC)</t>
        </is>
      </c>
      <c r="B4094" t="inlineStr">
        <is>
          <t>HPC</t>
        </is>
      </c>
      <c r="C4094" t="n">
        <v>1981</v>
      </c>
      <c r="D4094" t="n">
        <v>11.3365154415104</v>
      </c>
    </row>
    <row r="4095">
      <c r="A4095" t="inlineStr">
        <is>
          <t>Heavily indebted poor countries (HIPC)</t>
        </is>
      </c>
      <c r="B4095" t="inlineStr">
        <is>
          <t>HPC</t>
        </is>
      </c>
      <c r="C4095" t="n">
        <v>1982</v>
      </c>
      <c r="D4095" t="n">
        <v>12.3124508707735</v>
      </c>
    </row>
    <row r="4096">
      <c r="A4096" t="inlineStr">
        <is>
          <t>Heavily indebted poor countries (HIPC)</t>
        </is>
      </c>
      <c r="B4096" t="inlineStr">
        <is>
          <t>HPC</t>
        </is>
      </c>
      <c r="C4096" t="n">
        <v>1983</v>
      </c>
      <c r="D4096" t="n">
        <v>11.126644122143</v>
      </c>
    </row>
    <row r="4097">
      <c r="A4097" t="inlineStr">
        <is>
          <t>Heavily indebted poor countries (HIPC)</t>
        </is>
      </c>
      <c r="B4097" t="inlineStr">
        <is>
          <t>HPC</t>
        </is>
      </c>
      <c r="C4097" t="n">
        <v>1984</v>
      </c>
      <c r="D4097" t="n">
        <v>11.3733220902937</v>
      </c>
    </row>
    <row r="4098">
      <c r="A4098" t="inlineStr">
        <is>
          <t>Heavily indebted poor countries (HIPC)</t>
        </is>
      </c>
      <c r="B4098" t="inlineStr">
        <is>
          <t>HPC</t>
        </is>
      </c>
      <c r="C4098" t="n">
        <v>1985</v>
      </c>
      <c r="D4098" t="n">
        <v>10.4238402303886</v>
      </c>
    </row>
    <row r="4099">
      <c r="A4099" t="inlineStr">
        <is>
          <t>Heavily indebted poor countries (HIPC)</t>
        </is>
      </c>
      <c r="B4099" t="inlineStr">
        <is>
          <t>HPC</t>
        </is>
      </c>
      <c r="C4099" t="n">
        <v>1986</v>
      </c>
      <c r="D4099" t="n">
        <v>6.80905593895127</v>
      </c>
    </row>
    <row r="4100">
      <c r="A4100" t="inlineStr">
        <is>
          <t>Heavily indebted poor countries (HIPC)</t>
        </is>
      </c>
      <c r="B4100" t="inlineStr">
        <is>
          <t>HPC</t>
        </is>
      </c>
      <c r="C4100" t="n">
        <v>1987</v>
      </c>
      <c r="D4100" t="n">
        <v>7.02827195245954</v>
      </c>
    </row>
    <row r="4101">
      <c r="A4101" t="inlineStr">
        <is>
          <t>Heavily indebted poor countries (HIPC)</t>
        </is>
      </c>
      <c r="B4101" t="inlineStr">
        <is>
          <t>HPC</t>
        </is>
      </c>
      <c r="C4101" t="n">
        <v>1988</v>
      </c>
      <c r="D4101" t="n">
        <v>6.93068617206518</v>
      </c>
    </row>
    <row r="4102">
      <c r="A4102" t="inlineStr">
        <is>
          <t>Heavily indebted poor countries (HIPC)</t>
        </is>
      </c>
      <c r="B4102" t="inlineStr">
        <is>
          <t>HPC</t>
        </is>
      </c>
      <c r="C4102" t="n">
        <v>1989</v>
      </c>
      <c r="D4102" t="n">
        <v>8.046158634873199</v>
      </c>
    </row>
    <row r="4103">
      <c r="A4103" t="inlineStr">
        <is>
          <t>Heavily indebted poor countries (HIPC)</t>
        </is>
      </c>
      <c r="B4103" t="inlineStr">
        <is>
          <t>HPC</t>
        </is>
      </c>
      <c r="C4103" t="n">
        <v>1990</v>
      </c>
      <c r="D4103" t="n">
        <v>6.8011976076257</v>
      </c>
    </row>
    <row r="4104">
      <c r="A4104" t="inlineStr">
        <is>
          <t>Heavily indebted poor countries (HIPC)</t>
        </is>
      </c>
      <c r="B4104" t="inlineStr">
        <is>
          <t>HPC</t>
        </is>
      </c>
      <c r="C4104" t="n">
        <v>1991</v>
      </c>
      <c r="D4104" t="n">
        <v>8.819640997338841</v>
      </c>
    </row>
    <row r="4105">
      <c r="A4105" t="inlineStr">
        <is>
          <t>Heavily indebted poor countries (HIPC)</t>
        </is>
      </c>
      <c r="B4105" t="inlineStr">
        <is>
          <t>HPC</t>
        </is>
      </c>
      <c r="C4105" t="n">
        <v>1992</v>
      </c>
      <c r="D4105" t="n">
        <v>9.523477191089899</v>
      </c>
    </row>
    <row r="4106">
      <c r="A4106" t="inlineStr">
        <is>
          <t>Heavily indebted poor countries (HIPC)</t>
        </is>
      </c>
      <c r="B4106" t="inlineStr">
        <is>
          <t>HPC</t>
        </is>
      </c>
      <c r="C4106" t="n">
        <v>1993</v>
      </c>
      <c r="D4106" t="n">
        <v>8.52787695688003</v>
      </c>
    </row>
    <row r="4107">
      <c r="A4107" t="inlineStr">
        <is>
          <t>Heavily indebted poor countries (HIPC)</t>
        </is>
      </c>
      <c r="B4107" t="inlineStr">
        <is>
          <t>HPC</t>
        </is>
      </c>
      <c r="C4107" t="n">
        <v>1994</v>
      </c>
      <c r="D4107" t="n">
        <v>32.2936668569551</v>
      </c>
    </row>
    <row r="4108">
      <c r="A4108" t="inlineStr">
        <is>
          <t>Heavily indebted poor countries (HIPC)</t>
        </is>
      </c>
      <c r="B4108" t="inlineStr">
        <is>
          <t>HPC</t>
        </is>
      </c>
      <c r="C4108" t="n">
        <v>1995</v>
      </c>
      <c r="D4108" t="n">
        <v>14.378808651642</v>
      </c>
    </row>
    <row r="4109">
      <c r="A4109" t="inlineStr">
        <is>
          <t>Heavily indebted poor countries (HIPC)</t>
        </is>
      </c>
      <c r="B4109" t="inlineStr">
        <is>
          <t>HPC</t>
        </is>
      </c>
      <c r="C4109" t="n">
        <v>1996</v>
      </c>
      <c r="D4109" t="n">
        <v>7.41137173526642</v>
      </c>
    </row>
    <row r="4110">
      <c r="A4110" t="inlineStr">
        <is>
          <t>Heavily indebted poor countries (HIPC)</t>
        </is>
      </c>
      <c r="B4110" t="inlineStr">
        <is>
          <t>HPC</t>
        </is>
      </c>
      <c r="C4110" t="n">
        <v>1997</v>
      </c>
      <c r="D4110" t="n">
        <v>5.57225711125331</v>
      </c>
    </row>
    <row r="4111">
      <c r="A4111" t="inlineStr">
        <is>
          <t>Heavily indebted poor countries (HIPC)</t>
        </is>
      </c>
      <c r="B4111" t="inlineStr">
        <is>
          <t>HPC</t>
        </is>
      </c>
      <c r="C4111" t="n">
        <v>1998</v>
      </c>
      <c r="D4111" t="n">
        <v>5.75331458417063</v>
      </c>
    </row>
    <row r="4112">
      <c r="A4112" t="inlineStr">
        <is>
          <t>Heavily indebted poor countries (HIPC)</t>
        </is>
      </c>
      <c r="B4112" t="inlineStr">
        <is>
          <t>HPC</t>
        </is>
      </c>
      <c r="C4112" t="n">
        <v>1999</v>
      </c>
      <c r="D4112" t="n">
        <v>3.59889816353238</v>
      </c>
    </row>
    <row r="4113">
      <c r="A4113" t="inlineStr">
        <is>
          <t>Heavily indebted poor countries (HIPC)</t>
        </is>
      </c>
      <c r="B4113" t="inlineStr">
        <is>
          <t>HPC</t>
        </is>
      </c>
      <c r="C4113" t="n">
        <v>2000</v>
      </c>
      <c r="D4113" t="n">
        <v>4.16540442290284</v>
      </c>
    </row>
    <row r="4114">
      <c r="A4114" t="inlineStr">
        <is>
          <t>Heavily indebted poor countries (HIPC)</t>
        </is>
      </c>
      <c r="B4114" t="inlineStr">
        <is>
          <t>HPC</t>
        </is>
      </c>
      <c r="C4114" t="n">
        <v>2001</v>
      </c>
      <c r="D4114" t="n">
        <v>4.60374621964682</v>
      </c>
    </row>
    <row r="4115">
      <c r="A4115" t="inlineStr">
        <is>
          <t>Heavily indebted poor countries (HIPC)</t>
        </is>
      </c>
      <c r="B4115" t="inlineStr">
        <is>
          <t>HPC</t>
        </is>
      </c>
      <c r="C4115" t="n">
        <v>2002</v>
      </c>
      <c r="D4115" t="n">
        <v>3.8957052575849</v>
      </c>
    </row>
    <row r="4116">
      <c r="A4116" t="inlineStr">
        <is>
          <t>Heavily indebted poor countries (HIPC)</t>
        </is>
      </c>
      <c r="B4116" t="inlineStr">
        <is>
          <t>HPC</t>
        </is>
      </c>
      <c r="C4116" t="n">
        <v>2003</v>
      </c>
      <c r="D4116" t="n">
        <v>5.30238773219936</v>
      </c>
    </row>
    <row r="4117">
      <c r="A4117" t="inlineStr">
        <is>
          <t>Heavily indebted poor countries (HIPC)</t>
        </is>
      </c>
      <c r="B4117" t="inlineStr">
        <is>
          <t>HPC</t>
        </is>
      </c>
      <c r="C4117" t="n">
        <v>2004</v>
      </c>
      <c r="D4117" t="n">
        <v>4.47499289078105</v>
      </c>
    </row>
    <row r="4118">
      <c r="A4118" t="inlineStr">
        <is>
          <t>Heavily indebted poor countries (HIPC)</t>
        </is>
      </c>
      <c r="B4118" t="inlineStr">
        <is>
          <t>HPC</t>
        </is>
      </c>
      <c r="C4118" t="n">
        <v>2005</v>
      </c>
      <c r="D4118" t="n">
        <v>8.16954604881262</v>
      </c>
    </row>
    <row r="4119">
      <c r="A4119" t="inlineStr">
        <is>
          <t>Heavily indebted poor countries (HIPC)</t>
        </is>
      </c>
      <c r="B4119" t="inlineStr">
        <is>
          <t>HPC</t>
        </is>
      </c>
      <c r="C4119" t="n">
        <v>2006</v>
      </c>
      <c r="D4119" t="n">
        <v>6.73993060387505</v>
      </c>
    </row>
    <row r="4120">
      <c r="A4120" t="inlineStr">
        <is>
          <t>Heavily indebted poor countries (HIPC)</t>
        </is>
      </c>
      <c r="B4120" t="inlineStr">
        <is>
          <t>HPC</t>
        </is>
      </c>
      <c r="C4120" t="n">
        <v>2007</v>
      </c>
      <c r="D4120" t="n">
        <v>7.25410841304887</v>
      </c>
    </row>
    <row r="4121">
      <c r="A4121" t="inlineStr">
        <is>
          <t>Heavily indebted poor countries (HIPC)</t>
        </is>
      </c>
      <c r="B4121" t="inlineStr">
        <is>
          <t>HPC</t>
        </is>
      </c>
      <c r="C4121" t="n">
        <v>2008</v>
      </c>
      <c r="D4121" t="n">
        <v>10.6597978997424</v>
      </c>
    </row>
    <row r="4122">
      <c r="A4122" t="inlineStr">
        <is>
          <t>Heavily indebted poor countries (HIPC)</t>
        </is>
      </c>
      <c r="B4122" t="inlineStr">
        <is>
          <t>HPC</t>
        </is>
      </c>
      <c r="C4122" t="n">
        <v>2009</v>
      </c>
      <c r="D4122" t="n">
        <v>4.36234829325718</v>
      </c>
    </row>
    <row r="4123">
      <c r="A4123" t="inlineStr">
        <is>
          <t>Heavily indebted poor countries (HIPC)</t>
        </is>
      </c>
      <c r="B4123" t="inlineStr">
        <is>
          <t>HPC</t>
        </is>
      </c>
      <c r="C4123" t="n">
        <v>2010</v>
      </c>
      <c r="D4123" t="n">
        <v>4.69889064976226</v>
      </c>
    </row>
    <row r="4124">
      <c r="A4124" t="inlineStr">
        <is>
          <t>Heavily indebted poor countries (HIPC)</t>
        </is>
      </c>
      <c r="B4124" t="inlineStr">
        <is>
          <t>HPC</t>
        </is>
      </c>
      <c r="C4124" t="n">
        <v>2011</v>
      </c>
      <c r="D4124" t="n">
        <v>6.4293968107234</v>
      </c>
    </row>
    <row r="4125">
      <c r="A4125" t="inlineStr">
        <is>
          <t>Heavily indebted poor countries (HIPC)</t>
        </is>
      </c>
      <c r="B4125" t="inlineStr">
        <is>
          <t>HPC</t>
        </is>
      </c>
      <c r="C4125" t="n">
        <v>2012</v>
      </c>
      <c r="D4125" t="n">
        <v>6.31474450315196</v>
      </c>
    </row>
    <row r="4126">
      <c r="A4126" t="inlineStr">
        <is>
          <t>Heavily indebted poor countries (HIPC)</t>
        </is>
      </c>
      <c r="B4126" t="inlineStr">
        <is>
          <t>HPC</t>
        </is>
      </c>
      <c r="C4126" t="n">
        <v>2013</v>
      </c>
      <c r="D4126" t="n">
        <v>5.16189898581494</v>
      </c>
    </row>
    <row r="4127">
      <c r="A4127" t="inlineStr">
        <is>
          <t>Heavily indebted poor countries (HIPC)</t>
        </is>
      </c>
      <c r="B4127" t="inlineStr">
        <is>
          <t>HPC</t>
        </is>
      </c>
      <c r="C4127" t="n">
        <v>2014</v>
      </c>
      <c r="D4127" t="n">
        <v>3.96986045166308</v>
      </c>
    </row>
    <row r="4128">
      <c r="A4128" t="inlineStr">
        <is>
          <t>Heavily indebted poor countries (HIPC)</t>
        </is>
      </c>
      <c r="B4128" t="inlineStr">
        <is>
          <t>HPC</t>
        </is>
      </c>
      <c r="C4128" t="n">
        <v>2015</v>
      </c>
      <c r="D4128" t="n">
        <v>3.77406982025571</v>
      </c>
    </row>
    <row r="4129">
      <c r="A4129" t="inlineStr">
        <is>
          <t>Heavily indebted poor countries (HIPC)</t>
        </is>
      </c>
      <c r="B4129" t="inlineStr">
        <is>
          <t>HPC</t>
        </is>
      </c>
      <c r="C4129" t="n">
        <v>2016</v>
      </c>
      <c r="D4129" t="n">
        <v>4.66466235810216</v>
      </c>
    </row>
    <row r="4130">
      <c r="A4130" t="inlineStr">
        <is>
          <t>Heavily indebted poor countries (HIPC)</t>
        </is>
      </c>
      <c r="B4130" t="inlineStr">
        <is>
          <t>HPC</t>
        </is>
      </c>
      <c r="C4130" t="n">
        <v>2017</v>
      </c>
      <c r="D4130" t="n">
        <v>4.97595150553833</v>
      </c>
    </row>
    <row r="4131">
      <c r="A4131" t="inlineStr">
        <is>
          <t>Heavily indebted poor countries (HIPC)</t>
        </is>
      </c>
      <c r="B4131" t="inlineStr">
        <is>
          <t>HPC</t>
        </is>
      </c>
      <c r="C4131" t="n">
        <v>2018</v>
      </c>
      <c r="D4131" t="n">
        <v>3.06735996058356</v>
      </c>
    </row>
    <row r="4132">
      <c r="A4132" t="inlineStr">
        <is>
          <t>Heavily indebted poor countries (HIPC)</t>
        </is>
      </c>
      <c r="B4132" t="inlineStr">
        <is>
          <t>HPC</t>
        </is>
      </c>
      <c r="C4132" t="n">
        <v>2019</v>
      </c>
      <c r="D4132" t="n">
        <v>2.80270307928111</v>
      </c>
    </row>
    <row r="4133">
      <c r="A4133" t="inlineStr">
        <is>
          <t>Heavily indebted poor countries (HIPC)</t>
        </is>
      </c>
      <c r="B4133" t="inlineStr">
        <is>
          <t>HPC</t>
        </is>
      </c>
      <c r="C4133" t="n">
        <v>2020</v>
      </c>
      <c r="D4133" t="n">
        <v>3.48393567493204</v>
      </c>
    </row>
    <row r="4134">
      <c r="A4134" t="inlineStr">
        <is>
          <t>Heavily indebted poor countries (HIPC)</t>
        </is>
      </c>
      <c r="B4134" t="inlineStr">
        <is>
          <t>HPC</t>
        </is>
      </c>
      <c r="C4134" t="n">
        <v>2021</v>
      </c>
      <c r="D4134" t="n">
        <v>4.48087963413445</v>
      </c>
    </row>
    <row r="4135">
      <c r="A4135" t="inlineStr">
        <is>
          <t>Heavily indebted poor countries (HIPC)</t>
        </is>
      </c>
      <c r="B4135" t="inlineStr">
        <is>
          <t>HPC</t>
        </is>
      </c>
      <c r="C4135" t="n">
        <v>2022</v>
      </c>
      <c r="D4135" t="n">
        <v>9.62147608489072</v>
      </c>
    </row>
    <row r="4136">
      <c r="A4136" t="inlineStr">
        <is>
          <t>Heavily indebted poor countries (HIPC)</t>
        </is>
      </c>
      <c r="B4136" t="inlineStr">
        <is>
          <t>HPC</t>
        </is>
      </c>
      <c r="C4136" t="n">
        <v>2023</v>
      </c>
      <c r="D4136" t="n">
        <v>7.12697482131851</v>
      </c>
    </row>
    <row r="4137">
      <c r="A4137" t="inlineStr">
        <is>
          <t>Croatia</t>
        </is>
      </c>
      <c r="B4137" t="inlineStr">
        <is>
          <t>HRV</t>
        </is>
      </c>
      <c r="C4137" t="n">
        <v>1986</v>
      </c>
      <c r="D4137" t="n">
        <v>50</v>
      </c>
    </row>
    <row r="4138">
      <c r="A4138" t="inlineStr">
        <is>
          <t>Croatia</t>
        </is>
      </c>
      <c r="B4138" t="inlineStr">
        <is>
          <t>HRV</t>
        </is>
      </c>
      <c r="C4138" t="n">
        <v>1987</v>
      </c>
      <c r="D4138" t="n">
        <v>133.333263744315</v>
      </c>
    </row>
    <row r="4139">
      <c r="A4139" t="inlineStr">
        <is>
          <t>Croatia</t>
        </is>
      </c>
      <c r="B4139" t="inlineStr">
        <is>
          <t>HRV</t>
        </is>
      </c>
      <c r="C4139" t="n">
        <v>1988</v>
      </c>
      <c r="D4139" t="n">
        <v>185.714285714285</v>
      </c>
    </row>
    <row r="4140">
      <c r="A4140" t="inlineStr">
        <is>
          <t>Croatia</t>
        </is>
      </c>
      <c r="B4140" t="inlineStr">
        <is>
          <t>HRV</t>
        </is>
      </c>
      <c r="C4140" t="n">
        <v>1989</v>
      </c>
      <c r="D4140" t="n">
        <v>1400</v>
      </c>
    </row>
    <row r="4141">
      <c r="A4141" t="inlineStr">
        <is>
          <t>Croatia</t>
        </is>
      </c>
      <c r="B4141" t="inlineStr">
        <is>
          <t>HRV</t>
        </is>
      </c>
      <c r="C4141" t="n">
        <v>1990</v>
      </c>
      <c r="D4141" t="n">
        <v>500.000000000001</v>
      </c>
    </row>
    <row r="4142">
      <c r="A4142" t="inlineStr">
        <is>
          <t>Croatia</t>
        </is>
      </c>
      <c r="B4142" t="inlineStr">
        <is>
          <t>HRV</t>
        </is>
      </c>
      <c r="C4142" t="n">
        <v>1991</v>
      </c>
      <c r="D4142" t="n">
        <v>122.222222222221</v>
      </c>
    </row>
    <row r="4143">
      <c r="A4143" t="inlineStr">
        <is>
          <t>Croatia</t>
        </is>
      </c>
      <c r="B4143" t="inlineStr">
        <is>
          <t>HRV</t>
        </is>
      </c>
      <c r="C4143" t="n">
        <v>1992</v>
      </c>
      <c r="D4143" t="n">
        <v>625.000000000001</v>
      </c>
    </row>
    <row r="4144">
      <c r="A4144" t="inlineStr">
        <is>
          <t>Croatia</t>
        </is>
      </c>
      <c r="B4144" t="inlineStr">
        <is>
          <t>HRV</t>
        </is>
      </c>
      <c r="C4144" t="n">
        <v>1993</v>
      </c>
      <c r="D4144" t="n">
        <v>1500</v>
      </c>
    </row>
    <row r="4145">
      <c r="A4145" t="inlineStr">
        <is>
          <t>Croatia</t>
        </is>
      </c>
      <c r="B4145" t="inlineStr">
        <is>
          <t>HRV</t>
        </is>
      </c>
      <c r="C4145" t="n">
        <v>1994</v>
      </c>
      <c r="D4145" t="n">
        <v>107.327586206896</v>
      </c>
    </row>
    <row r="4146">
      <c r="A4146" t="inlineStr">
        <is>
          <t>Croatia</t>
        </is>
      </c>
      <c r="B4146" t="inlineStr">
        <is>
          <t>HRV</t>
        </is>
      </c>
      <c r="C4146" t="n">
        <v>1995</v>
      </c>
      <c r="D4146" t="n">
        <v>3.95010395010402</v>
      </c>
    </row>
    <row r="4147">
      <c r="A4147" t="inlineStr">
        <is>
          <t>Croatia</t>
        </is>
      </c>
      <c r="B4147" t="inlineStr">
        <is>
          <t>HRV</t>
        </is>
      </c>
      <c r="C4147" t="n">
        <v>1996</v>
      </c>
      <c r="D4147" t="n">
        <v>4.29999999999995</v>
      </c>
    </row>
    <row r="4148">
      <c r="A4148" t="inlineStr">
        <is>
          <t>Croatia</t>
        </is>
      </c>
      <c r="B4148" t="inlineStr">
        <is>
          <t>HRV</t>
        </is>
      </c>
      <c r="C4148" t="n">
        <v>1997</v>
      </c>
      <c r="D4148" t="n">
        <v>4.17066155321188</v>
      </c>
    </row>
    <row r="4149">
      <c r="A4149" t="inlineStr">
        <is>
          <t>Croatia</t>
        </is>
      </c>
      <c r="B4149" t="inlineStr">
        <is>
          <t>HRV</t>
        </is>
      </c>
      <c r="C4149" t="n">
        <v>1998</v>
      </c>
      <c r="D4149" t="n">
        <v>6.39668660837554</v>
      </c>
    </row>
    <row r="4150">
      <c r="A4150" t="inlineStr">
        <is>
          <t>Croatia</t>
        </is>
      </c>
      <c r="B4150" t="inlineStr">
        <is>
          <t>HRV</t>
        </is>
      </c>
      <c r="C4150" t="n">
        <v>1999</v>
      </c>
      <c r="D4150" t="n">
        <v>4.01913875598086</v>
      </c>
    </row>
    <row r="4151">
      <c r="A4151" t="inlineStr">
        <is>
          <t>Croatia</t>
        </is>
      </c>
      <c r="B4151" t="inlineStr">
        <is>
          <t>HRV</t>
        </is>
      </c>
      <c r="C4151" t="n">
        <v>2000</v>
      </c>
      <c r="D4151" t="n">
        <v>4.61131554737801</v>
      </c>
    </row>
    <row r="4152">
      <c r="A4152" t="inlineStr">
        <is>
          <t>Croatia</t>
        </is>
      </c>
      <c r="B4152" t="inlineStr">
        <is>
          <t>HRV</t>
        </is>
      </c>
      <c r="C4152" t="n">
        <v>2001</v>
      </c>
      <c r="D4152" t="n">
        <v>3.77670246665889</v>
      </c>
    </row>
    <row r="4153">
      <c r="A4153" t="inlineStr">
        <is>
          <t>Croatia</t>
        </is>
      </c>
      <c r="B4153" t="inlineStr">
        <is>
          <t>HRV</t>
        </is>
      </c>
      <c r="C4153" t="n">
        <v>2002</v>
      </c>
      <c r="D4153" t="n">
        <v>1.67178437393383</v>
      </c>
    </row>
    <row r="4154">
      <c r="A4154" t="inlineStr">
        <is>
          <t>Croatia</t>
        </is>
      </c>
      <c r="B4154" t="inlineStr">
        <is>
          <t>HRV</t>
        </is>
      </c>
      <c r="C4154" t="n">
        <v>2003</v>
      </c>
      <c r="D4154" t="n">
        <v>1.76733780760629</v>
      </c>
    </row>
    <row r="4155">
      <c r="A4155" t="inlineStr">
        <is>
          <t>Croatia</t>
        </is>
      </c>
      <c r="B4155" t="inlineStr">
        <is>
          <t>HRV</t>
        </is>
      </c>
      <c r="C4155" t="n">
        <v>2004</v>
      </c>
      <c r="D4155" t="n">
        <v>2.05539679050328</v>
      </c>
    </row>
    <row r="4156">
      <c r="A4156" t="inlineStr">
        <is>
          <t>Croatia</t>
        </is>
      </c>
      <c r="B4156" t="inlineStr">
        <is>
          <t>HRV</t>
        </is>
      </c>
      <c r="C4156" t="n">
        <v>2005</v>
      </c>
      <c r="D4156" t="n">
        <v>3.31717824448045</v>
      </c>
    </row>
    <row r="4157">
      <c r="A4157" t="inlineStr">
        <is>
          <t>Croatia</t>
        </is>
      </c>
      <c r="B4157" t="inlineStr">
        <is>
          <t>HRV</t>
        </is>
      </c>
      <c r="C4157" t="n">
        <v>2006</v>
      </c>
      <c r="D4157" t="n">
        <v>3.18982591472949</v>
      </c>
    </row>
    <row r="4158">
      <c r="A4158" t="inlineStr">
        <is>
          <t>Croatia</t>
        </is>
      </c>
      <c r="B4158" t="inlineStr">
        <is>
          <t>HRV</t>
        </is>
      </c>
      <c r="C4158" t="n">
        <v>2007</v>
      </c>
      <c r="D4158" t="n">
        <v>2.89928275583388</v>
      </c>
    </row>
    <row r="4159">
      <c r="A4159" t="inlineStr">
        <is>
          <t>Croatia</t>
        </is>
      </c>
      <c r="B4159" t="inlineStr">
        <is>
          <t>HRV</t>
        </is>
      </c>
      <c r="C4159" t="n">
        <v>2008</v>
      </c>
      <c r="D4159" t="n">
        <v>6.07696838798354</v>
      </c>
    </row>
    <row r="4160">
      <c r="A4160" t="inlineStr">
        <is>
          <t>Croatia</t>
        </is>
      </c>
      <c r="B4160" t="inlineStr">
        <is>
          <t>HRV</t>
        </is>
      </c>
      <c r="C4160" t="n">
        <v>2009</v>
      </c>
      <c r="D4160" t="n">
        <v>2.37852845904674</v>
      </c>
    </row>
    <row r="4161">
      <c r="A4161" t="inlineStr">
        <is>
          <t>Croatia</t>
        </is>
      </c>
      <c r="B4161" t="inlineStr">
        <is>
          <t>HRV</t>
        </is>
      </c>
      <c r="C4161" t="n">
        <v>2010</v>
      </c>
      <c r="D4161" t="n">
        <v>1.03055505333574</v>
      </c>
    </row>
    <row r="4162">
      <c r="A4162" t="inlineStr">
        <is>
          <t>Croatia</t>
        </is>
      </c>
      <c r="B4162" t="inlineStr">
        <is>
          <t>HRV</t>
        </is>
      </c>
      <c r="C4162" t="n">
        <v>2011</v>
      </c>
      <c r="D4162" t="n">
        <v>2.2727272727273</v>
      </c>
    </row>
    <row r="4163">
      <c r="A4163" t="inlineStr">
        <is>
          <t>Croatia</t>
        </is>
      </c>
      <c r="B4163" t="inlineStr">
        <is>
          <t>HRV</t>
        </is>
      </c>
      <c r="C4163" t="n">
        <v>2012</v>
      </c>
      <c r="D4163" t="n">
        <v>3.41207349081358</v>
      </c>
    </row>
    <row r="4164">
      <c r="A4164" t="inlineStr">
        <is>
          <t>Croatia</t>
        </is>
      </c>
      <c r="B4164" t="inlineStr">
        <is>
          <t>HRV</t>
        </is>
      </c>
      <c r="C4164" t="n">
        <v>2013</v>
      </c>
      <c r="D4164" t="n">
        <v>2.21658206429779</v>
      </c>
    </row>
    <row r="4165">
      <c r="A4165" t="inlineStr">
        <is>
          <t>Croatia</t>
        </is>
      </c>
      <c r="B4165" t="inlineStr">
        <is>
          <t>HRV</t>
        </is>
      </c>
      <c r="C4165" t="n">
        <v>2014</v>
      </c>
      <c r="D4165" t="n">
        <v>-0.215196159576268</v>
      </c>
    </row>
    <row r="4166">
      <c r="A4166" t="inlineStr">
        <is>
          <t>Croatia</t>
        </is>
      </c>
      <c r="B4166" t="inlineStr">
        <is>
          <t>HRV</t>
        </is>
      </c>
      <c r="C4166" t="n">
        <v>2015</v>
      </c>
      <c r="D4166" t="n">
        <v>-0.464499004644911</v>
      </c>
    </row>
    <row r="4167">
      <c r="A4167" t="inlineStr">
        <is>
          <t>Croatia</t>
        </is>
      </c>
      <c r="B4167" t="inlineStr">
        <is>
          <t>HRV</t>
        </is>
      </c>
      <c r="C4167" t="n">
        <v>2016</v>
      </c>
      <c r="D4167" t="n">
        <v>-1.12500000000002</v>
      </c>
    </row>
    <row r="4168">
      <c r="A4168" t="inlineStr">
        <is>
          <t>Croatia</t>
        </is>
      </c>
      <c r="B4168" t="inlineStr">
        <is>
          <t>HRV</t>
        </is>
      </c>
      <c r="C4168" t="n">
        <v>2017</v>
      </c>
      <c r="D4168" t="n">
        <v>1.12937210282347</v>
      </c>
    </row>
    <row r="4169">
      <c r="A4169" t="inlineStr">
        <is>
          <t>Croatia</t>
        </is>
      </c>
      <c r="B4169" t="inlineStr">
        <is>
          <t>HRV</t>
        </is>
      </c>
      <c r="C4169" t="n">
        <v>2018</v>
      </c>
      <c r="D4169" t="n">
        <v>1.50012501041756</v>
      </c>
    </row>
    <row r="4170">
      <c r="A4170" t="inlineStr">
        <is>
          <t>Croatia</t>
        </is>
      </c>
      <c r="B4170" t="inlineStr">
        <is>
          <t>HRV</t>
        </is>
      </c>
      <c r="C4170" t="n">
        <v>2019</v>
      </c>
      <c r="D4170" t="n">
        <v>0.771820346498019</v>
      </c>
    </row>
    <row r="4171">
      <c r="A4171" t="inlineStr">
        <is>
          <t>Croatia</t>
        </is>
      </c>
      <c r="B4171" t="inlineStr">
        <is>
          <t>HRV</t>
        </is>
      </c>
      <c r="C4171" t="n">
        <v>2020</v>
      </c>
      <c r="D4171" t="n">
        <v>0.154811374562106</v>
      </c>
    </row>
    <row r="4172">
      <c r="A4172" t="inlineStr">
        <is>
          <t>Croatia</t>
        </is>
      </c>
      <c r="B4172" t="inlineStr">
        <is>
          <t>HRV</t>
        </is>
      </c>
      <c r="C4172" t="n">
        <v>2021</v>
      </c>
      <c r="D4172" t="n">
        <v>2.55450699642041</v>
      </c>
    </row>
    <row r="4173">
      <c r="A4173" t="inlineStr">
        <is>
          <t>Croatia</t>
        </is>
      </c>
      <c r="B4173" t="inlineStr">
        <is>
          <t>HRV</t>
        </is>
      </c>
      <c r="C4173" t="n">
        <v>2022</v>
      </c>
      <c r="D4173" t="n">
        <v>10.7805806758686</v>
      </c>
    </row>
    <row r="4174">
      <c r="A4174" t="inlineStr">
        <is>
          <t>Croatia</t>
        </is>
      </c>
      <c r="B4174" t="inlineStr">
        <is>
          <t>HRV</t>
        </is>
      </c>
      <c r="C4174" t="n">
        <v>2023</v>
      </c>
      <c r="D4174" t="n">
        <v>7.9412817758683</v>
      </c>
    </row>
    <row r="4175">
      <c r="A4175" t="inlineStr">
        <is>
          <t>Haiti</t>
        </is>
      </c>
      <c r="B4175" t="inlineStr">
        <is>
          <t>HTI</t>
        </is>
      </c>
      <c r="C4175" t="n">
        <v>1960</v>
      </c>
      <c r="D4175" t="n">
        <v>-5.03004159593691</v>
      </c>
    </row>
    <row r="4176">
      <c r="A4176" t="inlineStr">
        <is>
          <t>Haiti</t>
        </is>
      </c>
      <c r="B4176" t="inlineStr">
        <is>
          <t>HTI</t>
        </is>
      </c>
      <c r="C4176" t="n">
        <v>1961</v>
      </c>
      <c r="D4176" t="n">
        <v>3.77970638342675</v>
      </c>
    </row>
    <row r="4177">
      <c r="A4177" t="inlineStr">
        <is>
          <t>Haiti</t>
        </is>
      </c>
      <c r="B4177" t="inlineStr">
        <is>
          <t>HTI</t>
        </is>
      </c>
      <c r="C4177" t="n">
        <v>1962</v>
      </c>
      <c r="D4177" t="n">
        <v>-0.554904259869525</v>
      </c>
    </row>
    <row r="4178">
      <c r="A4178" t="inlineStr">
        <is>
          <t>Haiti</t>
        </is>
      </c>
      <c r="B4178" t="inlineStr">
        <is>
          <t>HTI</t>
        </is>
      </c>
      <c r="C4178" t="n">
        <v>1963</v>
      </c>
      <c r="D4178" t="n">
        <v>4.30682175435956</v>
      </c>
    </row>
    <row r="4179">
      <c r="A4179" t="inlineStr">
        <is>
          <t>Haiti</t>
        </is>
      </c>
      <c r="B4179" t="inlineStr">
        <is>
          <t>HTI</t>
        </is>
      </c>
      <c r="C4179" t="n">
        <v>1964</v>
      </c>
      <c r="D4179" t="n">
        <v>9.16214587129442</v>
      </c>
    </row>
    <row r="4180">
      <c r="A4180" t="inlineStr">
        <is>
          <t>Haiti</t>
        </is>
      </c>
      <c r="B4180" t="inlineStr">
        <is>
          <t>HTI</t>
        </is>
      </c>
      <c r="C4180" t="n">
        <v>1965</v>
      </c>
      <c r="D4180" t="n">
        <v>2.26394257289731</v>
      </c>
    </row>
    <row r="4181">
      <c r="A4181" t="inlineStr">
        <is>
          <t>Haiti</t>
        </is>
      </c>
      <c r="B4181" t="inlineStr">
        <is>
          <t>HTI</t>
        </is>
      </c>
      <c r="C4181" t="n">
        <v>1966</v>
      </c>
      <c r="D4181" t="n">
        <v>8.301835853323</v>
      </c>
    </row>
    <row r="4182">
      <c r="A4182" t="inlineStr">
        <is>
          <t>Haiti</t>
        </is>
      </c>
      <c r="B4182" t="inlineStr">
        <is>
          <t>HTI</t>
        </is>
      </c>
      <c r="C4182" t="n">
        <v>1967</v>
      </c>
      <c r="D4182" t="n">
        <v>-2.93531098100653</v>
      </c>
    </row>
    <row r="4183">
      <c r="A4183" t="inlineStr">
        <is>
          <t>Haiti</t>
        </is>
      </c>
      <c r="B4183" t="inlineStr">
        <is>
          <t>HTI</t>
        </is>
      </c>
      <c r="C4183" t="n">
        <v>1968</v>
      </c>
      <c r="D4183" t="n">
        <v>1.31621187827357</v>
      </c>
    </row>
    <row r="4184">
      <c r="A4184" t="inlineStr">
        <is>
          <t>Haiti</t>
        </is>
      </c>
      <c r="B4184" t="inlineStr">
        <is>
          <t>HTI</t>
        </is>
      </c>
      <c r="C4184" t="n">
        <v>1969</v>
      </c>
      <c r="D4184" t="n">
        <v>1.41318124201974</v>
      </c>
    </row>
    <row r="4185">
      <c r="A4185" t="inlineStr">
        <is>
          <t>Haiti</t>
        </is>
      </c>
      <c r="B4185" t="inlineStr">
        <is>
          <t>HTI</t>
        </is>
      </c>
      <c r="C4185" t="n">
        <v>1970</v>
      </c>
      <c r="D4185" t="n">
        <v>1.36849340736673</v>
      </c>
    </row>
    <row r="4186">
      <c r="A4186" t="inlineStr">
        <is>
          <t>Haiti</t>
        </is>
      </c>
      <c r="B4186" t="inlineStr">
        <is>
          <t>HTI</t>
        </is>
      </c>
      <c r="C4186" t="n">
        <v>1971</v>
      </c>
      <c r="D4186" t="n">
        <v>9.57958328225631</v>
      </c>
    </row>
    <row r="4187">
      <c r="A4187" t="inlineStr">
        <is>
          <t>Haiti</t>
        </is>
      </c>
      <c r="B4187" t="inlineStr">
        <is>
          <t>HTI</t>
        </is>
      </c>
      <c r="C4187" t="n">
        <v>1972</v>
      </c>
      <c r="D4187" t="n">
        <v>3.18969396917928</v>
      </c>
    </row>
    <row r="4188">
      <c r="A4188" t="inlineStr">
        <is>
          <t>Haiti</t>
        </is>
      </c>
      <c r="B4188" t="inlineStr">
        <is>
          <t>HTI</t>
        </is>
      </c>
      <c r="C4188" t="n">
        <v>1973</v>
      </c>
      <c r="D4188" t="n">
        <v>22.7389194789195</v>
      </c>
    </row>
    <row r="4189">
      <c r="A4189" t="inlineStr">
        <is>
          <t>Haiti</t>
        </is>
      </c>
      <c r="B4189" t="inlineStr">
        <is>
          <t>HTI</t>
        </is>
      </c>
      <c r="C4189" t="n">
        <v>1974</v>
      </c>
      <c r="D4189" t="n">
        <v>14.9506973439721</v>
      </c>
    </row>
    <row r="4190">
      <c r="A4190" t="inlineStr">
        <is>
          <t>Haiti</t>
        </is>
      </c>
      <c r="B4190" t="inlineStr">
        <is>
          <t>HTI</t>
        </is>
      </c>
      <c r="C4190" t="n">
        <v>1975</v>
      </c>
      <c r="D4190" t="n">
        <v>16.7735703245816</v>
      </c>
    </row>
    <row r="4191">
      <c r="A4191" t="inlineStr">
        <is>
          <t>Haiti</t>
        </is>
      </c>
      <c r="B4191" t="inlineStr">
        <is>
          <t>HTI</t>
        </is>
      </c>
      <c r="C4191" t="n">
        <v>1976</v>
      </c>
      <c r="D4191" t="n">
        <v>7.03815227823619</v>
      </c>
    </row>
    <row r="4192">
      <c r="A4192" t="inlineStr">
        <is>
          <t>Haiti</t>
        </is>
      </c>
      <c r="B4192" t="inlineStr">
        <is>
          <t>HTI</t>
        </is>
      </c>
      <c r="C4192" t="n">
        <v>1977</v>
      </c>
      <c r="D4192" t="n">
        <v>6.49190058113337</v>
      </c>
    </row>
    <row r="4193">
      <c r="A4193" t="inlineStr">
        <is>
          <t>Haiti</t>
        </is>
      </c>
      <c r="B4193" t="inlineStr">
        <is>
          <t>HTI</t>
        </is>
      </c>
      <c r="C4193" t="n">
        <v>1978</v>
      </c>
      <c r="D4193" t="n">
        <v>-2.67359498369291</v>
      </c>
    </row>
    <row r="4194">
      <c r="A4194" t="inlineStr">
        <is>
          <t>Haiti</t>
        </is>
      </c>
      <c r="B4194" t="inlineStr">
        <is>
          <t>HTI</t>
        </is>
      </c>
      <c r="C4194" t="n">
        <v>1979</v>
      </c>
      <c r="D4194" t="n">
        <v>13.0939242998193</v>
      </c>
    </row>
    <row r="4195">
      <c r="A4195" t="inlineStr">
        <is>
          <t>Haiti</t>
        </is>
      </c>
      <c r="B4195" t="inlineStr">
        <is>
          <t>HTI</t>
        </is>
      </c>
      <c r="C4195" t="n">
        <v>1980</v>
      </c>
      <c r="D4195" t="n">
        <v>17.7783052456577</v>
      </c>
    </row>
    <row r="4196">
      <c r="A4196" t="inlineStr">
        <is>
          <t>Haiti</t>
        </is>
      </c>
      <c r="B4196" t="inlineStr">
        <is>
          <t>HTI</t>
        </is>
      </c>
      <c r="C4196" t="n">
        <v>1981</v>
      </c>
      <c r="D4196" t="n">
        <v>10.8583333329997</v>
      </c>
    </row>
    <row r="4197">
      <c r="A4197" t="inlineStr">
        <is>
          <t>Haiti</t>
        </is>
      </c>
      <c r="B4197" t="inlineStr">
        <is>
          <t>HTI</t>
        </is>
      </c>
      <c r="C4197" t="n">
        <v>1982</v>
      </c>
      <c r="D4197" t="n">
        <v>7.35924227605051</v>
      </c>
    </row>
    <row r="4198">
      <c r="A4198" t="inlineStr">
        <is>
          <t>Haiti</t>
        </is>
      </c>
      <c r="B4198" t="inlineStr">
        <is>
          <t>HTI</t>
        </is>
      </c>
      <c r="C4198" t="n">
        <v>1983</v>
      </c>
      <c r="D4198" t="n">
        <v>10.2436633526545</v>
      </c>
    </row>
    <row r="4199">
      <c r="A4199" t="inlineStr">
        <is>
          <t>Haiti</t>
        </is>
      </c>
      <c r="B4199" t="inlineStr">
        <is>
          <t>HTI</t>
        </is>
      </c>
      <c r="C4199" t="n">
        <v>1984</v>
      </c>
      <c r="D4199" t="n">
        <v>6.40203239106075</v>
      </c>
    </row>
    <row r="4200">
      <c r="A4200" t="inlineStr">
        <is>
          <t>Haiti</t>
        </is>
      </c>
      <c r="B4200" t="inlineStr">
        <is>
          <t>HTI</t>
        </is>
      </c>
      <c r="C4200" t="n">
        <v>1985</v>
      </c>
      <c r="D4200" t="n">
        <v>10.6488390138928</v>
      </c>
    </row>
    <row r="4201">
      <c r="A4201" t="inlineStr">
        <is>
          <t>Haiti</t>
        </is>
      </c>
      <c r="B4201" t="inlineStr">
        <is>
          <t>HTI</t>
        </is>
      </c>
      <c r="C4201" t="n">
        <v>1986</v>
      </c>
      <c r="D4201" t="n">
        <v>3.27992663366622</v>
      </c>
    </row>
    <row r="4202">
      <c r="A4202" t="inlineStr">
        <is>
          <t>Haiti</t>
        </is>
      </c>
      <c r="B4202" t="inlineStr">
        <is>
          <t>HTI</t>
        </is>
      </c>
      <c r="C4202" t="n">
        <v>1987</v>
      </c>
      <c r="D4202" t="n">
        <v>-11.4494646121705</v>
      </c>
    </row>
    <row r="4203">
      <c r="A4203" t="inlineStr">
        <is>
          <t>Haiti</t>
        </is>
      </c>
      <c r="B4203" t="inlineStr">
        <is>
          <t>HTI</t>
        </is>
      </c>
      <c r="C4203" t="n">
        <v>1988</v>
      </c>
      <c r="D4203" t="n">
        <v>4.10546805875063</v>
      </c>
    </row>
    <row r="4204">
      <c r="A4204" t="inlineStr">
        <is>
          <t>Haiti</t>
        </is>
      </c>
      <c r="B4204" t="inlineStr">
        <is>
          <t>HTI</t>
        </is>
      </c>
      <c r="C4204" t="n">
        <v>1989</v>
      </c>
      <c r="D4204" t="n">
        <v>6.92390503711238</v>
      </c>
    </row>
    <row r="4205">
      <c r="A4205" t="inlineStr">
        <is>
          <t>Haiti</t>
        </is>
      </c>
      <c r="B4205" t="inlineStr">
        <is>
          <t>HTI</t>
        </is>
      </c>
      <c r="C4205" t="n">
        <v>1990</v>
      </c>
      <c r="D4205" t="n">
        <v>21.2760320067832</v>
      </c>
    </row>
    <row r="4206">
      <c r="A4206" t="inlineStr">
        <is>
          <t>Haiti</t>
        </is>
      </c>
      <c r="B4206" t="inlineStr">
        <is>
          <t>HTI</t>
        </is>
      </c>
      <c r="C4206" t="n">
        <v>1991</v>
      </c>
      <c r="D4206" t="n">
        <v>15.4199073669492</v>
      </c>
    </row>
    <row r="4207">
      <c r="A4207" t="inlineStr">
        <is>
          <t>Haiti</t>
        </is>
      </c>
      <c r="B4207" t="inlineStr">
        <is>
          <t>HTI</t>
        </is>
      </c>
      <c r="C4207" t="n">
        <v>1992</v>
      </c>
      <c r="D4207" t="n">
        <v>19.358494654122</v>
      </c>
    </row>
    <row r="4208">
      <c r="A4208" t="inlineStr">
        <is>
          <t>Haiti</t>
        </is>
      </c>
      <c r="B4208" t="inlineStr">
        <is>
          <t>HTI</t>
        </is>
      </c>
      <c r="C4208" t="n">
        <v>1993</v>
      </c>
      <c r="D4208" t="n">
        <v>29.7059715065172</v>
      </c>
    </row>
    <row r="4209">
      <c r="A4209" t="inlineStr">
        <is>
          <t>Haiti</t>
        </is>
      </c>
      <c r="B4209" t="inlineStr">
        <is>
          <t>HTI</t>
        </is>
      </c>
      <c r="C4209" t="n">
        <v>1994</v>
      </c>
      <c r="D4209" t="n">
        <v>39.3316195372753</v>
      </c>
    </row>
    <row r="4210">
      <c r="A4210" t="inlineStr">
        <is>
          <t>Haiti</t>
        </is>
      </c>
      <c r="B4210" t="inlineStr">
        <is>
          <t>HTI</t>
        </is>
      </c>
      <c r="C4210" t="n">
        <v>1995</v>
      </c>
      <c r="D4210" t="n">
        <v>27.6081851727601</v>
      </c>
    </row>
    <row r="4211">
      <c r="A4211" t="inlineStr">
        <is>
          <t>Haiti</t>
        </is>
      </c>
      <c r="B4211" t="inlineStr">
        <is>
          <t>HTI</t>
        </is>
      </c>
      <c r="C4211" t="n">
        <v>1996</v>
      </c>
      <c r="D4211" t="n">
        <v>20.5835962145112</v>
      </c>
    </row>
    <row r="4212">
      <c r="A4212" t="inlineStr">
        <is>
          <t>Haiti</t>
        </is>
      </c>
      <c r="B4212" t="inlineStr">
        <is>
          <t>HTI</t>
        </is>
      </c>
      <c r="C4212" t="n">
        <v>1997</v>
      </c>
      <c r="D4212" t="n">
        <v>20.5590073395833</v>
      </c>
    </row>
    <row r="4213">
      <c r="A4213" t="inlineStr">
        <is>
          <t>Haiti</t>
        </is>
      </c>
      <c r="B4213" t="inlineStr">
        <is>
          <t>HTI</t>
        </is>
      </c>
      <c r="C4213" t="n">
        <v>1998</v>
      </c>
      <c r="D4213" t="n">
        <v>5.26903547042201</v>
      </c>
    </row>
    <row r="4214">
      <c r="A4214" t="inlineStr">
        <is>
          <t>Haiti</t>
        </is>
      </c>
      <c r="B4214" t="inlineStr">
        <is>
          <t>HTI</t>
        </is>
      </c>
      <c r="C4214" t="n">
        <v>1999</v>
      </c>
      <c r="D4214" t="n">
        <v>3.00439421550734</v>
      </c>
    </row>
    <row r="4215">
      <c r="A4215" t="inlineStr">
        <is>
          <t>Haiti</t>
        </is>
      </c>
      <c r="B4215" t="inlineStr">
        <is>
          <t>HTI</t>
        </is>
      </c>
      <c r="C4215" t="n">
        <v>2000</v>
      </c>
      <c r="D4215" t="n">
        <v>9.333221975656031</v>
      </c>
    </row>
    <row r="4216">
      <c r="A4216" t="inlineStr">
        <is>
          <t>Haiti</t>
        </is>
      </c>
      <c r="B4216" t="inlineStr">
        <is>
          <t>HTI</t>
        </is>
      </c>
      <c r="C4216" t="n">
        <v>2001</v>
      </c>
      <c r="D4216" t="n">
        <v>13.31672224251</v>
      </c>
    </row>
    <row r="4217">
      <c r="A4217" t="inlineStr">
        <is>
          <t>Haiti</t>
        </is>
      </c>
      <c r="B4217" t="inlineStr">
        <is>
          <t>HTI</t>
        </is>
      </c>
      <c r="C4217" t="n">
        <v>2002</v>
      </c>
      <c r="D4217" t="n">
        <v>7.03287406224601</v>
      </c>
    </row>
    <row r="4218">
      <c r="A4218" t="inlineStr">
        <is>
          <t>Haiti</t>
        </is>
      </c>
      <c r="B4218" t="inlineStr">
        <is>
          <t>HTI</t>
        </is>
      </c>
      <c r="C4218" t="n">
        <v>2003</v>
      </c>
      <c r="D4218" t="n">
        <v>28.6995777887374</v>
      </c>
    </row>
    <row r="4219">
      <c r="A4219" t="inlineStr">
        <is>
          <t>Haiti</t>
        </is>
      </c>
      <c r="B4219" t="inlineStr">
        <is>
          <t>HTI</t>
        </is>
      </c>
      <c r="C4219" t="n">
        <v>2004</v>
      </c>
      <c r="D4219" t="n">
        <v>21.0318339277222</v>
      </c>
    </row>
    <row r="4220">
      <c r="A4220" t="inlineStr">
        <is>
          <t>Haiti</t>
        </is>
      </c>
      <c r="B4220" t="inlineStr">
        <is>
          <t>HTI</t>
        </is>
      </c>
      <c r="C4220" t="n">
        <v>2005</v>
      </c>
      <c r="D4220" t="n">
        <v>13.973008326384</v>
      </c>
    </row>
    <row r="4221">
      <c r="A4221" t="inlineStr">
        <is>
          <t>Haiti</t>
        </is>
      </c>
      <c r="B4221" t="inlineStr">
        <is>
          <t>HTI</t>
        </is>
      </c>
      <c r="C4221" t="n">
        <v>2006</v>
      </c>
      <c r="D4221" t="n">
        <v>11.3452152244299</v>
      </c>
    </row>
    <row r="4222">
      <c r="A4222" t="inlineStr">
        <is>
          <t>Haiti</t>
        </is>
      </c>
      <c r="B4222" t="inlineStr">
        <is>
          <t>HTI</t>
        </is>
      </c>
      <c r="C4222" t="n">
        <v>2007</v>
      </c>
      <c r="D4222" t="n">
        <v>6.55722772638066</v>
      </c>
    </row>
    <row r="4223">
      <c r="A4223" t="inlineStr">
        <is>
          <t>Haiti</t>
        </is>
      </c>
      <c r="B4223" t="inlineStr">
        <is>
          <t>HTI</t>
        </is>
      </c>
      <c r="C4223" t="n">
        <v>2008</v>
      </c>
      <c r="D4223" t="n">
        <v>15.2817744823772</v>
      </c>
    </row>
    <row r="4224">
      <c r="A4224" t="inlineStr">
        <is>
          <t>Haiti</t>
        </is>
      </c>
      <c r="B4224" t="inlineStr">
        <is>
          <t>HTI</t>
        </is>
      </c>
      <c r="C4224" t="n">
        <v>2009</v>
      </c>
      <c r="D4224" t="n">
        <v>0.393886040173341</v>
      </c>
    </row>
    <row r="4225">
      <c r="A4225" t="inlineStr">
        <is>
          <t>Haiti</t>
        </is>
      </c>
      <c r="B4225" t="inlineStr">
        <is>
          <t>HTI</t>
        </is>
      </c>
      <c r="C4225" t="n">
        <v>2010</v>
      </c>
      <c r="D4225" t="n">
        <v>4.82734190074673</v>
      </c>
    </row>
    <row r="4226">
      <c r="A4226" t="inlineStr">
        <is>
          <t>Haiti</t>
        </is>
      </c>
      <c r="B4226" t="inlineStr">
        <is>
          <t>HTI</t>
        </is>
      </c>
      <c r="C4226" t="n">
        <v>2011</v>
      </c>
      <c r="D4226" t="n">
        <v>6.33279483849042</v>
      </c>
    </row>
    <row r="4227">
      <c r="A4227" t="inlineStr">
        <is>
          <t>Haiti</t>
        </is>
      </c>
      <c r="B4227" t="inlineStr">
        <is>
          <t>HTI</t>
        </is>
      </c>
      <c r="C4227" t="n">
        <v>2012</v>
      </c>
      <c r="D4227" t="n">
        <v>5.01804155429246</v>
      </c>
    </row>
    <row r="4228">
      <c r="A4228" t="inlineStr">
        <is>
          <t>Haiti</t>
        </is>
      </c>
      <c r="B4228" t="inlineStr">
        <is>
          <t>HTI</t>
        </is>
      </c>
      <c r="C4228" t="n">
        <v>2013</v>
      </c>
      <c r="D4228" t="n">
        <v>4.76502404779142</v>
      </c>
    </row>
    <row r="4229">
      <c r="A4229" t="inlineStr">
        <is>
          <t>Haiti</t>
        </is>
      </c>
      <c r="B4229" t="inlineStr">
        <is>
          <t>HTI</t>
        </is>
      </c>
      <c r="C4229" t="n">
        <v>2014</v>
      </c>
      <c r="D4229" t="n">
        <v>3.43816659958601</v>
      </c>
    </row>
    <row r="4230">
      <c r="A4230" t="inlineStr">
        <is>
          <t>Haiti</t>
        </is>
      </c>
      <c r="B4230" t="inlineStr">
        <is>
          <t>HTI</t>
        </is>
      </c>
      <c r="C4230" t="n">
        <v>2015</v>
      </c>
      <c r="D4230" t="n">
        <v>6.73184069658997</v>
      </c>
    </row>
    <row r="4231">
      <c r="A4231" t="inlineStr">
        <is>
          <t>Haiti</t>
        </is>
      </c>
      <c r="B4231" t="inlineStr">
        <is>
          <t>HTI</t>
        </is>
      </c>
      <c r="C4231" t="n">
        <v>2016</v>
      </c>
      <c r="D4231" t="n">
        <v>11.5029073942666</v>
      </c>
    </row>
    <row r="4232">
      <c r="A4232" t="inlineStr">
        <is>
          <t>Haiti</t>
        </is>
      </c>
      <c r="B4232" t="inlineStr">
        <is>
          <t>HTI</t>
        </is>
      </c>
      <c r="C4232" t="n">
        <v>2017</v>
      </c>
      <c r="D4232" t="n">
        <v>10.6800887242584</v>
      </c>
    </row>
    <row r="4233">
      <c r="A4233" t="inlineStr">
        <is>
          <t>Haiti</t>
        </is>
      </c>
      <c r="B4233" t="inlineStr">
        <is>
          <t>HTI</t>
        </is>
      </c>
      <c r="C4233" t="n">
        <v>2018</v>
      </c>
      <c r="D4233" t="n">
        <v>12.4814111170435</v>
      </c>
    </row>
    <row r="4234">
      <c r="A4234" t="inlineStr">
        <is>
          <t>Haiti</t>
        </is>
      </c>
      <c r="B4234" t="inlineStr">
        <is>
          <t>HTI</t>
        </is>
      </c>
      <c r="C4234" t="n">
        <v>2019</v>
      </c>
      <c r="D4234" t="n">
        <v>18.7037825672506</v>
      </c>
    </row>
    <row r="4235">
      <c r="A4235" t="inlineStr">
        <is>
          <t>Haiti</t>
        </is>
      </c>
      <c r="B4235" t="inlineStr">
        <is>
          <t>HTI</t>
        </is>
      </c>
      <c r="C4235" t="n">
        <v>2020</v>
      </c>
      <c r="D4235" t="n">
        <v>22.7963113642528</v>
      </c>
    </row>
    <row r="4236">
      <c r="A4236" t="inlineStr">
        <is>
          <t>Haiti</t>
        </is>
      </c>
      <c r="B4236" t="inlineStr">
        <is>
          <t>HTI</t>
        </is>
      </c>
      <c r="C4236" t="n">
        <v>2021</v>
      </c>
      <c r="D4236" t="n">
        <v>16.8415240198785</v>
      </c>
    </row>
    <row r="4237">
      <c r="A4237" t="inlineStr">
        <is>
          <t>Haiti</t>
        </is>
      </c>
      <c r="B4237" t="inlineStr">
        <is>
          <t>HTI</t>
        </is>
      </c>
      <c r="C4237" t="n">
        <v>2022</v>
      </c>
      <c r="D4237" t="n">
        <v>33.98393194707</v>
      </c>
    </row>
    <row r="4238">
      <c r="A4238" t="inlineStr">
        <is>
          <t>Haiti</t>
        </is>
      </c>
      <c r="B4238" t="inlineStr">
        <is>
          <t>HTI</t>
        </is>
      </c>
      <c r="C4238" t="n">
        <v>2023</v>
      </c>
      <c r="D4238" t="n">
        <v>36.8135162780854</v>
      </c>
    </row>
    <row r="4239">
      <c r="A4239" t="inlineStr">
        <is>
          <t>Hungary</t>
        </is>
      </c>
      <c r="B4239" t="inlineStr">
        <is>
          <t>HUN</t>
        </is>
      </c>
      <c r="C4239" t="n">
        <v>1973</v>
      </c>
      <c r="D4239" t="n">
        <v>3.38797814176702</v>
      </c>
    </row>
    <row r="4240">
      <c r="A4240" t="inlineStr">
        <is>
          <t>Hungary</t>
        </is>
      </c>
      <c r="B4240" t="inlineStr">
        <is>
          <t>HUN</t>
        </is>
      </c>
      <c r="C4240" t="n">
        <v>1974</v>
      </c>
      <c r="D4240" t="n">
        <v>1.79704016823474</v>
      </c>
    </row>
    <row r="4241">
      <c r="A4241" t="inlineStr">
        <is>
          <t>Hungary</t>
        </is>
      </c>
      <c r="B4241" t="inlineStr">
        <is>
          <t>HUN</t>
        </is>
      </c>
      <c r="C4241" t="n">
        <v>1975</v>
      </c>
      <c r="D4241" t="n">
        <v>3.84215991793819</v>
      </c>
    </row>
    <row r="4242">
      <c r="A4242" t="inlineStr">
        <is>
          <t>Hungary</t>
        </is>
      </c>
      <c r="B4242" t="inlineStr">
        <is>
          <t>HUN</t>
        </is>
      </c>
      <c r="C4242" t="n">
        <v>1976</v>
      </c>
      <c r="D4242" t="n">
        <v>5.2283983330866</v>
      </c>
    </row>
    <row r="4243">
      <c r="A4243" t="inlineStr">
        <is>
          <t>Hungary</t>
        </is>
      </c>
      <c r="B4243" t="inlineStr">
        <is>
          <t>HUN</t>
        </is>
      </c>
      <c r="C4243" t="n">
        <v>1977</v>
      </c>
      <c r="D4243" t="n">
        <v>3.90889569564822</v>
      </c>
    </row>
    <row r="4244">
      <c r="A4244" t="inlineStr">
        <is>
          <t>Hungary</t>
        </is>
      </c>
      <c r="B4244" t="inlineStr">
        <is>
          <t>HUN</t>
        </is>
      </c>
      <c r="C4244" t="n">
        <v>1978</v>
      </c>
      <c r="D4244" t="n">
        <v>4.68714274853112</v>
      </c>
    </row>
    <row r="4245">
      <c r="A4245" t="inlineStr">
        <is>
          <t>Hungary</t>
        </is>
      </c>
      <c r="B4245" t="inlineStr">
        <is>
          <t>HUN</t>
        </is>
      </c>
      <c r="C4245" t="n">
        <v>1979</v>
      </c>
      <c r="D4245" t="n">
        <v>8.976412347003031</v>
      </c>
    </row>
    <row r="4246">
      <c r="A4246" t="inlineStr">
        <is>
          <t>Hungary</t>
        </is>
      </c>
      <c r="B4246" t="inlineStr">
        <is>
          <t>HUN</t>
        </is>
      </c>
      <c r="C4246" t="n">
        <v>1980</v>
      </c>
      <c r="D4246" t="n">
        <v>9.28585743921337</v>
      </c>
    </row>
    <row r="4247">
      <c r="A4247" t="inlineStr">
        <is>
          <t>Hungary</t>
        </is>
      </c>
      <c r="B4247" t="inlineStr">
        <is>
          <t>HUN</t>
        </is>
      </c>
      <c r="C4247" t="n">
        <v>1981</v>
      </c>
      <c r="D4247" t="n">
        <v>4.66141394394755</v>
      </c>
    </row>
    <row r="4248">
      <c r="A4248" t="inlineStr">
        <is>
          <t>Hungary</t>
        </is>
      </c>
      <c r="B4248" t="inlineStr">
        <is>
          <t>HUN</t>
        </is>
      </c>
      <c r="C4248" t="n">
        <v>1982</v>
      </c>
      <c r="D4248" t="n">
        <v>6.8358050825954</v>
      </c>
    </row>
    <row r="4249">
      <c r="A4249" t="inlineStr">
        <is>
          <t>Hungary</t>
        </is>
      </c>
      <c r="B4249" t="inlineStr">
        <is>
          <t>HUN</t>
        </is>
      </c>
      <c r="C4249" t="n">
        <v>1983</v>
      </c>
      <c r="D4249" t="n">
        <v>7.27989573279491</v>
      </c>
    </row>
    <row r="4250">
      <c r="A4250" t="inlineStr">
        <is>
          <t>Hungary</t>
        </is>
      </c>
      <c r="B4250" t="inlineStr">
        <is>
          <t>HUN</t>
        </is>
      </c>
      <c r="C4250" t="n">
        <v>1984</v>
      </c>
      <c r="D4250" t="n">
        <v>8.46785487646018</v>
      </c>
    </row>
    <row r="4251">
      <c r="A4251" t="inlineStr">
        <is>
          <t>Hungary</t>
        </is>
      </c>
      <c r="B4251" t="inlineStr">
        <is>
          <t>HUN</t>
        </is>
      </c>
      <c r="C4251" t="n">
        <v>1985</v>
      </c>
      <c r="D4251" t="n">
        <v>6.94234501879147</v>
      </c>
    </row>
    <row r="4252">
      <c r="A4252" t="inlineStr">
        <is>
          <t>Hungary</t>
        </is>
      </c>
      <c r="B4252" t="inlineStr">
        <is>
          <t>HUN</t>
        </is>
      </c>
      <c r="C4252" t="n">
        <v>1986</v>
      </c>
      <c r="D4252" t="n">
        <v>5.29166170071091</v>
      </c>
    </row>
    <row r="4253">
      <c r="A4253" t="inlineStr">
        <is>
          <t>Hungary</t>
        </is>
      </c>
      <c r="B4253" t="inlineStr">
        <is>
          <t>HUN</t>
        </is>
      </c>
      <c r="C4253" t="n">
        <v>1987</v>
      </c>
      <c r="D4253" t="n">
        <v>8.67431417733243</v>
      </c>
    </row>
    <row r="4254">
      <c r="A4254" t="inlineStr">
        <is>
          <t>Hungary</t>
        </is>
      </c>
      <c r="B4254" t="inlineStr">
        <is>
          <t>HUN</t>
        </is>
      </c>
      <c r="C4254" t="n">
        <v>1988</v>
      </c>
      <c r="D4254" t="n">
        <v>15.7235490703556</v>
      </c>
    </row>
    <row r="4255">
      <c r="A4255" t="inlineStr">
        <is>
          <t>Hungary</t>
        </is>
      </c>
      <c r="B4255" t="inlineStr">
        <is>
          <t>HUN</t>
        </is>
      </c>
      <c r="C4255" t="n">
        <v>1989</v>
      </c>
      <c r="D4255" t="n">
        <v>17.149151997396</v>
      </c>
    </row>
    <row r="4256">
      <c r="A4256" t="inlineStr">
        <is>
          <t>Hungary</t>
        </is>
      </c>
      <c r="B4256" t="inlineStr">
        <is>
          <t>HUN</t>
        </is>
      </c>
      <c r="C4256" t="n">
        <v>1990</v>
      </c>
      <c r="D4256" t="n">
        <v>28.3695996532777</v>
      </c>
    </row>
    <row r="4257">
      <c r="A4257" t="inlineStr">
        <is>
          <t>Hungary</t>
        </is>
      </c>
      <c r="B4257" t="inlineStr">
        <is>
          <t>HUN</t>
        </is>
      </c>
      <c r="C4257" t="n">
        <v>1991</v>
      </c>
      <c r="D4257" t="n">
        <v>34.8175429072704</v>
      </c>
    </row>
    <row r="4258">
      <c r="A4258" t="inlineStr">
        <is>
          <t>Hungary</t>
        </is>
      </c>
      <c r="B4258" t="inlineStr">
        <is>
          <t>HUN</t>
        </is>
      </c>
      <c r="C4258" t="n">
        <v>1992</v>
      </c>
      <c r="D4258" t="n">
        <v>23.6557207806552</v>
      </c>
    </row>
    <row r="4259">
      <c r="A4259" t="inlineStr">
        <is>
          <t>Hungary</t>
        </is>
      </c>
      <c r="B4259" t="inlineStr">
        <is>
          <t>HUN</t>
        </is>
      </c>
      <c r="C4259" t="n">
        <v>1993</v>
      </c>
      <c r="D4259" t="n">
        <v>22.4642346133809</v>
      </c>
    </row>
    <row r="4260">
      <c r="A4260" t="inlineStr">
        <is>
          <t>Hungary</t>
        </is>
      </c>
      <c r="B4260" t="inlineStr">
        <is>
          <t>HUN</t>
        </is>
      </c>
      <c r="C4260" t="n">
        <v>1994</v>
      </c>
      <c r="D4260" t="n">
        <v>18.8680749869283</v>
      </c>
    </row>
    <row r="4261">
      <c r="A4261" t="inlineStr">
        <is>
          <t>Hungary</t>
        </is>
      </c>
      <c r="B4261" t="inlineStr">
        <is>
          <t>HUN</t>
        </is>
      </c>
      <c r="C4261" t="n">
        <v>1995</v>
      </c>
      <c r="D4261" t="n">
        <v>28.3054683706654</v>
      </c>
    </row>
    <row r="4262">
      <c r="A4262" t="inlineStr">
        <is>
          <t>Hungary</t>
        </is>
      </c>
      <c r="B4262" t="inlineStr">
        <is>
          <t>HUN</t>
        </is>
      </c>
      <c r="C4262" t="n">
        <v>1996</v>
      </c>
      <c r="D4262" t="n">
        <v>23.4690301919185</v>
      </c>
    </row>
    <row r="4263">
      <c r="A4263" t="inlineStr">
        <is>
          <t>Hungary</t>
        </is>
      </c>
      <c r="B4263" t="inlineStr">
        <is>
          <t>HUN</t>
        </is>
      </c>
      <c r="C4263" t="n">
        <v>1997</v>
      </c>
      <c r="D4263" t="n">
        <v>18.3050744143799</v>
      </c>
    </row>
    <row r="4264">
      <c r="A4264" t="inlineStr">
        <is>
          <t>Hungary</t>
        </is>
      </c>
      <c r="B4264" t="inlineStr">
        <is>
          <t>HUN</t>
        </is>
      </c>
      <c r="C4264" t="n">
        <v>1998</v>
      </c>
      <c r="D4264" t="n">
        <v>14.153789654534</v>
      </c>
    </row>
    <row r="4265">
      <c r="A4265" t="inlineStr">
        <is>
          <t>Hungary</t>
        </is>
      </c>
      <c r="B4265" t="inlineStr">
        <is>
          <t>HUN</t>
        </is>
      </c>
      <c r="C4265" t="n">
        <v>1999</v>
      </c>
      <c r="D4265" t="n">
        <v>9.997744093033679</v>
      </c>
    </row>
    <row r="4266">
      <c r="A4266" t="inlineStr">
        <is>
          <t>Hungary</t>
        </is>
      </c>
      <c r="B4266" t="inlineStr">
        <is>
          <t>HUN</t>
        </is>
      </c>
      <c r="C4266" t="n">
        <v>2000</v>
      </c>
      <c r="D4266" t="n">
        <v>9.803610169081249</v>
      </c>
    </row>
    <row r="4267">
      <c r="A4267" t="inlineStr">
        <is>
          <t>Hungary</t>
        </is>
      </c>
      <c r="B4267" t="inlineStr">
        <is>
          <t>HUN</t>
        </is>
      </c>
      <c r="C4267" t="n">
        <v>2001</v>
      </c>
      <c r="D4267" t="n">
        <v>9.11680911680911</v>
      </c>
    </row>
    <row r="4268">
      <c r="A4268" t="inlineStr">
        <is>
          <t>Hungary</t>
        </is>
      </c>
      <c r="B4268" t="inlineStr">
        <is>
          <t>HUN</t>
        </is>
      </c>
      <c r="C4268" t="n">
        <v>2002</v>
      </c>
      <c r="D4268" t="n">
        <v>5.26544821583985</v>
      </c>
    </row>
    <row r="4269">
      <c r="A4269" t="inlineStr">
        <is>
          <t>Hungary</t>
        </is>
      </c>
      <c r="B4269" t="inlineStr">
        <is>
          <t>HUN</t>
        </is>
      </c>
      <c r="C4269" t="n">
        <v>2003</v>
      </c>
      <c r="D4269" t="n">
        <v>4.66101694915254</v>
      </c>
    </row>
    <row r="4270">
      <c r="A4270" t="inlineStr">
        <is>
          <t>Hungary</t>
        </is>
      </c>
      <c r="B4270" t="inlineStr">
        <is>
          <t>HUN</t>
        </is>
      </c>
      <c r="C4270" t="n">
        <v>2004</v>
      </c>
      <c r="D4270" t="n">
        <v>6.74434679569469</v>
      </c>
    </row>
    <row r="4271">
      <c r="A4271" t="inlineStr">
        <is>
          <t>Hungary</t>
        </is>
      </c>
      <c r="B4271" t="inlineStr">
        <is>
          <t>HUN</t>
        </is>
      </c>
      <c r="C4271" t="n">
        <v>2005</v>
      </c>
      <c r="D4271" t="n">
        <v>3.56151711378352</v>
      </c>
    </row>
    <row r="4272">
      <c r="A4272" t="inlineStr">
        <is>
          <t>Hungary</t>
        </is>
      </c>
      <c r="B4272" t="inlineStr">
        <is>
          <t>HUN</t>
        </is>
      </c>
      <c r="C4272" t="n">
        <v>2006</v>
      </c>
      <c r="D4272" t="n">
        <v>3.93032603841001</v>
      </c>
    </row>
    <row r="4273">
      <c r="A4273" t="inlineStr">
        <is>
          <t>Hungary</t>
        </is>
      </c>
      <c r="B4273" t="inlineStr">
        <is>
          <t>HUN</t>
        </is>
      </c>
      <c r="C4273" t="n">
        <v>2007</v>
      </c>
      <c r="D4273" t="n">
        <v>7.9587451654491</v>
      </c>
    </row>
    <row r="4274">
      <c r="A4274" t="inlineStr">
        <is>
          <t>Hungary</t>
        </is>
      </c>
      <c r="B4274" t="inlineStr">
        <is>
          <t>HUN</t>
        </is>
      </c>
      <c r="C4274" t="n">
        <v>2008</v>
      </c>
      <c r="D4274" t="n">
        <v>6.0425125388106</v>
      </c>
    </row>
    <row r="4275">
      <c r="A4275" t="inlineStr">
        <is>
          <t>Hungary</t>
        </is>
      </c>
      <c r="B4275" t="inlineStr">
        <is>
          <t>HUN</t>
        </is>
      </c>
      <c r="C4275" t="n">
        <v>2009</v>
      </c>
      <c r="D4275" t="n">
        <v>4.21171171171171</v>
      </c>
    </row>
    <row r="4276">
      <c r="A4276" t="inlineStr">
        <is>
          <t>Hungary</t>
        </is>
      </c>
      <c r="B4276" t="inlineStr">
        <is>
          <t>HUN</t>
        </is>
      </c>
      <c r="C4276" t="n">
        <v>2010</v>
      </c>
      <c r="D4276" t="n">
        <v>4.85555795691956</v>
      </c>
    </row>
    <row r="4277">
      <c r="A4277" t="inlineStr">
        <is>
          <t>Hungary</t>
        </is>
      </c>
      <c r="B4277" t="inlineStr">
        <is>
          <t>HUN</t>
        </is>
      </c>
      <c r="C4277" t="n">
        <v>2011</v>
      </c>
      <c r="D4277" t="n">
        <v>3.9299209893507</v>
      </c>
    </row>
    <row r="4278">
      <c r="A4278" t="inlineStr">
        <is>
          <t>Hungary</t>
        </is>
      </c>
      <c r="B4278" t="inlineStr">
        <is>
          <t>HUN</t>
        </is>
      </c>
      <c r="C4278" t="n">
        <v>2012</v>
      </c>
      <c r="D4278" t="n">
        <v>5.65214517088646</v>
      </c>
    </row>
    <row r="4279">
      <c r="A4279" t="inlineStr">
        <is>
          <t>Hungary</t>
        </is>
      </c>
      <c r="B4279" t="inlineStr">
        <is>
          <t>HUN</t>
        </is>
      </c>
      <c r="C4279" t="n">
        <v>2013</v>
      </c>
      <c r="D4279" t="n">
        <v>1.73319984983101</v>
      </c>
    </row>
    <row r="4280">
      <c r="A4280" t="inlineStr">
        <is>
          <t>Hungary</t>
        </is>
      </c>
      <c r="B4280" t="inlineStr">
        <is>
          <t>HUN</t>
        </is>
      </c>
      <c r="C4280" t="n">
        <v>2014</v>
      </c>
      <c r="D4280" t="n">
        <v>-0.227566270988219</v>
      </c>
    </row>
    <row r="4281">
      <c r="A4281" t="inlineStr">
        <is>
          <t>Hungary</t>
        </is>
      </c>
      <c r="B4281" t="inlineStr">
        <is>
          <t>HUN</t>
        </is>
      </c>
      <c r="C4281" t="n">
        <v>2015</v>
      </c>
      <c r="D4281" t="n">
        <v>-0.0616446800641672</v>
      </c>
    </row>
    <row r="4282">
      <c r="A4282" t="inlineStr">
        <is>
          <t>Hungary</t>
        </is>
      </c>
      <c r="B4282" t="inlineStr">
        <is>
          <t>HUN</t>
        </is>
      </c>
      <c r="C4282" t="n">
        <v>2016</v>
      </c>
      <c r="D4282" t="n">
        <v>0.394769306686392</v>
      </c>
    </row>
    <row r="4283">
      <c r="A4283" t="inlineStr">
        <is>
          <t>Hungary</t>
        </is>
      </c>
      <c r="B4283" t="inlineStr">
        <is>
          <t>HUN</t>
        </is>
      </c>
      <c r="C4283" t="n">
        <v>2017</v>
      </c>
      <c r="D4283" t="n">
        <v>2.34824281150154</v>
      </c>
    </row>
    <row r="4284">
      <c r="A4284" t="inlineStr">
        <is>
          <t>Hungary</t>
        </is>
      </c>
      <c r="B4284" t="inlineStr">
        <is>
          <t>HUN</t>
        </is>
      </c>
      <c r="C4284" t="n">
        <v>2018</v>
      </c>
      <c r="D4284" t="n">
        <v>2.85024792594646</v>
      </c>
    </row>
    <row r="4285">
      <c r="A4285" t="inlineStr">
        <is>
          <t>Hungary</t>
        </is>
      </c>
      <c r="B4285" t="inlineStr">
        <is>
          <t>HUN</t>
        </is>
      </c>
      <c r="C4285" t="n">
        <v>2019</v>
      </c>
      <c r="D4285" t="n">
        <v>3.33858635382008</v>
      </c>
    </row>
    <row r="4286">
      <c r="A4286" t="inlineStr">
        <is>
          <t>Hungary</t>
        </is>
      </c>
      <c r="B4286" t="inlineStr">
        <is>
          <t>HUN</t>
        </is>
      </c>
      <c r="C4286" t="n">
        <v>2020</v>
      </c>
      <c r="D4286" t="n">
        <v>3.32674385766738</v>
      </c>
    </row>
    <row r="4287">
      <c r="A4287" t="inlineStr">
        <is>
          <t>Hungary</t>
        </is>
      </c>
      <c r="B4287" t="inlineStr">
        <is>
          <t>HUN</t>
        </is>
      </c>
      <c r="C4287" t="n">
        <v>2021</v>
      </c>
      <c r="D4287" t="n">
        <v>5.11096534382855</v>
      </c>
    </row>
    <row r="4288">
      <c r="A4288" t="inlineStr">
        <is>
          <t>Hungary</t>
        </is>
      </c>
      <c r="B4288" t="inlineStr">
        <is>
          <t>HUN</t>
        </is>
      </c>
      <c r="C4288" t="n">
        <v>2022</v>
      </c>
      <c r="D4288" t="n">
        <v>14.6081439492433</v>
      </c>
    </row>
    <row r="4289">
      <c r="A4289" t="inlineStr">
        <is>
          <t>Hungary</t>
        </is>
      </c>
      <c r="B4289" t="inlineStr">
        <is>
          <t>HUN</t>
        </is>
      </c>
      <c r="C4289" t="n">
        <v>2023</v>
      </c>
      <c r="D4289" t="n">
        <v>17.1249659678737</v>
      </c>
    </row>
    <row r="4290">
      <c r="A4290" t="inlineStr">
        <is>
          <t>Hungary</t>
        </is>
      </c>
      <c r="B4290" t="inlineStr">
        <is>
          <t>HUN</t>
        </is>
      </c>
      <c r="C4290" t="n">
        <v>2024</v>
      </c>
      <c r="D4290" t="n">
        <v>3.70370370370369</v>
      </c>
    </row>
    <row r="4291">
      <c r="A4291" t="inlineStr">
        <is>
          <t>IBRD only</t>
        </is>
      </c>
      <c r="B4291" t="inlineStr">
        <is>
          <t>IBD</t>
        </is>
      </c>
      <c r="C4291" t="n">
        <v>1971</v>
      </c>
      <c r="D4291" t="n">
        <v>4.00930648268453</v>
      </c>
    </row>
    <row r="4292">
      <c r="A4292" t="inlineStr">
        <is>
          <t>IBRD only</t>
        </is>
      </c>
      <c r="B4292" t="inlineStr">
        <is>
          <t>IBD</t>
        </is>
      </c>
      <c r="C4292" t="n">
        <v>1972</v>
      </c>
      <c r="D4292" t="n">
        <v>6.41195887004023</v>
      </c>
    </row>
    <row r="4293">
      <c r="A4293" t="inlineStr">
        <is>
          <t>IBRD only</t>
        </is>
      </c>
      <c r="B4293" t="inlineStr">
        <is>
          <t>IBD</t>
        </is>
      </c>
      <c r="C4293" t="n">
        <v>1973</v>
      </c>
      <c r="D4293" t="n">
        <v>13.1238462026398</v>
      </c>
    </row>
    <row r="4294">
      <c r="A4294" t="inlineStr">
        <is>
          <t>IBRD only</t>
        </is>
      </c>
      <c r="B4294" t="inlineStr">
        <is>
          <t>IBD</t>
        </is>
      </c>
      <c r="C4294" t="n">
        <v>1974</v>
      </c>
      <c r="D4294" t="n">
        <v>22.3645294471888</v>
      </c>
    </row>
    <row r="4295">
      <c r="A4295" t="inlineStr">
        <is>
          <t>IBRD only</t>
        </is>
      </c>
      <c r="B4295" t="inlineStr">
        <is>
          <t>IBD</t>
        </is>
      </c>
      <c r="C4295" t="n">
        <v>1975</v>
      </c>
      <c r="D4295" t="n">
        <v>13.4259248530376</v>
      </c>
    </row>
    <row r="4296">
      <c r="A4296" t="inlineStr">
        <is>
          <t>IBRD only</t>
        </is>
      </c>
      <c r="B4296" t="inlineStr">
        <is>
          <t>IBD</t>
        </is>
      </c>
      <c r="C4296" t="n">
        <v>1976</v>
      </c>
      <c r="D4296" t="n">
        <v>10.3174158877413</v>
      </c>
    </row>
    <row r="4297">
      <c r="A4297" t="inlineStr">
        <is>
          <t>IBRD only</t>
        </is>
      </c>
      <c r="B4297" t="inlineStr">
        <is>
          <t>IBD</t>
        </is>
      </c>
      <c r="C4297" t="n">
        <v>1977</v>
      </c>
      <c r="D4297" t="n">
        <v>11.8202775391489</v>
      </c>
    </row>
    <row r="4298">
      <c r="A4298" t="inlineStr">
        <is>
          <t>IBRD only</t>
        </is>
      </c>
      <c r="B4298" t="inlineStr">
        <is>
          <t>IBD</t>
        </is>
      </c>
      <c r="C4298" t="n">
        <v>1978</v>
      </c>
      <c r="D4298" t="n">
        <v>10.3556722757191</v>
      </c>
    </row>
    <row r="4299">
      <c r="A4299" t="inlineStr">
        <is>
          <t>IBRD only</t>
        </is>
      </c>
      <c r="B4299" t="inlineStr">
        <is>
          <t>IBD</t>
        </is>
      </c>
      <c r="C4299" t="n">
        <v>1979</v>
      </c>
      <c r="D4299" t="n">
        <v>12.825002382747</v>
      </c>
    </row>
    <row r="4300">
      <c r="A4300" t="inlineStr">
        <is>
          <t>IBRD only</t>
        </is>
      </c>
      <c r="B4300" t="inlineStr">
        <is>
          <t>IBD</t>
        </is>
      </c>
      <c r="C4300" t="n">
        <v>1980</v>
      </c>
      <c r="D4300" t="n">
        <v>17.4703042795772</v>
      </c>
    </row>
    <row r="4301">
      <c r="A4301" t="inlineStr">
        <is>
          <t>IBRD only</t>
        </is>
      </c>
      <c r="B4301" t="inlineStr">
        <is>
          <t>IBD</t>
        </is>
      </c>
      <c r="C4301" t="n">
        <v>1981</v>
      </c>
      <c r="D4301" t="n">
        <v>14.1899276364131</v>
      </c>
    </row>
    <row r="4302">
      <c r="A4302" t="inlineStr">
        <is>
          <t>IBRD only</t>
        </is>
      </c>
      <c r="B4302" t="inlineStr">
        <is>
          <t>IBD</t>
        </is>
      </c>
      <c r="C4302" t="n">
        <v>1982</v>
      </c>
      <c r="D4302" t="n">
        <v>10.8325068623836</v>
      </c>
    </row>
    <row r="4303">
      <c r="A4303" t="inlineStr">
        <is>
          <t>IBRD only</t>
        </is>
      </c>
      <c r="B4303" t="inlineStr">
        <is>
          <t>IBD</t>
        </is>
      </c>
      <c r="C4303" t="n">
        <v>1983</v>
      </c>
      <c r="D4303" t="n">
        <v>11.8339109100955</v>
      </c>
    </row>
    <row r="4304">
      <c r="A4304" t="inlineStr">
        <is>
          <t>IBRD only</t>
        </is>
      </c>
      <c r="B4304" t="inlineStr">
        <is>
          <t>IBD</t>
        </is>
      </c>
      <c r="C4304" t="n">
        <v>1984</v>
      </c>
      <c r="D4304" t="n">
        <v>12.4475693291853</v>
      </c>
    </row>
    <row r="4305">
      <c r="A4305" t="inlineStr">
        <is>
          <t>IBRD only</t>
        </is>
      </c>
      <c r="B4305" t="inlineStr">
        <is>
          <t>IBD</t>
        </is>
      </c>
      <c r="C4305" t="n">
        <v>1985</v>
      </c>
      <c r="D4305" t="n">
        <v>11.5212607368495</v>
      </c>
    </row>
    <row r="4306">
      <c r="A4306" t="inlineStr">
        <is>
          <t>IBRD only</t>
        </is>
      </c>
      <c r="B4306" t="inlineStr">
        <is>
          <t>IBD</t>
        </is>
      </c>
      <c r="C4306" t="n">
        <v>1986</v>
      </c>
      <c r="D4306" t="n">
        <v>10.9183887271061</v>
      </c>
    </row>
    <row r="4307">
      <c r="A4307" t="inlineStr">
        <is>
          <t>IBRD only</t>
        </is>
      </c>
      <c r="B4307" t="inlineStr">
        <is>
          <t>IBD</t>
        </is>
      </c>
      <c r="C4307" t="n">
        <v>1987</v>
      </c>
      <c r="D4307" t="n">
        <v>9.80193387398675</v>
      </c>
    </row>
    <row r="4308">
      <c r="A4308" t="inlineStr">
        <is>
          <t>IBRD only</t>
        </is>
      </c>
      <c r="B4308" t="inlineStr">
        <is>
          <t>IBD</t>
        </is>
      </c>
      <c r="C4308" t="n">
        <v>1988</v>
      </c>
      <c r="D4308" t="n">
        <v>10.8327037689913</v>
      </c>
    </row>
    <row r="4309">
      <c r="A4309" t="inlineStr">
        <is>
          <t>IBRD only</t>
        </is>
      </c>
      <c r="B4309" t="inlineStr">
        <is>
          <t>IBD</t>
        </is>
      </c>
      <c r="C4309" t="n">
        <v>1989</v>
      </c>
      <c r="D4309" t="n">
        <v>14.3295390328572</v>
      </c>
    </row>
    <row r="4310">
      <c r="A4310" t="inlineStr">
        <is>
          <t>IBRD only</t>
        </is>
      </c>
      <c r="B4310" t="inlineStr">
        <is>
          <t>IBD</t>
        </is>
      </c>
      <c r="C4310" t="n">
        <v>1990</v>
      </c>
      <c r="D4310" t="n">
        <v>16.1921375615233</v>
      </c>
    </row>
    <row r="4311">
      <c r="A4311" t="inlineStr">
        <is>
          <t>IBRD only</t>
        </is>
      </c>
      <c r="B4311" t="inlineStr">
        <is>
          <t>IBD</t>
        </is>
      </c>
      <c r="C4311" t="n">
        <v>1991</v>
      </c>
      <c r="D4311" t="n">
        <v>19.505001673093</v>
      </c>
    </row>
    <row r="4312">
      <c r="A4312" t="inlineStr">
        <is>
          <t>IBRD only</t>
        </is>
      </c>
      <c r="B4312" t="inlineStr">
        <is>
          <t>IBD</t>
        </is>
      </c>
      <c r="C4312" t="n">
        <v>1992</v>
      </c>
      <c r="D4312" t="n">
        <v>13.6374241717218</v>
      </c>
    </row>
    <row r="4313">
      <c r="A4313" t="inlineStr">
        <is>
          <t>IBRD only</t>
        </is>
      </c>
      <c r="B4313" t="inlineStr">
        <is>
          <t>IBD</t>
        </is>
      </c>
      <c r="C4313" t="n">
        <v>1993</v>
      </c>
      <c r="D4313" t="n">
        <v>14.3308033365888</v>
      </c>
    </row>
    <row r="4314">
      <c r="A4314" t="inlineStr">
        <is>
          <t>IBRD only</t>
        </is>
      </c>
      <c r="B4314" t="inlineStr">
        <is>
          <t>IBD</t>
        </is>
      </c>
      <c r="C4314" t="n">
        <v>1994</v>
      </c>
      <c r="D4314" t="n">
        <v>22.705647224337</v>
      </c>
    </row>
    <row r="4315">
      <c r="A4315" t="inlineStr">
        <is>
          <t>IBRD only</t>
        </is>
      </c>
      <c r="B4315" t="inlineStr">
        <is>
          <t>IBD</t>
        </is>
      </c>
      <c r="C4315" t="n">
        <v>1995</v>
      </c>
      <c r="D4315" t="n">
        <v>14.5838224334002</v>
      </c>
    </row>
    <row r="4316">
      <c r="A4316" t="inlineStr">
        <is>
          <t>IBRD only</t>
        </is>
      </c>
      <c r="B4316" t="inlineStr">
        <is>
          <t>IBD</t>
        </is>
      </c>
      <c r="C4316" t="n">
        <v>1996</v>
      </c>
      <c r="D4316" t="n">
        <v>10.0828580652108</v>
      </c>
    </row>
    <row r="4317">
      <c r="A4317" t="inlineStr">
        <is>
          <t>IBRD only</t>
        </is>
      </c>
      <c r="B4317" t="inlineStr">
        <is>
          <t>IBD</t>
        </is>
      </c>
      <c r="C4317" t="n">
        <v>1997</v>
      </c>
      <c r="D4317" t="n">
        <v>7.71053878969885</v>
      </c>
    </row>
    <row r="4318">
      <c r="A4318" t="inlineStr">
        <is>
          <t>IBRD only</t>
        </is>
      </c>
      <c r="B4318" t="inlineStr">
        <is>
          <t>IBD</t>
        </is>
      </c>
      <c r="C4318" t="n">
        <v>1998</v>
      </c>
      <c r="D4318" t="n">
        <v>7.2661980440096</v>
      </c>
    </row>
    <row r="4319">
      <c r="A4319" t="inlineStr">
        <is>
          <t>IBRD only</t>
        </is>
      </c>
      <c r="B4319" t="inlineStr">
        <is>
          <t>IBD</t>
        </is>
      </c>
      <c r="C4319" t="n">
        <v>1999</v>
      </c>
      <c r="D4319" t="n">
        <v>5.01996827507182</v>
      </c>
    </row>
    <row r="4320">
      <c r="A4320" t="inlineStr">
        <is>
          <t>IBRD only</t>
        </is>
      </c>
      <c r="B4320" t="inlineStr">
        <is>
          <t>IBD</t>
        </is>
      </c>
      <c r="C4320" t="n">
        <v>2000</v>
      </c>
      <c r="D4320" t="n">
        <v>4.68757013735526</v>
      </c>
    </row>
    <row r="4321">
      <c r="A4321" t="inlineStr">
        <is>
          <t>IBRD only</t>
        </is>
      </c>
      <c r="B4321" t="inlineStr">
        <is>
          <t>IBD</t>
        </is>
      </c>
      <c r="C4321" t="n">
        <v>2001</v>
      </c>
      <c r="D4321" t="n">
        <v>5.39883985897829</v>
      </c>
    </row>
    <row r="4322">
      <c r="A4322" t="inlineStr">
        <is>
          <t>IBRD only</t>
        </is>
      </c>
      <c r="B4322" t="inlineStr">
        <is>
          <t>IBD</t>
        </is>
      </c>
      <c r="C4322" t="n">
        <v>2002</v>
      </c>
      <c r="D4322" t="n">
        <v>4.1500586166472</v>
      </c>
    </row>
    <row r="4323">
      <c r="A4323" t="inlineStr">
        <is>
          <t>IBRD only</t>
        </is>
      </c>
      <c r="B4323" t="inlineStr">
        <is>
          <t>IBD</t>
        </is>
      </c>
      <c r="C4323" t="n">
        <v>2003</v>
      </c>
      <c r="D4323" t="n">
        <v>4.09500376698849</v>
      </c>
    </row>
    <row r="4324">
      <c r="A4324" t="inlineStr">
        <is>
          <t>IBRD only</t>
        </is>
      </c>
      <c r="B4324" t="inlineStr">
        <is>
          <t>IBD</t>
        </is>
      </c>
      <c r="C4324" t="n">
        <v>2004</v>
      </c>
      <c r="D4324" t="n">
        <v>4.69938972474511</v>
      </c>
    </row>
    <row r="4325">
      <c r="A4325" t="inlineStr">
        <is>
          <t>IBRD only</t>
        </is>
      </c>
      <c r="B4325" t="inlineStr">
        <is>
          <t>IBD</t>
        </is>
      </c>
      <c r="C4325" t="n">
        <v>2005</v>
      </c>
      <c r="D4325" t="n">
        <v>4.90328350926887</v>
      </c>
    </row>
    <row r="4326">
      <c r="A4326" t="inlineStr">
        <is>
          <t>IBRD only</t>
        </is>
      </c>
      <c r="B4326" t="inlineStr">
        <is>
          <t>IBD</t>
        </is>
      </c>
      <c r="C4326" t="n">
        <v>2006</v>
      </c>
      <c r="D4326" t="n">
        <v>5.64087772156342</v>
      </c>
    </row>
    <row r="4327">
      <c r="A4327" t="inlineStr">
        <is>
          <t>IBRD only</t>
        </is>
      </c>
      <c r="B4327" t="inlineStr">
        <is>
          <t>IBD</t>
        </is>
      </c>
      <c r="C4327" t="n">
        <v>2007</v>
      </c>
      <c r="D4327" t="n">
        <v>5.43249256550149</v>
      </c>
    </row>
    <row r="4328">
      <c r="A4328" t="inlineStr">
        <is>
          <t>IBRD only</t>
        </is>
      </c>
      <c r="B4328" t="inlineStr">
        <is>
          <t>IBD</t>
        </is>
      </c>
      <c r="C4328" t="n">
        <v>2008</v>
      </c>
      <c r="D4328" t="n">
        <v>9.413463121698459</v>
      </c>
    </row>
    <row r="4329">
      <c r="A4329" t="inlineStr">
        <is>
          <t>IBRD only</t>
        </is>
      </c>
      <c r="B4329" t="inlineStr">
        <is>
          <t>IBD</t>
        </is>
      </c>
      <c r="C4329" t="n">
        <v>2009</v>
      </c>
      <c r="D4329" t="n">
        <v>3.73014786563162</v>
      </c>
    </row>
    <row r="4330">
      <c r="A4330" t="inlineStr">
        <is>
          <t>IBRD only</t>
        </is>
      </c>
      <c r="B4330" t="inlineStr">
        <is>
          <t>IBD</t>
        </is>
      </c>
      <c r="C4330" t="n">
        <v>2010</v>
      </c>
      <c r="D4330" t="n">
        <v>4.11211139315219</v>
      </c>
    </row>
    <row r="4331">
      <c r="A4331" t="inlineStr">
        <is>
          <t>IBRD only</t>
        </is>
      </c>
      <c r="B4331" t="inlineStr">
        <is>
          <t>IBD</t>
        </is>
      </c>
      <c r="C4331" t="n">
        <v>2011</v>
      </c>
      <c r="D4331" t="n">
        <v>5.55389892257493</v>
      </c>
    </row>
    <row r="4332">
      <c r="A4332" t="inlineStr">
        <is>
          <t>IBRD only</t>
        </is>
      </c>
      <c r="B4332" t="inlineStr">
        <is>
          <t>IBD</t>
        </is>
      </c>
      <c r="C4332" t="n">
        <v>2012</v>
      </c>
      <c r="D4332" t="n">
        <v>4.27949999641975</v>
      </c>
    </row>
    <row r="4333">
      <c r="A4333" t="inlineStr">
        <is>
          <t>IBRD only</t>
        </is>
      </c>
      <c r="B4333" t="inlineStr">
        <is>
          <t>IBD</t>
        </is>
      </c>
      <c r="C4333" t="n">
        <v>2013</v>
      </c>
      <c r="D4333" t="n">
        <v>3.89555152647667</v>
      </c>
    </row>
    <row r="4334">
      <c r="A4334" t="inlineStr">
        <is>
          <t>IBRD only</t>
        </is>
      </c>
      <c r="B4334" t="inlineStr">
        <is>
          <t>IBD</t>
        </is>
      </c>
      <c r="C4334" t="n">
        <v>2014</v>
      </c>
      <c r="D4334" t="n">
        <v>3.50379093139812</v>
      </c>
    </row>
    <row r="4335">
      <c r="A4335" t="inlineStr">
        <is>
          <t>IBRD only</t>
        </is>
      </c>
      <c r="B4335" t="inlineStr">
        <is>
          <t>IBD</t>
        </is>
      </c>
      <c r="C4335" t="n">
        <v>2015</v>
      </c>
      <c r="D4335" t="n">
        <v>3.26150906442242</v>
      </c>
    </row>
    <row r="4336">
      <c r="A4336" t="inlineStr">
        <is>
          <t>IBRD only</t>
        </is>
      </c>
      <c r="B4336" t="inlineStr">
        <is>
          <t>IBD</t>
        </is>
      </c>
      <c r="C4336" t="n">
        <v>2016</v>
      </c>
      <c r="D4336" t="n">
        <v>2.12081713361587</v>
      </c>
    </row>
    <row r="4337">
      <c r="A4337" t="inlineStr">
        <is>
          <t>IBRD only</t>
        </is>
      </c>
      <c r="B4337" t="inlineStr">
        <is>
          <t>IBD</t>
        </is>
      </c>
      <c r="C4337" t="n">
        <v>2017</v>
      </c>
      <c r="D4337" t="n">
        <v>3.32389447576097</v>
      </c>
    </row>
    <row r="4338">
      <c r="A4338" t="inlineStr">
        <is>
          <t>IBRD only</t>
        </is>
      </c>
      <c r="B4338" t="inlineStr">
        <is>
          <t>IBD</t>
        </is>
      </c>
      <c r="C4338" t="n">
        <v>2018</v>
      </c>
      <c r="D4338" t="n">
        <v>3.21605383144587</v>
      </c>
    </row>
    <row r="4339">
      <c r="A4339" t="inlineStr">
        <is>
          <t>IBRD only</t>
        </is>
      </c>
      <c r="B4339" t="inlineStr">
        <is>
          <t>IBD</t>
        </is>
      </c>
      <c r="C4339" t="n">
        <v>2019</v>
      </c>
      <c r="D4339" t="n">
        <v>2.55754475703327</v>
      </c>
    </row>
    <row r="4340">
      <c r="A4340" t="inlineStr">
        <is>
          <t>IBRD only</t>
        </is>
      </c>
      <c r="B4340" t="inlineStr">
        <is>
          <t>IBD</t>
        </is>
      </c>
      <c r="C4340" t="n">
        <v>2020</v>
      </c>
      <c r="D4340" t="n">
        <v>2.40414666699827</v>
      </c>
    </row>
    <row r="4341">
      <c r="A4341" t="inlineStr">
        <is>
          <t>IBRD only</t>
        </is>
      </c>
      <c r="B4341" t="inlineStr">
        <is>
          <t>IBD</t>
        </is>
      </c>
      <c r="C4341" t="n">
        <v>2021</v>
      </c>
      <c r="D4341" t="n">
        <v>4.26635754479805</v>
      </c>
    </row>
    <row r="4342">
      <c r="A4342" t="inlineStr">
        <is>
          <t>IBRD only</t>
        </is>
      </c>
      <c r="B4342" t="inlineStr">
        <is>
          <t>IBD</t>
        </is>
      </c>
      <c r="C4342" t="n">
        <v>2022</v>
      </c>
      <c r="D4342" t="n">
        <v>8.811092092795869</v>
      </c>
    </row>
    <row r="4343">
      <c r="A4343" t="inlineStr">
        <is>
          <t>IBRD only</t>
        </is>
      </c>
      <c r="B4343" t="inlineStr">
        <is>
          <t>IBD</t>
        </is>
      </c>
      <c r="C4343" t="n">
        <v>2023</v>
      </c>
      <c r="D4343" t="n">
        <v>5.97802515541409</v>
      </c>
    </row>
    <row r="4344">
      <c r="A4344" t="inlineStr">
        <is>
          <t>IDA &amp; IBRD total</t>
        </is>
      </c>
      <c r="B4344" t="inlineStr">
        <is>
          <t>IBT</t>
        </is>
      </c>
      <c r="C4344" t="n">
        <v>1977</v>
      </c>
      <c r="D4344" t="n">
        <v>11.8930447524803</v>
      </c>
    </row>
    <row r="4345">
      <c r="A4345" t="inlineStr">
        <is>
          <t>IDA &amp; IBRD total</t>
        </is>
      </c>
      <c r="B4345" t="inlineStr">
        <is>
          <t>IBT</t>
        </is>
      </c>
      <c r="C4345" t="n">
        <v>1978</v>
      </c>
      <c r="D4345" t="n">
        <v>9.53338085606525</v>
      </c>
    </row>
    <row r="4346">
      <c r="A4346" t="inlineStr">
        <is>
          <t>IDA &amp; IBRD total</t>
        </is>
      </c>
      <c r="B4346" t="inlineStr">
        <is>
          <t>IBT</t>
        </is>
      </c>
      <c r="C4346" t="n">
        <v>1980</v>
      </c>
      <c r="D4346" t="n">
        <v>15.48791145902</v>
      </c>
    </row>
    <row r="4347">
      <c r="A4347" t="inlineStr">
        <is>
          <t>IDA &amp; IBRD total</t>
        </is>
      </c>
      <c r="B4347" t="inlineStr">
        <is>
          <t>IBT</t>
        </is>
      </c>
      <c r="C4347" t="n">
        <v>1981</v>
      </c>
      <c r="D4347" t="n">
        <v>13.0286479969935</v>
      </c>
    </row>
    <row r="4348">
      <c r="A4348" t="inlineStr">
        <is>
          <t>IDA &amp; IBRD total</t>
        </is>
      </c>
      <c r="B4348" t="inlineStr">
        <is>
          <t>IBT</t>
        </is>
      </c>
      <c r="C4348" t="n">
        <v>1982</v>
      </c>
      <c r="D4348" t="n">
        <v>10.816585254705</v>
      </c>
    </row>
    <row r="4349">
      <c r="A4349" t="inlineStr">
        <is>
          <t>IDA &amp; IBRD total</t>
        </is>
      </c>
      <c r="B4349" t="inlineStr">
        <is>
          <t>IBT</t>
        </is>
      </c>
      <c r="C4349" t="n">
        <v>1983</v>
      </c>
      <c r="D4349" t="n">
        <v>10.620753648024</v>
      </c>
    </row>
    <row r="4350">
      <c r="A4350" t="inlineStr">
        <is>
          <t>IDA &amp; IBRD total</t>
        </is>
      </c>
      <c r="B4350" t="inlineStr">
        <is>
          <t>IBT</t>
        </is>
      </c>
      <c r="C4350" t="n">
        <v>1984</v>
      </c>
      <c r="D4350" t="n">
        <v>10.284098213138</v>
      </c>
    </row>
    <row r="4351">
      <c r="A4351" t="inlineStr">
        <is>
          <t>IDA &amp; IBRD total</t>
        </is>
      </c>
      <c r="B4351" t="inlineStr">
        <is>
          <t>IBT</t>
        </is>
      </c>
      <c r="C4351" t="n">
        <v>1985</v>
      </c>
      <c r="D4351" t="n">
        <v>8.50837434391595</v>
      </c>
    </row>
    <row r="4352">
      <c r="A4352" t="inlineStr">
        <is>
          <t>IDA &amp; IBRD total</t>
        </is>
      </c>
      <c r="B4352" t="inlineStr">
        <is>
          <t>IBT</t>
        </is>
      </c>
      <c r="C4352" t="n">
        <v>1986</v>
      </c>
      <c r="D4352" t="n">
        <v>8.35304133136604</v>
      </c>
    </row>
    <row r="4353">
      <c r="A4353" t="inlineStr">
        <is>
          <t>IDA &amp; IBRD total</t>
        </is>
      </c>
      <c r="B4353" t="inlineStr">
        <is>
          <t>IBT</t>
        </is>
      </c>
      <c r="C4353" t="n">
        <v>1987</v>
      </c>
      <c r="D4353" t="n">
        <v>8.189074494810811</v>
      </c>
    </row>
    <row r="4354">
      <c r="A4354" t="inlineStr">
        <is>
          <t>IDA &amp; IBRD total</t>
        </is>
      </c>
      <c r="B4354" t="inlineStr">
        <is>
          <t>IBT</t>
        </is>
      </c>
      <c r="C4354" t="n">
        <v>1988</v>
      </c>
      <c r="D4354" t="n">
        <v>8.91047020013381</v>
      </c>
    </row>
    <row r="4355">
      <c r="A4355" t="inlineStr">
        <is>
          <t>IDA &amp; IBRD total</t>
        </is>
      </c>
      <c r="B4355" t="inlineStr">
        <is>
          <t>IBT</t>
        </is>
      </c>
      <c r="C4355" t="n">
        <v>1989</v>
      </c>
      <c r="D4355" t="n">
        <v>8.929941428940261</v>
      </c>
    </row>
    <row r="4356">
      <c r="A4356" t="inlineStr">
        <is>
          <t>IDA &amp; IBRD total</t>
        </is>
      </c>
      <c r="B4356" t="inlineStr">
        <is>
          <t>IBT</t>
        </is>
      </c>
      <c r="C4356" t="n">
        <v>1990</v>
      </c>
      <c r="D4356" t="n">
        <v>10.8589657782787</v>
      </c>
    </row>
    <row r="4357">
      <c r="A4357" t="inlineStr">
        <is>
          <t>IDA &amp; IBRD total</t>
        </is>
      </c>
      <c r="B4357" t="inlineStr">
        <is>
          <t>IBT</t>
        </is>
      </c>
      <c r="C4357" t="n">
        <v>1991</v>
      </c>
      <c r="D4357" t="n">
        <v>12.4452441633871</v>
      </c>
    </row>
    <row r="4358">
      <c r="A4358" t="inlineStr">
        <is>
          <t>IDA &amp; IBRD total</t>
        </is>
      </c>
      <c r="B4358" t="inlineStr">
        <is>
          <t>IBT</t>
        </is>
      </c>
      <c r="C4358" t="n">
        <v>1992</v>
      </c>
      <c r="D4358" t="n">
        <v>10.0561167448841</v>
      </c>
    </row>
    <row r="4359">
      <c r="A4359" t="inlineStr">
        <is>
          <t>IDA &amp; IBRD total</t>
        </is>
      </c>
      <c r="B4359" t="inlineStr">
        <is>
          <t>IBT</t>
        </is>
      </c>
      <c r="C4359" t="n">
        <v>1993</v>
      </c>
      <c r="D4359" t="n">
        <v>10.6332425818307</v>
      </c>
    </row>
    <row r="4360">
      <c r="A4360" t="inlineStr">
        <is>
          <t>IDA &amp; IBRD total</t>
        </is>
      </c>
      <c r="B4360" t="inlineStr">
        <is>
          <t>IBT</t>
        </is>
      </c>
      <c r="C4360" t="n">
        <v>1994</v>
      </c>
      <c r="D4360" t="n">
        <v>20.5661948376355</v>
      </c>
    </row>
    <row r="4361">
      <c r="A4361" t="inlineStr">
        <is>
          <t>IDA &amp; IBRD total</t>
        </is>
      </c>
      <c r="B4361" t="inlineStr">
        <is>
          <t>IBT</t>
        </is>
      </c>
      <c r="C4361" t="n">
        <v>1995</v>
      </c>
      <c r="D4361" t="n">
        <v>11.1287029707089</v>
      </c>
    </row>
    <row r="4362">
      <c r="A4362" t="inlineStr">
        <is>
          <t>IDA &amp; IBRD total</t>
        </is>
      </c>
      <c r="B4362" t="inlineStr">
        <is>
          <t>IBT</t>
        </is>
      </c>
      <c r="C4362" t="n">
        <v>1996</v>
      </c>
      <c r="D4362" t="n">
        <v>8.827050617563421</v>
      </c>
    </row>
    <row r="4363">
      <c r="A4363" t="inlineStr">
        <is>
          <t>IDA &amp; IBRD total</t>
        </is>
      </c>
      <c r="B4363" t="inlineStr">
        <is>
          <t>IBT</t>
        </is>
      </c>
      <c r="C4363" t="n">
        <v>1997</v>
      </c>
      <c r="D4363" t="n">
        <v>7.12532722513057</v>
      </c>
    </row>
    <row r="4364">
      <c r="A4364" t="inlineStr">
        <is>
          <t>IDA &amp; IBRD total</t>
        </is>
      </c>
      <c r="B4364" t="inlineStr">
        <is>
          <t>IBT</t>
        </is>
      </c>
      <c r="C4364" t="n">
        <v>1998</v>
      </c>
      <c r="D4364" t="n">
        <v>6.81079323797192</v>
      </c>
    </row>
    <row r="4365">
      <c r="A4365" t="inlineStr">
        <is>
          <t>IDA &amp; IBRD total</t>
        </is>
      </c>
      <c r="B4365" t="inlineStr">
        <is>
          <t>IBT</t>
        </is>
      </c>
      <c r="C4365" t="n">
        <v>1999</v>
      </c>
      <c r="D4365" t="n">
        <v>4.46435467675891</v>
      </c>
    </row>
    <row r="4366">
      <c r="A4366" t="inlineStr">
        <is>
          <t>IDA &amp; IBRD total</t>
        </is>
      </c>
      <c r="B4366" t="inlineStr">
        <is>
          <t>IBT</t>
        </is>
      </c>
      <c r="C4366" t="n">
        <v>2000</v>
      </c>
      <c r="D4366" t="n">
        <v>4.18234633956544</v>
      </c>
    </row>
    <row r="4367">
      <c r="A4367" t="inlineStr">
        <is>
          <t>IDA &amp; IBRD total</t>
        </is>
      </c>
      <c r="B4367" t="inlineStr">
        <is>
          <t>IBT</t>
        </is>
      </c>
      <c r="C4367" t="n">
        <v>2001</v>
      </c>
      <c r="D4367" t="n">
        <v>5.00743290822373</v>
      </c>
    </row>
    <row r="4368">
      <c r="A4368" t="inlineStr">
        <is>
          <t>IDA &amp; IBRD total</t>
        </is>
      </c>
      <c r="B4368" t="inlineStr">
        <is>
          <t>IBT</t>
        </is>
      </c>
      <c r="C4368" t="n">
        <v>2002</v>
      </c>
      <c r="D4368" t="n">
        <v>3.8957052575849</v>
      </c>
    </row>
    <row r="4369">
      <c r="A4369" t="inlineStr">
        <is>
          <t>IDA &amp; IBRD total</t>
        </is>
      </c>
      <c r="B4369" t="inlineStr">
        <is>
          <t>IBT</t>
        </is>
      </c>
      <c r="C4369" t="n">
        <v>2003</v>
      </c>
      <c r="D4369" t="n">
        <v>4.52733824219011</v>
      </c>
    </row>
    <row r="4370">
      <c r="A4370" t="inlineStr">
        <is>
          <t>IDA &amp; IBRD total</t>
        </is>
      </c>
      <c r="B4370" t="inlineStr">
        <is>
          <t>IBT</t>
        </is>
      </c>
      <c r="C4370" t="n">
        <v>2004</v>
      </c>
      <c r="D4370" t="n">
        <v>4.46346840736575</v>
      </c>
    </row>
    <row r="4371">
      <c r="A4371" t="inlineStr">
        <is>
          <t>IDA &amp; IBRD total</t>
        </is>
      </c>
      <c r="B4371" t="inlineStr">
        <is>
          <t>IBT</t>
        </is>
      </c>
      <c r="C4371" t="n">
        <v>2005</v>
      </c>
      <c r="D4371" t="n">
        <v>6.08218729535043</v>
      </c>
    </row>
    <row r="4372">
      <c r="A4372" t="inlineStr">
        <is>
          <t>IDA &amp; IBRD total</t>
        </is>
      </c>
      <c r="B4372" t="inlineStr">
        <is>
          <t>IBT</t>
        </is>
      </c>
      <c r="C4372" t="n">
        <v>2006</v>
      </c>
      <c r="D4372" t="n">
        <v>6.12556615620285</v>
      </c>
    </row>
    <row r="4373">
      <c r="A4373" t="inlineStr">
        <is>
          <t>IDA &amp; IBRD total</t>
        </is>
      </c>
      <c r="B4373" t="inlineStr">
        <is>
          <t>IBT</t>
        </is>
      </c>
      <c r="C4373" t="n">
        <v>2007</v>
      </c>
      <c r="D4373" t="n">
        <v>6.14356655248047</v>
      </c>
    </row>
    <row r="4374">
      <c r="A4374" t="inlineStr">
        <is>
          <t>IDA &amp; IBRD total</t>
        </is>
      </c>
      <c r="B4374" t="inlineStr">
        <is>
          <t>IBT</t>
        </is>
      </c>
      <c r="C4374" t="n">
        <v>2008</v>
      </c>
      <c r="D4374" t="n">
        <v>10.2783937621135</v>
      </c>
    </row>
    <row r="4375">
      <c r="A4375" t="inlineStr">
        <is>
          <t>IDA &amp; IBRD total</t>
        </is>
      </c>
      <c r="B4375" t="inlineStr">
        <is>
          <t>IBT</t>
        </is>
      </c>
      <c r="C4375" t="n">
        <v>2009</v>
      </c>
      <c r="D4375" t="n">
        <v>3.99895451849944</v>
      </c>
    </row>
    <row r="4376">
      <c r="A4376" t="inlineStr">
        <is>
          <t>IDA &amp; IBRD total</t>
        </is>
      </c>
      <c r="B4376" t="inlineStr">
        <is>
          <t>IBT</t>
        </is>
      </c>
      <c r="C4376" t="n">
        <v>2010</v>
      </c>
      <c r="D4376" t="n">
        <v>4.06749555950263</v>
      </c>
    </row>
    <row r="4377">
      <c r="A4377" t="inlineStr">
        <is>
          <t>IDA &amp; IBRD total</t>
        </is>
      </c>
      <c r="B4377" t="inlineStr">
        <is>
          <t>IBT</t>
        </is>
      </c>
      <c r="C4377" t="n">
        <v>2011</v>
      </c>
      <c r="D4377" t="n">
        <v>5.79911173145917</v>
      </c>
    </row>
    <row r="4378">
      <c r="A4378" t="inlineStr">
        <is>
          <t>IDA &amp; IBRD total</t>
        </is>
      </c>
      <c r="B4378" t="inlineStr">
        <is>
          <t>IBT</t>
        </is>
      </c>
      <c r="C4378" t="n">
        <v>2012</v>
      </c>
      <c r="D4378" t="n">
        <v>5.00686319367273</v>
      </c>
    </row>
    <row r="4379">
      <c r="A4379" t="inlineStr">
        <is>
          <t>IDA &amp; IBRD total</t>
        </is>
      </c>
      <c r="B4379" t="inlineStr">
        <is>
          <t>IBT</t>
        </is>
      </c>
      <c r="C4379" t="n">
        <v>2013</v>
      </c>
      <c r="D4379" t="n">
        <v>4.3411548980431</v>
      </c>
    </row>
    <row r="4380">
      <c r="A4380" t="inlineStr">
        <is>
          <t>IDA &amp; IBRD total</t>
        </is>
      </c>
      <c r="B4380" t="inlineStr">
        <is>
          <t>IBT</t>
        </is>
      </c>
      <c r="C4380" t="n">
        <v>2014</v>
      </c>
      <c r="D4380" t="n">
        <v>3.51695551369241</v>
      </c>
    </row>
    <row r="4381">
      <c r="A4381" t="inlineStr">
        <is>
          <t>IDA &amp; IBRD total</t>
        </is>
      </c>
      <c r="B4381" t="inlineStr">
        <is>
          <t>IBT</t>
        </is>
      </c>
      <c r="C4381" t="n">
        <v>2015</v>
      </c>
      <c r="D4381" t="n">
        <v>3.16346457365876</v>
      </c>
    </row>
    <row r="4382">
      <c r="A4382" t="inlineStr">
        <is>
          <t>IDA &amp; IBRD total</t>
        </is>
      </c>
      <c r="B4382" t="inlineStr">
        <is>
          <t>IBT</t>
        </is>
      </c>
      <c r="C4382" t="n">
        <v>2016</v>
      </c>
      <c r="D4382" t="n">
        <v>2.81833288054802</v>
      </c>
    </row>
    <row r="4383">
      <c r="A4383" t="inlineStr">
        <is>
          <t>IDA &amp; IBRD total</t>
        </is>
      </c>
      <c r="B4383" t="inlineStr">
        <is>
          <t>IBT</t>
        </is>
      </c>
      <c r="C4383" t="n">
        <v>2017</v>
      </c>
      <c r="D4383" t="n">
        <v>3.44637335032669</v>
      </c>
    </row>
    <row r="4384">
      <c r="A4384" t="inlineStr">
        <is>
          <t>IDA &amp; IBRD total</t>
        </is>
      </c>
      <c r="B4384" t="inlineStr">
        <is>
          <t>IBT</t>
        </is>
      </c>
      <c r="C4384" t="n">
        <v>2018</v>
      </c>
      <c r="D4384" t="n">
        <v>3.13285318810383</v>
      </c>
    </row>
    <row r="4385">
      <c r="A4385" t="inlineStr">
        <is>
          <t>IDA &amp; IBRD total</t>
        </is>
      </c>
      <c r="B4385" t="inlineStr">
        <is>
          <t>IBT</t>
        </is>
      </c>
      <c r="C4385" t="n">
        <v>2019</v>
      </c>
      <c r="D4385" t="n">
        <v>2.6806827895334</v>
      </c>
    </row>
    <row r="4386">
      <c r="A4386" t="inlineStr">
        <is>
          <t>IDA &amp; IBRD total</t>
        </is>
      </c>
      <c r="B4386" t="inlineStr">
        <is>
          <t>IBT</t>
        </is>
      </c>
      <c r="C4386" t="n">
        <v>2020</v>
      </c>
      <c r="D4386" t="n">
        <v>2.8981937602627</v>
      </c>
    </row>
    <row r="4387">
      <c r="A4387" t="inlineStr">
        <is>
          <t>IDA &amp; IBRD total</t>
        </is>
      </c>
      <c r="B4387" t="inlineStr">
        <is>
          <t>IBT</t>
        </is>
      </c>
      <c r="C4387" t="n">
        <v>2021</v>
      </c>
      <c r="D4387" t="n">
        <v>4.25936417542868</v>
      </c>
    </row>
    <row r="4388">
      <c r="A4388" t="inlineStr">
        <is>
          <t>IDA &amp; IBRD total</t>
        </is>
      </c>
      <c r="B4388" t="inlineStr">
        <is>
          <t>IBT</t>
        </is>
      </c>
      <c r="C4388" t="n">
        <v>2022</v>
      </c>
      <c r="D4388" t="n">
        <v>8.48730869535043</v>
      </c>
    </row>
    <row r="4389">
      <c r="A4389" t="inlineStr">
        <is>
          <t>IDA &amp; IBRD total</t>
        </is>
      </c>
      <c r="B4389" t="inlineStr">
        <is>
          <t>IBT</t>
        </is>
      </c>
      <c r="C4389" t="n">
        <v>2023</v>
      </c>
      <c r="D4389" t="n">
        <v>6.09852132676211</v>
      </c>
    </row>
    <row r="4390">
      <c r="A4390" t="inlineStr">
        <is>
          <t>IDA total</t>
        </is>
      </c>
      <c r="B4390" t="inlineStr">
        <is>
          <t>IDA</t>
        </is>
      </c>
      <c r="C4390" t="n">
        <v>1981</v>
      </c>
      <c r="D4390" t="n">
        <v>12.0236539706611</v>
      </c>
    </row>
    <row r="4391">
      <c r="A4391" t="inlineStr">
        <is>
          <t>IDA total</t>
        </is>
      </c>
      <c r="B4391" t="inlineStr">
        <is>
          <t>IDA</t>
        </is>
      </c>
      <c r="C4391" t="n">
        <v>1982</v>
      </c>
      <c r="D4391" t="n">
        <v>10.816585254705</v>
      </c>
    </row>
    <row r="4392">
      <c r="A4392" t="inlineStr">
        <is>
          <t>IDA total</t>
        </is>
      </c>
      <c r="B4392" t="inlineStr">
        <is>
          <t>IDA</t>
        </is>
      </c>
      <c r="C4392" t="n">
        <v>1983</v>
      </c>
      <c r="D4392" t="n">
        <v>8.804138369172049</v>
      </c>
    </row>
    <row r="4393">
      <c r="A4393" t="inlineStr">
        <is>
          <t>IDA total</t>
        </is>
      </c>
      <c r="B4393" t="inlineStr">
        <is>
          <t>IDA</t>
        </is>
      </c>
      <c r="C4393" t="n">
        <v>1984</v>
      </c>
      <c r="D4393" t="n">
        <v>7.89251666092376</v>
      </c>
    </row>
    <row r="4394">
      <c r="A4394" t="inlineStr">
        <is>
          <t>IDA total</t>
        </is>
      </c>
      <c r="B4394" t="inlineStr">
        <is>
          <t>IDA</t>
        </is>
      </c>
      <c r="C4394" t="n">
        <v>1985</v>
      </c>
      <c r="D4394" t="n">
        <v>7.17070132449548</v>
      </c>
    </row>
    <row r="4395">
      <c r="A4395" t="inlineStr">
        <is>
          <t>IDA total</t>
        </is>
      </c>
      <c r="B4395" t="inlineStr">
        <is>
          <t>IDA</t>
        </is>
      </c>
      <c r="C4395" t="n">
        <v>1986</v>
      </c>
      <c r="D4395" t="n">
        <v>6.80905593895127</v>
      </c>
    </row>
    <row r="4396">
      <c r="A4396" t="inlineStr">
        <is>
          <t>IDA total</t>
        </is>
      </c>
      <c r="B4396" t="inlineStr">
        <is>
          <t>IDA</t>
        </is>
      </c>
      <c r="C4396" t="n">
        <v>1987</v>
      </c>
      <c r="D4396" t="n">
        <v>7.02175303902781</v>
      </c>
    </row>
    <row r="4397">
      <c r="A4397" t="inlineStr">
        <is>
          <t>IDA total</t>
        </is>
      </c>
      <c r="B4397" t="inlineStr">
        <is>
          <t>IDA</t>
        </is>
      </c>
      <c r="C4397" t="n">
        <v>1988</v>
      </c>
      <c r="D4397" t="n">
        <v>8.50786801086301</v>
      </c>
    </row>
    <row r="4398">
      <c r="A4398" t="inlineStr">
        <is>
          <t>IDA total</t>
        </is>
      </c>
      <c r="B4398" t="inlineStr">
        <is>
          <t>IDA</t>
        </is>
      </c>
      <c r="C4398" t="n">
        <v>1989</v>
      </c>
      <c r="D4398" t="n">
        <v>7.54616477272771</v>
      </c>
    </row>
    <row r="4399">
      <c r="A4399" t="inlineStr">
        <is>
          <t>IDA total</t>
        </is>
      </c>
      <c r="B4399" t="inlineStr">
        <is>
          <t>IDA</t>
        </is>
      </c>
      <c r="C4399" t="n">
        <v>1990</v>
      </c>
      <c r="D4399" t="n">
        <v>8.2397003745321</v>
      </c>
    </row>
    <row r="4400">
      <c r="A4400" t="inlineStr">
        <is>
          <t>IDA total</t>
        </is>
      </c>
      <c r="B4400" t="inlineStr">
        <is>
          <t>IDA</t>
        </is>
      </c>
      <c r="C4400" t="n">
        <v>1991</v>
      </c>
      <c r="D4400" t="n">
        <v>9.27545370655182</v>
      </c>
    </row>
    <row r="4401">
      <c r="A4401" t="inlineStr">
        <is>
          <t>IDA total</t>
        </is>
      </c>
      <c r="B4401" t="inlineStr">
        <is>
          <t>IDA</t>
        </is>
      </c>
      <c r="C4401" t="n">
        <v>1992</v>
      </c>
      <c r="D4401" t="n">
        <v>9.497791984036571</v>
      </c>
    </row>
    <row r="4402">
      <c r="A4402" t="inlineStr">
        <is>
          <t>IDA total</t>
        </is>
      </c>
      <c r="B4402" t="inlineStr">
        <is>
          <t>IDA</t>
        </is>
      </c>
      <c r="C4402" t="n">
        <v>1993</v>
      </c>
      <c r="D4402" t="n">
        <v>7.50539419087105</v>
      </c>
    </row>
    <row r="4403">
      <c r="A4403" t="inlineStr">
        <is>
          <t>IDA total</t>
        </is>
      </c>
      <c r="B4403" t="inlineStr">
        <is>
          <t>IDA</t>
        </is>
      </c>
      <c r="C4403" t="n">
        <v>1994</v>
      </c>
      <c r="D4403" t="n">
        <v>15.1763474313441</v>
      </c>
    </row>
    <row r="4404">
      <c r="A4404" t="inlineStr">
        <is>
          <t>IDA total</t>
        </is>
      </c>
      <c r="B4404" t="inlineStr">
        <is>
          <t>IDA</t>
        </is>
      </c>
      <c r="C4404" t="n">
        <v>1995</v>
      </c>
      <c r="D4404" t="n">
        <v>10.0221733553239</v>
      </c>
    </row>
    <row r="4405">
      <c r="A4405" t="inlineStr">
        <is>
          <t>IDA total</t>
        </is>
      </c>
      <c r="B4405" t="inlineStr">
        <is>
          <t>IDA</t>
        </is>
      </c>
      <c r="C4405" t="n">
        <v>1996</v>
      </c>
      <c r="D4405" t="n">
        <v>7.19164660433344</v>
      </c>
    </row>
    <row r="4406">
      <c r="A4406" t="inlineStr">
        <is>
          <t>IDA total</t>
        </is>
      </c>
      <c r="B4406" t="inlineStr">
        <is>
          <t>IDA</t>
        </is>
      </c>
      <c r="C4406" t="n">
        <v>1997</v>
      </c>
      <c r="D4406" t="n">
        <v>6.68365536789982</v>
      </c>
    </row>
    <row r="4407">
      <c r="A4407" t="inlineStr">
        <is>
          <t>IDA total</t>
        </is>
      </c>
      <c r="B4407" t="inlineStr">
        <is>
          <t>IDA</t>
        </is>
      </c>
      <c r="C4407" t="n">
        <v>1998</v>
      </c>
      <c r="D4407" t="n">
        <v>6.0922623040259</v>
      </c>
    </row>
    <row r="4408">
      <c r="A4408" t="inlineStr">
        <is>
          <t>IDA total</t>
        </is>
      </c>
      <c r="B4408" t="inlineStr">
        <is>
          <t>IDA</t>
        </is>
      </c>
      <c r="C4408" t="n">
        <v>1999</v>
      </c>
      <c r="D4408" t="n">
        <v>4.14267137284048</v>
      </c>
    </row>
    <row r="4409">
      <c r="A4409" t="inlineStr">
        <is>
          <t>IDA total</t>
        </is>
      </c>
      <c r="B4409" t="inlineStr">
        <is>
          <t>IDA</t>
        </is>
      </c>
      <c r="C4409" t="n">
        <v>2000</v>
      </c>
      <c r="D4409" t="n">
        <v>3.8610653418551</v>
      </c>
    </row>
    <row r="4410">
      <c r="A4410" t="inlineStr">
        <is>
          <t>IDA total</t>
        </is>
      </c>
      <c r="B4410" t="inlineStr">
        <is>
          <t>IDA</t>
        </is>
      </c>
      <c r="C4410" t="n">
        <v>2001</v>
      </c>
      <c r="D4410" t="n">
        <v>4.41977245881146</v>
      </c>
    </row>
    <row r="4411">
      <c r="A4411" t="inlineStr">
        <is>
          <t>IDA total</t>
        </is>
      </c>
      <c r="B4411" t="inlineStr">
        <is>
          <t>IDA</t>
        </is>
      </c>
      <c r="C4411" t="n">
        <v>2002</v>
      </c>
      <c r="D4411" t="n">
        <v>3.82293995768478</v>
      </c>
    </row>
    <row r="4412">
      <c r="A4412" t="inlineStr">
        <is>
          <t>IDA total</t>
        </is>
      </c>
      <c r="B4412" t="inlineStr">
        <is>
          <t>IDA</t>
        </is>
      </c>
      <c r="C4412" t="n">
        <v>2003</v>
      </c>
      <c r="D4412" t="n">
        <v>5.30297697364859</v>
      </c>
    </row>
    <row r="4413">
      <c r="A4413" t="inlineStr">
        <is>
          <t>IDA total</t>
        </is>
      </c>
      <c r="B4413" t="inlineStr">
        <is>
          <t>IDA</t>
        </is>
      </c>
      <c r="C4413" t="n">
        <v>2004</v>
      </c>
      <c r="D4413" t="n">
        <v>4.37623907077313</v>
      </c>
    </row>
    <row r="4414">
      <c r="A4414" t="inlineStr">
        <is>
          <t>IDA total</t>
        </is>
      </c>
      <c r="B4414" t="inlineStr">
        <is>
          <t>IDA</t>
        </is>
      </c>
      <c r="C4414" t="n">
        <v>2005</v>
      </c>
      <c r="D4414" t="n">
        <v>6.83633265892875</v>
      </c>
    </row>
    <row r="4415">
      <c r="A4415" t="inlineStr">
        <is>
          <t>IDA total</t>
        </is>
      </c>
      <c r="B4415" t="inlineStr">
        <is>
          <t>IDA</t>
        </is>
      </c>
      <c r="C4415" t="n">
        <v>2006</v>
      </c>
      <c r="D4415" t="n">
        <v>6.2410332814282</v>
      </c>
    </row>
    <row r="4416">
      <c r="A4416" t="inlineStr">
        <is>
          <t>IDA total</t>
        </is>
      </c>
      <c r="B4416" t="inlineStr">
        <is>
          <t>IDA</t>
        </is>
      </c>
      <c r="C4416" t="n">
        <v>2007</v>
      </c>
      <c r="D4416" t="n">
        <v>6.55722772638066</v>
      </c>
    </row>
    <row r="4417">
      <c r="A4417" t="inlineStr">
        <is>
          <t>IDA total</t>
        </is>
      </c>
      <c r="B4417" t="inlineStr">
        <is>
          <t>IDA</t>
        </is>
      </c>
      <c r="C4417" t="n">
        <v>2008</v>
      </c>
      <c r="D4417" t="n">
        <v>10.7156661309681</v>
      </c>
    </row>
    <row r="4418">
      <c r="A4418" t="inlineStr">
        <is>
          <t>IDA total</t>
        </is>
      </c>
      <c r="B4418" t="inlineStr">
        <is>
          <t>IDA</t>
        </is>
      </c>
      <c r="C4418" t="n">
        <v>2009</v>
      </c>
      <c r="D4418" t="n">
        <v>4.32909396037581</v>
      </c>
    </row>
    <row r="4419">
      <c r="A4419" t="inlineStr">
        <is>
          <t>IDA total</t>
        </is>
      </c>
      <c r="B4419" t="inlineStr">
        <is>
          <t>IDA</t>
        </is>
      </c>
      <c r="C4419" t="n">
        <v>2010</v>
      </c>
      <c r="D4419" t="n">
        <v>3.99639528107218</v>
      </c>
    </row>
    <row r="4420">
      <c r="A4420" t="inlineStr">
        <is>
          <t>IDA total</t>
        </is>
      </c>
      <c r="B4420" t="inlineStr">
        <is>
          <t>IDA</t>
        </is>
      </c>
      <c r="C4420" t="n">
        <v>2011</v>
      </c>
      <c r="D4420" t="n">
        <v>6.33279483849042</v>
      </c>
    </row>
    <row r="4421">
      <c r="A4421" t="inlineStr">
        <is>
          <t>IDA total</t>
        </is>
      </c>
      <c r="B4421" t="inlineStr">
        <is>
          <t>IDA</t>
        </is>
      </c>
      <c r="C4421" t="n">
        <v>2012</v>
      </c>
      <c r="D4421" t="n">
        <v>5.59607014268585</v>
      </c>
    </row>
    <row r="4422">
      <c r="A4422" t="inlineStr">
        <is>
          <t>IDA total</t>
        </is>
      </c>
      <c r="B4422" t="inlineStr">
        <is>
          <t>IDA</t>
        </is>
      </c>
      <c r="C4422" t="n">
        <v>2013</v>
      </c>
      <c r="D4422" t="n">
        <v>4.88516387595471</v>
      </c>
    </row>
    <row r="4423">
      <c r="A4423" t="inlineStr">
        <is>
          <t>IDA total</t>
        </is>
      </c>
      <c r="B4423" t="inlineStr">
        <is>
          <t>IDA</t>
        </is>
      </c>
      <c r="C4423" t="n">
        <v>2014</v>
      </c>
      <c r="D4423" t="n">
        <v>3.51695551369241</v>
      </c>
    </row>
    <row r="4424">
      <c r="A4424" t="inlineStr">
        <is>
          <t>IDA total</t>
        </is>
      </c>
      <c r="B4424" t="inlineStr">
        <is>
          <t>IDA</t>
        </is>
      </c>
      <c r="C4424" t="n">
        <v>2015</v>
      </c>
      <c r="D4424" t="n">
        <v>3.16346457365876</v>
      </c>
    </row>
    <row r="4425">
      <c r="A4425" t="inlineStr">
        <is>
          <t>IDA total</t>
        </is>
      </c>
      <c r="B4425" t="inlineStr">
        <is>
          <t>IDA</t>
        </is>
      </c>
      <c r="C4425" t="n">
        <v>2016</v>
      </c>
      <c r="D4425" t="n">
        <v>3.37153003512095</v>
      </c>
    </row>
    <row r="4426">
      <c r="A4426" t="inlineStr">
        <is>
          <t>IDA total</t>
        </is>
      </c>
      <c r="B4426" t="inlineStr">
        <is>
          <t>IDA</t>
        </is>
      </c>
      <c r="C4426" t="n">
        <v>2017</v>
      </c>
      <c r="D4426" t="n">
        <v>3.89251625363385</v>
      </c>
    </row>
    <row r="4427">
      <c r="A4427" t="inlineStr">
        <is>
          <t>IDA total</t>
        </is>
      </c>
      <c r="B4427" t="inlineStr">
        <is>
          <t>IDA</t>
        </is>
      </c>
      <c r="C4427" t="n">
        <v>2018</v>
      </c>
      <c r="D4427" t="n">
        <v>2.96760366004456</v>
      </c>
    </row>
    <row r="4428">
      <c r="A4428" t="inlineStr">
        <is>
          <t>IDA total</t>
        </is>
      </c>
      <c r="B4428" t="inlineStr">
        <is>
          <t>IDA</t>
        </is>
      </c>
      <c r="C4428" t="n">
        <v>2019</v>
      </c>
      <c r="D4428" t="n">
        <v>2.72643037388832</v>
      </c>
    </row>
    <row r="4429">
      <c r="A4429" t="inlineStr">
        <is>
          <t>IDA total</t>
        </is>
      </c>
      <c r="B4429" t="inlineStr">
        <is>
          <t>IDA</t>
        </is>
      </c>
      <c r="C4429" t="n">
        <v>2020</v>
      </c>
      <c r="D4429" t="n">
        <v>3.48393567493204</v>
      </c>
    </row>
    <row r="4430">
      <c r="A4430" t="inlineStr">
        <is>
          <t>IDA total</t>
        </is>
      </c>
      <c r="B4430" t="inlineStr">
        <is>
          <t>IDA</t>
        </is>
      </c>
      <c r="C4430" t="n">
        <v>2021</v>
      </c>
      <c r="D4430" t="n">
        <v>4.1862150652352</v>
      </c>
    </row>
    <row r="4431">
      <c r="A4431" t="inlineStr">
        <is>
          <t>IDA total</t>
        </is>
      </c>
      <c r="B4431" t="inlineStr">
        <is>
          <t>IDA</t>
        </is>
      </c>
      <c r="C4431" t="n">
        <v>2022</v>
      </c>
      <c r="D4431" t="n">
        <v>8.160590319918439</v>
      </c>
    </row>
    <row r="4432">
      <c r="A4432" t="inlineStr">
        <is>
          <t>IDA total</t>
        </is>
      </c>
      <c r="B4432" t="inlineStr">
        <is>
          <t>IDA</t>
        </is>
      </c>
      <c r="C4432" t="n">
        <v>2023</v>
      </c>
      <c r="D4432" t="n">
        <v>6.66325180347457</v>
      </c>
    </row>
    <row r="4433">
      <c r="A4433" t="inlineStr">
        <is>
          <t>IDA blend</t>
        </is>
      </c>
      <c r="B4433" t="inlineStr">
        <is>
          <t>IDB</t>
        </is>
      </c>
      <c r="C4433" t="n">
        <v>1970</v>
      </c>
      <c r="D4433" t="n">
        <v>5.34984090983017</v>
      </c>
    </row>
    <row r="4434">
      <c r="A4434" t="inlineStr">
        <is>
          <t>IDA blend</t>
        </is>
      </c>
      <c r="B4434" t="inlineStr">
        <is>
          <t>IDB</t>
        </is>
      </c>
      <c r="C4434" t="n">
        <v>1971</v>
      </c>
      <c r="D4434" t="n">
        <v>4.01402961809857</v>
      </c>
    </row>
    <row r="4435">
      <c r="A4435" t="inlineStr">
        <is>
          <t>IDA blend</t>
        </is>
      </c>
      <c r="B4435" t="inlineStr">
        <is>
          <t>IDB</t>
        </is>
      </c>
      <c r="C4435" t="n">
        <v>1972</v>
      </c>
      <c r="D4435" t="n">
        <v>5.50744119430072</v>
      </c>
    </row>
    <row r="4436">
      <c r="A4436" t="inlineStr">
        <is>
          <t>IDA blend</t>
        </is>
      </c>
      <c r="B4436" t="inlineStr">
        <is>
          <t>IDB</t>
        </is>
      </c>
      <c r="C4436" t="n">
        <v>1973</v>
      </c>
      <c r="D4436" t="n">
        <v>11.3144220879918</v>
      </c>
    </row>
    <row r="4437">
      <c r="A4437" t="inlineStr">
        <is>
          <t>IDA blend</t>
        </is>
      </c>
      <c r="B4437" t="inlineStr">
        <is>
          <t>IDB</t>
        </is>
      </c>
      <c r="C4437" t="n">
        <v>1974</v>
      </c>
      <c r="D4437" t="n">
        <v>18.5488617394389</v>
      </c>
    </row>
    <row r="4438">
      <c r="A4438" t="inlineStr">
        <is>
          <t>IDA blend</t>
        </is>
      </c>
      <c r="B4438" t="inlineStr">
        <is>
          <t>IDB</t>
        </is>
      </c>
      <c r="C4438" t="n">
        <v>1975</v>
      </c>
      <c r="D4438" t="n">
        <v>13.5533294051262</v>
      </c>
    </row>
    <row r="4439">
      <c r="A4439" t="inlineStr">
        <is>
          <t>IDA blend</t>
        </is>
      </c>
      <c r="B4439" t="inlineStr">
        <is>
          <t>IDB</t>
        </is>
      </c>
      <c r="C4439" t="n">
        <v>1976</v>
      </c>
      <c r="D4439" t="n">
        <v>10.0695380302795</v>
      </c>
    </row>
    <row r="4440">
      <c r="A4440" t="inlineStr">
        <is>
          <t>IDA blend</t>
        </is>
      </c>
      <c r="B4440" t="inlineStr">
        <is>
          <t>IDB</t>
        </is>
      </c>
      <c r="C4440" t="n">
        <v>1977</v>
      </c>
      <c r="D4440" t="n">
        <v>10.1599404459599</v>
      </c>
    </row>
    <row r="4441">
      <c r="A4441" t="inlineStr">
        <is>
          <t>IDA blend</t>
        </is>
      </c>
      <c r="B4441" t="inlineStr">
        <is>
          <t>IDB</t>
        </is>
      </c>
      <c r="C4441" t="n">
        <v>1978</v>
      </c>
      <c r="D4441" t="n">
        <v>8.67057208735644</v>
      </c>
    </row>
    <row r="4442">
      <c r="A4442" t="inlineStr">
        <is>
          <t>IDA blend</t>
        </is>
      </c>
      <c r="B4442" t="inlineStr">
        <is>
          <t>IDB</t>
        </is>
      </c>
      <c r="C4442" t="n">
        <v>1979</v>
      </c>
      <c r="D4442" t="n">
        <v>9.390042712873599</v>
      </c>
    </row>
    <row r="4443">
      <c r="A4443" t="inlineStr">
        <is>
          <t>IDA blend</t>
        </is>
      </c>
      <c r="B4443" t="inlineStr">
        <is>
          <t>IDB</t>
        </is>
      </c>
      <c r="C4443" t="n">
        <v>1980</v>
      </c>
      <c r="D4443" t="n">
        <v>14.1097064496918</v>
      </c>
    </row>
    <row r="4444">
      <c r="A4444" t="inlineStr">
        <is>
          <t>IDA blend</t>
        </is>
      </c>
      <c r="B4444" t="inlineStr">
        <is>
          <t>IDB</t>
        </is>
      </c>
      <c r="C4444" t="n">
        <v>1981</v>
      </c>
      <c r="D4444" t="n">
        <v>11.8799135925283</v>
      </c>
    </row>
    <row r="4445">
      <c r="A4445" t="inlineStr">
        <is>
          <t>IDA blend</t>
        </is>
      </c>
      <c r="B4445" t="inlineStr">
        <is>
          <t>IDB</t>
        </is>
      </c>
      <c r="C4445" t="n">
        <v>1982</v>
      </c>
      <c r="D4445" t="n">
        <v>7.22825662243943</v>
      </c>
    </row>
    <row r="4446">
      <c r="A4446" t="inlineStr">
        <is>
          <t>IDA blend</t>
        </is>
      </c>
      <c r="B4446" t="inlineStr">
        <is>
          <t>IDB</t>
        </is>
      </c>
      <c r="C4446" t="n">
        <v>1983</v>
      </c>
      <c r="D4446" t="n">
        <v>6.362033499853</v>
      </c>
    </row>
    <row r="4447">
      <c r="A4447" t="inlineStr">
        <is>
          <t>IDA blend</t>
        </is>
      </c>
      <c r="B4447" t="inlineStr">
        <is>
          <t>IDB</t>
        </is>
      </c>
      <c r="C4447" t="n">
        <v>1984</v>
      </c>
      <c r="D4447" t="n">
        <v>5.87338976138502</v>
      </c>
    </row>
    <row r="4448">
      <c r="A4448" t="inlineStr">
        <is>
          <t>IDA blend</t>
        </is>
      </c>
      <c r="B4448" t="inlineStr">
        <is>
          <t>IDB</t>
        </is>
      </c>
      <c r="C4448" t="n">
        <v>1985</v>
      </c>
      <c r="D4448" t="n">
        <v>5.50404882244931</v>
      </c>
    </row>
    <row r="4449">
      <c r="A4449" t="inlineStr">
        <is>
          <t>IDA blend</t>
        </is>
      </c>
      <c r="B4449" t="inlineStr">
        <is>
          <t>IDB</t>
        </is>
      </c>
      <c r="C4449" t="n">
        <v>1986</v>
      </c>
      <c r="D4449" t="n">
        <v>3.50641424758205</v>
      </c>
    </row>
    <row r="4450">
      <c r="A4450" t="inlineStr">
        <is>
          <t>IDA blend</t>
        </is>
      </c>
      <c r="B4450" t="inlineStr">
        <is>
          <t>IDB</t>
        </is>
      </c>
      <c r="C4450" t="n">
        <v>1987</v>
      </c>
      <c r="D4450" t="n">
        <v>4.68121854620213</v>
      </c>
    </row>
    <row r="4451">
      <c r="A4451" t="inlineStr">
        <is>
          <t>IDA blend</t>
        </is>
      </c>
      <c r="B4451" t="inlineStr">
        <is>
          <t>IDB</t>
        </is>
      </c>
      <c r="C4451" t="n">
        <v>1988</v>
      </c>
      <c r="D4451" t="n">
        <v>4.07407407407384</v>
      </c>
    </row>
    <row r="4452">
      <c r="A4452" t="inlineStr">
        <is>
          <t>IDA blend</t>
        </is>
      </c>
      <c r="B4452" t="inlineStr">
        <is>
          <t>IDB</t>
        </is>
      </c>
      <c r="C4452" t="n">
        <v>1989</v>
      </c>
      <c r="D4452" t="n">
        <v>4.55516014234884</v>
      </c>
    </row>
    <row r="4453">
      <c r="A4453" t="inlineStr">
        <is>
          <t>IDA blend</t>
        </is>
      </c>
      <c r="B4453" t="inlineStr">
        <is>
          <t>IDB</t>
        </is>
      </c>
      <c r="C4453" t="n">
        <v>1990</v>
      </c>
      <c r="D4453" t="n">
        <v>7.36440030557692</v>
      </c>
    </row>
    <row r="4454">
      <c r="A4454" t="inlineStr">
        <is>
          <t>IDA blend</t>
        </is>
      </c>
      <c r="B4454" t="inlineStr">
        <is>
          <t>IDB</t>
        </is>
      </c>
      <c r="C4454" t="n">
        <v>1991</v>
      </c>
      <c r="D4454" t="n">
        <v>6.49734555984545</v>
      </c>
    </row>
    <row r="4455">
      <c r="A4455" t="inlineStr">
        <is>
          <t>IDA blend</t>
        </is>
      </c>
      <c r="B4455" t="inlineStr">
        <is>
          <t>IDB</t>
        </is>
      </c>
      <c r="C4455" t="n">
        <v>1992</v>
      </c>
      <c r="D4455" t="n">
        <v>4.88302271568611</v>
      </c>
    </row>
    <row r="4456">
      <c r="A4456" t="inlineStr">
        <is>
          <t>IDA blend</t>
        </is>
      </c>
      <c r="B4456" t="inlineStr">
        <is>
          <t>IDB</t>
        </is>
      </c>
      <c r="C4456" t="n">
        <v>1993</v>
      </c>
      <c r="D4456" t="n">
        <v>4.97411430311646</v>
      </c>
    </row>
    <row r="4457">
      <c r="A4457" t="inlineStr">
        <is>
          <t>IDA blend</t>
        </is>
      </c>
      <c r="B4457" t="inlineStr">
        <is>
          <t>IDB</t>
        </is>
      </c>
      <c r="C4457" t="n">
        <v>1994</v>
      </c>
      <c r="D4457" t="n">
        <v>3.77065767284965</v>
      </c>
    </row>
    <row r="4458">
      <c r="A4458" t="inlineStr">
        <is>
          <t>IDA blend</t>
        </is>
      </c>
      <c r="B4458" t="inlineStr">
        <is>
          <t>IDB</t>
        </is>
      </c>
      <c r="C4458" t="n">
        <v>1995</v>
      </c>
      <c r="D4458" t="n">
        <v>8.35152497972927</v>
      </c>
    </row>
    <row r="4459">
      <c r="A4459" t="inlineStr">
        <is>
          <t>IDA blend</t>
        </is>
      </c>
      <c r="B4459" t="inlineStr">
        <is>
          <t>IDB</t>
        </is>
      </c>
      <c r="C4459" t="n">
        <v>1996</v>
      </c>
      <c r="D4459" t="n">
        <v>5.96361961777576</v>
      </c>
    </row>
    <row r="4460">
      <c r="A4460" t="inlineStr">
        <is>
          <t>IDA blend</t>
        </is>
      </c>
      <c r="B4460" t="inlineStr">
        <is>
          <t>IDB</t>
        </is>
      </c>
      <c r="C4460" t="n">
        <v>1997</v>
      </c>
      <c r="D4460" t="n">
        <v>4.37530843544392</v>
      </c>
    </row>
    <row r="4461">
      <c r="A4461" t="inlineStr">
        <is>
          <t>IDA blend</t>
        </is>
      </c>
      <c r="B4461" t="inlineStr">
        <is>
          <t>IDB</t>
        </is>
      </c>
      <c r="C4461" t="n">
        <v>1998</v>
      </c>
      <c r="D4461" t="n">
        <v>5.05295835198299</v>
      </c>
    </row>
    <row r="4462">
      <c r="A4462" t="inlineStr">
        <is>
          <t>IDA blend</t>
        </is>
      </c>
      <c r="B4462" t="inlineStr">
        <is>
          <t>IDB</t>
        </is>
      </c>
      <c r="C4462" t="n">
        <v>1999</v>
      </c>
      <c r="D4462" t="n">
        <v>4.14263718082171</v>
      </c>
    </row>
    <row r="4463">
      <c r="A4463" t="inlineStr">
        <is>
          <t>IDA blend</t>
        </is>
      </c>
      <c r="B4463" t="inlineStr">
        <is>
          <t>IDB</t>
        </is>
      </c>
      <c r="C4463" t="n">
        <v>2000</v>
      </c>
      <c r="D4463" t="n">
        <v>3.06743966930585</v>
      </c>
    </row>
    <row r="4464">
      <c r="A4464" t="inlineStr">
        <is>
          <t>IDA blend</t>
        </is>
      </c>
      <c r="B4464" t="inlineStr">
        <is>
          <t>IDB</t>
        </is>
      </c>
      <c r="C4464" t="n">
        <v>2001</v>
      </c>
      <c r="D4464" t="n">
        <v>4.27267024465105</v>
      </c>
    </row>
    <row r="4465">
      <c r="A4465" t="inlineStr">
        <is>
          <t>IDA blend</t>
        </is>
      </c>
      <c r="B4465" t="inlineStr">
        <is>
          <t>IDB</t>
        </is>
      </c>
      <c r="C4465" t="n">
        <v>2002</v>
      </c>
      <c r="D4465" t="n">
        <v>2.83442260128067</v>
      </c>
    </row>
    <row r="4466">
      <c r="A4466" t="inlineStr">
        <is>
          <t>IDA blend</t>
        </is>
      </c>
      <c r="B4466" t="inlineStr">
        <is>
          <t>IDB</t>
        </is>
      </c>
      <c r="C4466" t="n">
        <v>2003</v>
      </c>
      <c r="D4466" t="n">
        <v>2.6161087236129</v>
      </c>
    </row>
    <row r="4467">
      <c r="A4467" t="inlineStr">
        <is>
          <t>IDA blend</t>
        </is>
      </c>
      <c r="B4467" t="inlineStr">
        <is>
          <t>IDB</t>
        </is>
      </c>
      <c r="C4467" t="n">
        <v>2004</v>
      </c>
      <c r="D4467" t="n">
        <v>2.89376233055243</v>
      </c>
    </row>
    <row r="4468">
      <c r="A4468" t="inlineStr">
        <is>
          <t>IDA blend</t>
        </is>
      </c>
      <c r="B4468" t="inlineStr">
        <is>
          <t>IDB</t>
        </is>
      </c>
      <c r="C4468" t="n">
        <v>2005</v>
      </c>
      <c r="D4468" t="n">
        <v>3.28514852605791</v>
      </c>
    </row>
    <row r="4469">
      <c r="A4469" t="inlineStr">
        <is>
          <t>IDA blend</t>
        </is>
      </c>
      <c r="B4469" t="inlineStr">
        <is>
          <t>IDB</t>
        </is>
      </c>
      <c r="C4469" t="n">
        <v>2006</v>
      </c>
      <c r="D4469" t="n">
        <v>4.68476568998718</v>
      </c>
    </row>
    <row r="4470">
      <c r="A4470" t="inlineStr">
        <is>
          <t>IDA blend</t>
        </is>
      </c>
      <c r="B4470" t="inlineStr">
        <is>
          <t>IDB</t>
        </is>
      </c>
      <c r="C4470" t="n">
        <v>2007</v>
      </c>
      <c r="D4470" t="n">
        <v>4.60735172750239</v>
      </c>
    </row>
    <row r="4471">
      <c r="A4471" t="inlineStr">
        <is>
          <t>IDA blend</t>
        </is>
      </c>
      <c r="B4471" t="inlineStr">
        <is>
          <t>IDB</t>
        </is>
      </c>
      <c r="C4471" t="n">
        <v>2008</v>
      </c>
      <c r="D4471" t="n">
        <v>8.54875474799641</v>
      </c>
    </row>
    <row r="4472">
      <c r="A4472" t="inlineStr">
        <is>
          <t>IDA blend</t>
        </is>
      </c>
      <c r="B4472" t="inlineStr">
        <is>
          <t>IDB</t>
        </is>
      </c>
      <c r="C4472" t="n">
        <v>2009</v>
      </c>
      <c r="D4472" t="n">
        <v>2.01736097998404</v>
      </c>
    </row>
    <row r="4473">
      <c r="A4473" t="inlineStr">
        <is>
          <t>IDA blend</t>
        </is>
      </c>
      <c r="B4473" t="inlineStr">
        <is>
          <t>IDB</t>
        </is>
      </c>
      <c r="C4473" t="n">
        <v>2010</v>
      </c>
      <c r="D4473" t="n">
        <v>3.43650905943351</v>
      </c>
    </row>
    <row r="4474">
      <c r="A4474" t="inlineStr">
        <is>
          <t>IDA blend</t>
        </is>
      </c>
      <c r="B4474" t="inlineStr">
        <is>
          <t>IDB</t>
        </is>
      </c>
      <c r="C4474" t="n">
        <v>2011</v>
      </c>
      <c r="D4474" t="n">
        <v>4.45735871596997</v>
      </c>
    </row>
    <row r="4475">
      <c r="A4475" t="inlineStr">
        <is>
          <t>IDA blend</t>
        </is>
      </c>
      <c r="B4475" t="inlineStr">
        <is>
          <t>IDB</t>
        </is>
      </c>
      <c r="C4475" t="n">
        <v>2012</v>
      </c>
      <c r="D4475" t="n">
        <v>4.35742047634744</v>
      </c>
    </row>
    <row r="4476">
      <c r="A4476" t="inlineStr">
        <is>
          <t>IDA blend</t>
        </is>
      </c>
      <c r="B4476" t="inlineStr">
        <is>
          <t>IDB</t>
        </is>
      </c>
      <c r="C4476" t="n">
        <v>2013</v>
      </c>
      <c r="D4476" t="n">
        <v>2.48194455802871</v>
      </c>
    </row>
    <row r="4477">
      <c r="A4477" t="inlineStr">
        <is>
          <t>IDA blend</t>
        </is>
      </c>
      <c r="B4477" t="inlineStr">
        <is>
          <t>IDB</t>
        </is>
      </c>
      <c r="C4477" t="n">
        <v>2014</v>
      </c>
      <c r="D4477" t="n">
        <v>1.52814907423918</v>
      </c>
    </row>
    <row r="4478">
      <c r="A4478" t="inlineStr">
        <is>
          <t>IDA blend</t>
        </is>
      </c>
      <c r="B4478" t="inlineStr">
        <is>
          <t>IDB</t>
        </is>
      </c>
      <c r="C4478" t="n">
        <v>2015</v>
      </c>
      <c r="D4478" t="n">
        <v>1.95210679937833</v>
      </c>
    </row>
    <row r="4479">
      <c r="A4479" t="inlineStr">
        <is>
          <t>IDA blend</t>
        </is>
      </c>
      <c r="B4479" t="inlineStr">
        <is>
          <t>IDB</t>
        </is>
      </c>
      <c r="C4479" t="n">
        <v>2016</v>
      </c>
      <c r="D4479" t="n">
        <v>2.42047587077673</v>
      </c>
    </row>
    <row r="4480">
      <c r="A4480" t="inlineStr">
        <is>
          <t>IDA blend</t>
        </is>
      </c>
      <c r="B4480" t="inlineStr">
        <is>
          <t>IDB</t>
        </is>
      </c>
      <c r="C4480" t="n">
        <v>2017</v>
      </c>
      <c r="D4480" t="n">
        <v>1.65049494073163</v>
      </c>
    </row>
    <row r="4481">
      <c r="A4481" t="inlineStr">
        <is>
          <t>IDA blend</t>
        </is>
      </c>
      <c r="B4481" t="inlineStr">
        <is>
          <t>IDB</t>
        </is>
      </c>
      <c r="C4481" t="n">
        <v>2018</v>
      </c>
      <c r="D4481" t="n">
        <v>2.63647201015892</v>
      </c>
    </row>
    <row r="4482">
      <c r="A4482" t="inlineStr">
        <is>
          <t>IDA blend</t>
        </is>
      </c>
      <c r="B4482" t="inlineStr">
        <is>
          <t>IDB</t>
        </is>
      </c>
      <c r="C4482" t="n">
        <v>2019</v>
      </c>
      <c r="D4482" t="n">
        <v>2.20607305781525</v>
      </c>
    </row>
    <row r="4483">
      <c r="A4483" t="inlineStr">
        <is>
          <t>IDA blend</t>
        </is>
      </c>
      <c r="B4483" t="inlineStr">
        <is>
          <t>IDB</t>
        </is>
      </c>
      <c r="C4483" t="n">
        <v>2020</v>
      </c>
      <c r="D4483" t="n">
        <v>1.79537147083108</v>
      </c>
    </row>
    <row r="4484">
      <c r="A4484" t="inlineStr">
        <is>
          <t>IDA blend</t>
        </is>
      </c>
      <c r="B4484" t="inlineStr">
        <is>
          <t>IDB</t>
        </is>
      </c>
      <c r="C4484" t="n">
        <v>2021</v>
      </c>
      <c r="D4484" t="n">
        <v>3.23563659237071</v>
      </c>
    </row>
    <row r="4485">
      <c r="A4485" t="inlineStr">
        <is>
          <t>IDA blend</t>
        </is>
      </c>
      <c r="B4485" t="inlineStr">
        <is>
          <t>IDB</t>
        </is>
      </c>
      <c r="C4485" t="n">
        <v>2022</v>
      </c>
      <c r="D4485" t="n">
        <v>7.00530945399787</v>
      </c>
    </row>
    <row r="4486">
      <c r="A4486" t="inlineStr">
        <is>
          <t>IDA blend</t>
        </is>
      </c>
      <c r="B4486" t="inlineStr">
        <is>
          <t>IDB</t>
        </is>
      </c>
      <c r="C4486" t="n">
        <v>2023</v>
      </c>
      <c r="D4486" t="n">
        <v>4.47720868651284</v>
      </c>
    </row>
    <row r="4487">
      <c r="A4487" t="inlineStr">
        <is>
          <t>Indonesia</t>
        </is>
      </c>
      <c r="B4487" t="inlineStr">
        <is>
          <t>IDN</t>
        </is>
      </c>
      <c r="C4487" t="n">
        <v>1960</v>
      </c>
      <c r="D4487" t="n">
        <v>39.5904436860068</v>
      </c>
    </row>
    <row r="4488">
      <c r="A4488" t="inlineStr">
        <is>
          <t>Indonesia</t>
        </is>
      </c>
      <c r="B4488" t="inlineStr">
        <is>
          <t>IDN</t>
        </is>
      </c>
      <c r="C4488" t="n">
        <v>1961</v>
      </c>
      <c r="D4488" t="n">
        <v>13.6919315403424</v>
      </c>
    </row>
    <row r="4489">
      <c r="A4489" t="inlineStr">
        <is>
          <t>Indonesia</t>
        </is>
      </c>
      <c r="B4489" t="inlineStr">
        <is>
          <t>IDN</t>
        </is>
      </c>
      <c r="C4489" t="n">
        <v>1962</v>
      </c>
      <c r="D4489" t="n">
        <v>131.397849462365</v>
      </c>
    </row>
    <row r="4490">
      <c r="A4490" t="inlineStr">
        <is>
          <t>Indonesia</t>
        </is>
      </c>
      <c r="B4490" t="inlineStr">
        <is>
          <t>IDN</t>
        </is>
      </c>
      <c r="C4490" t="n">
        <v>1963</v>
      </c>
      <c r="D4490" t="n">
        <v>145.910780669145</v>
      </c>
    </row>
    <row r="4491">
      <c r="A4491" t="inlineStr">
        <is>
          <t>Indonesia</t>
        </is>
      </c>
      <c r="B4491" t="inlineStr">
        <is>
          <t>IDN</t>
        </is>
      </c>
      <c r="C4491" t="n">
        <v>1964</v>
      </c>
      <c r="D4491" t="n">
        <v>108.994708994709</v>
      </c>
    </row>
    <row r="4492">
      <c r="A4492" t="inlineStr">
        <is>
          <t>Indonesia</t>
        </is>
      </c>
      <c r="B4492" t="inlineStr">
        <is>
          <t>IDN</t>
        </is>
      </c>
      <c r="C4492" t="n">
        <v>1965</v>
      </c>
      <c r="D4492" t="n">
        <v>306.763110307415</v>
      </c>
    </row>
    <row r="4493">
      <c r="A4493" t="inlineStr">
        <is>
          <t>Indonesia</t>
        </is>
      </c>
      <c r="B4493" t="inlineStr">
        <is>
          <t>IDN</t>
        </is>
      </c>
      <c r="C4493" t="n">
        <v>1966</v>
      </c>
      <c r="D4493" t="n">
        <v>1136.2541122077</v>
      </c>
    </row>
    <row r="4494">
      <c r="A4494" t="inlineStr">
        <is>
          <t>Indonesia</t>
        </is>
      </c>
      <c r="B4494" t="inlineStr">
        <is>
          <t>IDN</t>
        </is>
      </c>
      <c r="C4494" t="n">
        <v>1967</v>
      </c>
      <c r="D4494" t="n">
        <v>106</v>
      </c>
    </row>
    <row r="4495">
      <c r="A4495" t="inlineStr">
        <is>
          <t>Indonesia</t>
        </is>
      </c>
      <c r="B4495" t="inlineStr">
        <is>
          <t>IDN</t>
        </is>
      </c>
      <c r="C4495" t="n">
        <v>1968</v>
      </c>
      <c r="D4495" t="n">
        <v>128.843042071197</v>
      </c>
    </row>
    <row r="4496">
      <c r="A4496" t="inlineStr">
        <is>
          <t>Indonesia</t>
        </is>
      </c>
      <c r="B4496" t="inlineStr">
        <is>
          <t>IDN</t>
        </is>
      </c>
      <c r="C4496" t="n">
        <v>1969</v>
      </c>
      <c r="D4496" t="n">
        <v>15.4798702151619</v>
      </c>
    </row>
    <row r="4497">
      <c r="A4497" t="inlineStr">
        <is>
          <t>Indonesia</t>
        </is>
      </c>
      <c r="B4497" t="inlineStr">
        <is>
          <t>IDN</t>
        </is>
      </c>
      <c r="C4497" t="n">
        <v>1970</v>
      </c>
      <c r="D4497" t="n">
        <v>12.3994646487815</v>
      </c>
    </row>
    <row r="4498">
      <c r="A4498" t="inlineStr">
        <is>
          <t>Indonesia</t>
        </is>
      </c>
      <c r="B4498" t="inlineStr">
        <is>
          <t>IDN</t>
        </is>
      </c>
      <c r="C4498" t="n">
        <v>1971</v>
      </c>
      <c r="D4498" t="n">
        <v>4.23374894488337</v>
      </c>
    </row>
    <row r="4499">
      <c r="A4499" t="inlineStr">
        <is>
          <t>Indonesia</t>
        </is>
      </c>
      <c r="B4499" t="inlineStr">
        <is>
          <t>IDN</t>
        </is>
      </c>
      <c r="C4499" t="n">
        <v>1972</v>
      </c>
      <c r="D4499" t="n">
        <v>6.52174921283022</v>
      </c>
    </row>
    <row r="4500">
      <c r="A4500" t="inlineStr">
        <is>
          <t>Indonesia</t>
        </is>
      </c>
      <c r="B4500" t="inlineStr">
        <is>
          <t>IDN</t>
        </is>
      </c>
      <c r="C4500" t="n">
        <v>1973</v>
      </c>
      <c r="D4500" t="n">
        <v>31.041881271113</v>
      </c>
    </row>
    <row r="4501">
      <c r="A4501" t="inlineStr">
        <is>
          <t>Indonesia</t>
        </is>
      </c>
      <c r="B4501" t="inlineStr">
        <is>
          <t>IDN</t>
        </is>
      </c>
      <c r="C4501" t="n">
        <v>1974</v>
      </c>
      <c r="D4501" t="n">
        <v>40.4917904384715</v>
      </c>
    </row>
    <row r="4502">
      <c r="A4502" t="inlineStr">
        <is>
          <t>Indonesia</t>
        </is>
      </c>
      <c r="B4502" t="inlineStr">
        <is>
          <t>IDN</t>
        </is>
      </c>
      <c r="C4502" t="n">
        <v>1975</v>
      </c>
      <c r="D4502" t="n">
        <v>19.1656971335589</v>
      </c>
    </row>
    <row r="4503">
      <c r="A4503" t="inlineStr">
        <is>
          <t>Indonesia</t>
        </is>
      </c>
      <c r="B4503" t="inlineStr">
        <is>
          <t>IDN</t>
        </is>
      </c>
      <c r="C4503" t="n">
        <v>1976</v>
      </c>
      <c r="D4503" t="n">
        <v>19.8286536956639</v>
      </c>
    </row>
    <row r="4504">
      <c r="A4504" t="inlineStr">
        <is>
          <t>Indonesia</t>
        </is>
      </c>
      <c r="B4504" t="inlineStr">
        <is>
          <t>IDN</t>
        </is>
      </c>
      <c r="C4504" t="n">
        <v>1977</v>
      </c>
      <c r="D4504" t="n">
        <v>11.0520897946253</v>
      </c>
    </row>
    <row r="4505">
      <c r="A4505" t="inlineStr">
        <is>
          <t>Indonesia</t>
        </is>
      </c>
      <c r="B4505" t="inlineStr">
        <is>
          <t>IDN</t>
        </is>
      </c>
      <c r="C4505" t="n">
        <v>1978</v>
      </c>
      <c r="D4505" t="n">
        <v>8.11258259525915</v>
      </c>
    </row>
    <row r="4506">
      <c r="A4506" t="inlineStr">
        <is>
          <t>Indonesia</t>
        </is>
      </c>
      <c r="B4506" t="inlineStr">
        <is>
          <t>IDN</t>
        </is>
      </c>
      <c r="C4506" t="n">
        <v>1979</v>
      </c>
      <c r="D4506" t="n">
        <v>16.2327657550178</v>
      </c>
    </row>
    <row r="4507">
      <c r="A4507" t="inlineStr">
        <is>
          <t>Indonesia</t>
        </is>
      </c>
      <c r="B4507" t="inlineStr">
        <is>
          <t>IDN</t>
        </is>
      </c>
      <c r="C4507" t="n">
        <v>1980</v>
      </c>
      <c r="D4507" t="n">
        <v>18.0354301616893</v>
      </c>
    </row>
    <row r="4508">
      <c r="A4508" t="inlineStr">
        <is>
          <t>Indonesia</t>
        </is>
      </c>
      <c r="B4508" t="inlineStr">
        <is>
          <t>IDN</t>
        </is>
      </c>
      <c r="C4508" t="n">
        <v>1981</v>
      </c>
      <c r="D4508" t="n">
        <v>12.2659085141911</v>
      </c>
    </row>
    <row r="4509">
      <c r="A4509" t="inlineStr">
        <is>
          <t>Indonesia</t>
        </is>
      </c>
      <c r="B4509" t="inlineStr">
        <is>
          <t>IDN</t>
        </is>
      </c>
      <c r="C4509" t="n">
        <v>1982</v>
      </c>
      <c r="D4509" t="n">
        <v>9.445423953534521</v>
      </c>
    </row>
    <row r="4510">
      <c r="A4510" t="inlineStr">
        <is>
          <t>Indonesia</t>
        </is>
      </c>
      <c r="B4510" t="inlineStr">
        <is>
          <t>IDN</t>
        </is>
      </c>
      <c r="C4510" t="n">
        <v>1983</v>
      </c>
      <c r="D4510" t="n">
        <v>11.7997405215176</v>
      </c>
    </row>
    <row r="4511">
      <c r="A4511" t="inlineStr">
        <is>
          <t>Indonesia</t>
        </is>
      </c>
      <c r="B4511" t="inlineStr">
        <is>
          <t>IDN</t>
        </is>
      </c>
      <c r="C4511" t="n">
        <v>1984</v>
      </c>
      <c r="D4511" t="n">
        <v>10.45503482319</v>
      </c>
    </row>
    <row r="4512">
      <c r="A4512" t="inlineStr">
        <is>
          <t>Indonesia</t>
        </is>
      </c>
      <c r="B4512" t="inlineStr">
        <is>
          <t>IDN</t>
        </is>
      </c>
      <c r="C4512" t="n">
        <v>1985</v>
      </c>
      <c r="D4512" t="n">
        <v>4.72453615680211</v>
      </c>
    </row>
    <row r="4513">
      <c r="A4513" t="inlineStr">
        <is>
          <t>Indonesia</t>
        </is>
      </c>
      <c r="B4513" t="inlineStr">
        <is>
          <t>IDN</t>
        </is>
      </c>
      <c r="C4513" t="n">
        <v>1986</v>
      </c>
      <c r="D4513" t="n">
        <v>5.822666961752</v>
      </c>
    </row>
    <row r="4514">
      <c r="A4514" t="inlineStr">
        <is>
          <t>Indonesia</t>
        </is>
      </c>
      <c r="B4514" t="inlineStr">
        <is>
          <t>IDN</t>
        </is>
      </c>
      <c r="C4514" t="n">
        <v>1987</v>
      </c>
      <c r="D4514" t="n">
        <v>9.278656131615881</v>
      </c>
    </row>
    <row r="4515">
      <c r="A4515" t="inlineStr">
        <is>
          <t>Indonesia</t>
        </is>
      </c>
      <c r="B4515" t="inlineStr">
        <is>
          <t>IDN</t>
        </is>
      </c>
      <c r="C4515" t="n">
        <v>1988</v>
      </c>
      <c r="D4515" t="n">
        <v>8.045367151230989</v>
      </c>
    </row>
    <row r="4516">
      <c r="A4516" t="inlineStr">
        <is>
          <t>Indonesia</t>
        </is>
      </c>
      <c r="B4516" t="inlineStr">
        <is>
          <t>IDN</t>
        </is>
      </c>
      <c r="C4516" t="n">
        <v>1989</v>
      </c>
      <c r="D4516" t="n">
        <v>6.41553963494971</v>
      </c>
    </row>
    <row r="4517">
      <c r="A4517" t="inlineStr">
        <is>
          <t>Indonesia</t>
        </is>
      </c>
      <c r="B4517" t="inlineStr">
        <is>
          <t>IDN</t>
        </is>
      </c>
      <c r="C4517" t="n">
        <v>1990</v>
      </c>
      <c r="D4517" t="n">
        <v>7.81919144730547</v>
      </c>
    </row>
    <row r="4518">
      <c r="A4518" t="inlineStr">
        <is>
          <t>Indonesia</t>
        </is>
      </c>
      <c r="B4518" t="inlineStr">
        <is>
          <t>IDN</t>
        </is>
      </c>
      <c r="C4518" t="n">
        <v>1991</v>
      </c>
      <c r="D4518" t="n">
        <v>9.41905827724146</v>
      </c>
    </row>
    <row r="4519">
      <c r="A4519" t="inlineStr">
        <is>
          <t>Indonesia</t>
        </is>
      </c>
      <c r="B4519" t="inlineStr">
        <is>
          <t>IDN</t>
        </is>
      </c>
      <c r="C4519" t="n">
        <v>1992</v>
      </c>
      <c r="D4519" t="n">
        <v>7.52351717022748</v>
      </c>
    </row>
    <row r="4520">
      <c r="A4520" t="inlineStr">
        <is>
          <t>Indonesia</t>
        </is>
      </c>
      <c r="B4520" t="inlineStr">
        <is>
          <t>IDN</t>
        </is>
      </c>
      <c r="C4520" t="n">
        <v>1993</v>
      </c>
      <c r="D4520" t="n">
        <v>9.67189338180118</v>
      </c>
    </row>
    <row r="4521">
      <c r="A4521" t="inlineStr">
        <is>
          <t>Indonesia</t>
        </is>
      </c>
      <c r="B4521" t="inlineStr">
        <is>
          <t>IDN</t>
        </is>
      </c>
      <c r="C4521" t="n">
        <v>1994</v>
      </c>
      <c r="D4521" t="n">
        <v>8.532005254188469</v>
      </c>
    </row>
    <row r="4522">
      <c r="A4522" t="inlineStr">
        <is>
          <t>Indonesia</t>
        </is>
      </c>
      <c r="B4522" t="inlineStr">
        <is>
          <t>IDN</t>
        </is>
      </c>
      <c r="C4522" t="n">
        <v>1995</v>
      </c>
      <c r="D4522" t="n">
        <v>9.42032321644615</v>
      </c>
    </row>
    <row r="4523">
      <c r="A4523" t="inlineStr">
        <is>
          <t>Indonesia</t>
        </is>
      </c>
      <c r="B4523" t="inlineStr">
        <is>
          <t>IDN</t>
        </is>
      </c>
      <c r="C4523" t="n">
        <v>1996</v>
      </c>
      <c r="D4523" t="n">
        <v>7.97328085611417</v>
      </c>
    </row>
    <row r="4524">
      <c r="A4524" t="inlineStr">
        <is>
          <t>Indonesia</t>
        </is>
      </c>
      <c r="B4524" t="inlineStr">
        <is>
          <t>IDN</t>
        </is>
      </c>
      <c r="C4524" t="n">
        <v>1997</v>
      </c>
      <c r="D4524" t="n">
        <v>6.22614163387588</v>
      </c>
    </row>
    <row r="4525">
      <c r="A4525" t="inlineStr">
        <is>
          <t>Indonesia</t>
        </is>
      </c>
      <c r="B4525" t="inlineStr">
        <is>
          <t>IDN</t>
        </is>
      </c>
      <c r="C4525" t="n">
        <v>1998</v>
      </c>
      <c r="D4525" t="n">
        <v>58.4510444723947</v>
      </c>
    </row>
    <row r="4526">
      <c r="A4526" t="inlineStr">
        <is>
          <t>Indonesia</t>
        </is>
      </c>
      <c r="B4526" t="inlineStr">
        <is>
          <t>IDN</t>
        </is>
      </c>
      <c r="C4526" t="n">
        <v>1999</v>
      </c>
      <c r="D4526" t="n">
        <v>20.47783111264</v>
      </c>
    </row>
    <row r="4527">
      <c r="A4527" t="inlineStr">
        <is>
          <t>Indonesia</t>
        </is>
      </c>
      <c r="B4527" t="inlineStr">
        <is>
          <t>IDN</t>
        </is>
      </c>
      <c r="C4527" t="n">
        <v>2000</v>
      </c>
      <c r="D4527" t="n">
        <v>3.68861915958352</v>
      </c>
    </row>
    <row r="4528">
      <c r="A4528" t="inlineStr">
        <is>
          <t>Indonesia</t>
        </is>
      </c>
      <c r="B4528" t="inlineStr">
        <is>
          <t>IDN</t>
        </is>
      </c>
      <c r="C4528" t="n">
        <v>2001</v>
      </c>
      <c r="D4528" t="n">
        <v>11.5001148791768</v>
      </c>
    </row>
    <row r="4529">
      <c r="A4529" t="inlineStr">
        <is>
          <t>Indonesia</t>
        </is>
      </c>
      <c r="B4529" t="inlineStr">
        <is>
          <t>IDN</t>
        </is>
      </c>
      <c r="C4529" t="n">
        <v>2002</v>
      </c>
      <c r="D4529" t="n">
        <v>11.9001175663778</v>
      </c>
    </row>
    <row r="4530">
      <c r="A4530" t="inlineStr">
        <is>
          <t>Indonesia</t>
        </is>
      </c>
      <c r="B4530" t="inlineStr">
        <is>
          <t>IDN</t>
        </is>
      </c>
      <c r="C4530" t="n">
        <v>2003</v>
      </c>
      <c r="D4530" t="n">
        <v>6.75731719362853</v>
      </c>
    </row>
    <row r="4531">
      <c r="A4531" t="inlineStr">
        <is>
          <t>Indonesia</t>
        </is>
      </c>
      <c r="B4531" t="inlineStr">
        <is>
          <t>IDN</t>
        </is>
      </c>
      <c r="C4531" t="n">
        <v>2004</v>
      </c>
      <c r="D4531" t="n">
        <v>6.06405988526521</v>
      </c>
    </row>
    <row r="4532">
      <c r="A4532" t="inlineStr">
        <is>
          <t>Indonesia</t>
        </is>
      </c>
      <c r="B4532" t="inlineStr">
        <is>
          <t>IDN</t>
        </is>
      </c>
      <c r="C4532" t="n">
        <v>2005</v>
      </c>
      <c r="D4532" t="n">
        <v>10.4531984193865</v>
      </c>
    </row>
    <row r="4533">
      <c r="A4533" t="inlineStr">
        <is>
          <t>Indonesia</t>
        </is>
      </c>
      <c r="B4533" t="inlineStr">
        <is>
          <t>IDN</t>
        </is>
      </c>
      <c r="C4533" t="n">
        <v>2006</v>
      </c>
      <c r="D4533" t="n">
        <v>13.1086720985296</v>
      </c>
    </row>
    <row r="4534">
      <c r="A4534" t="inlineStr">
        <is>
          <t>Indonesia</t>
        </is>
      </c>
      <c r="B4534" t="inlineStr">
        <is>
          <t>IDN</t>
        </is>
      </c>
      <c r="C4534" t="n">
        <v>2007</v>
      </c>
      <c r="D4534" t="n">
        <v>6.40656281325701</v>
      </c>
    </row>
    <row r="4535">
      <c r="A4535" t="inlineStr">
        <is>
          <t>Indonesia</t>
        </is>
      </c>
      <c r="B4535" t="inlineStr">
        <is>
          <t>IDN</t>
        </is>
      </c>
      <c r="C4535" t="n">
        <v>2008</v>
      </c>
      <c r="D4535" t="n">
        <v>10.2266645473148</v>
      </c>
    </row>
    <row r="4536">
      <c r="A4536" t="inlineStr">
        <is>
          <t>Indonesia</t>
        </is>
      </c>
      <c r="B4536" t="inlineStr">
        <is>
          <t>IDN</t>
        </is>
      </c>
      <c r="C4536" t="n">
        <v>2009</v>
      </c>
      <c r="D4536" t="n">
        <v>4.38641555014731</v>
      </c>
    </row>
    <row r="4537">
      <c r="A4537" t="inlineStr">
        <is>
          <t>Indonesia</t>
        </is>
      </c>
      <c r="B4537" t="inlineStr">
        <is>
          <t>IDN</t>
        </is>
      </c>
      <c r="C4537" t="n">
        <v>2010</v>
      </c>
      <c r="D4537" t="n">
        <v>5.13420400767928</v>
      </c>
    </row>
    <row r="4538">
      <c r="A4538" t="inlineStr">
        <is>
          <t>Indonesia</t>
        </is>
      </c>
      <c r="B4538" t="inlineStr">
        <is>
          <t>IDN</t>
        </is>
      </c>
      <c r="C4538" t="n">
        <v>2011</v>
      </c>
      <c r="D4538" t="n">
        <v>5.3560477898215</v>
      </c>
    </row>
    <row r="4539">
      <c r="A4539" t="inlineStr">
        <is>
          <t>Indonesia</t>
        </is>
      </c>
      <c r="B4539" t="inlineStr">
        <is>
          <t>IDN</t>
        </is>
      </c>
      <c r="C4539" t="n">
        <v>2012</v>
      </c>
      <c r="D4539" t="n">
        <v>4.27949999641975</v>
      </c>
    </row>
    <row r="4540">
      <c r="A4540" t="inlineStr">
        <is>
          <t>Indonesia</t>
        </is>
      </c>
      <c r="B4540" t="inlineStr">
        <is>
          <t>IDN</t>
        </is>
      </c>
      <c r="C4540" t="n">
        <v>2013</v>
      </c>
      <c r="D4540" t="n">
        <v>6.41251330156418</v>
      </c>
    </row>
    <row r="4541">
      <c r="A4541" t="inlineStr">
        <is>
          <t>Indonesia</t>
        </is>
      </c>
      <c r="B4541" t="inlineStr">
        <is>
          <t>IDN</t>
        </is>
      </c>
      <c r="C4541" t="n">
        <v>2014</v>
      </c>
      <c r="D4541" t="n">
        <v>6.39492540819922</v>
      </c>
    </row>
    <row r="4542">
      <c r="A4542" t="inlineStr">
        <is>
          <t>Indonesia</t>
        </is>
      </c>
      <c r="B4542" t="inlineStr">
        <is>
          <t>IDN</t>
        </is>
      </c>
      <c r="C4542" t="n">
        <v>2015</v>
      </c>
      <c r="D4542" t="n">
        <v>6.36312113115612</v>
      </c>
    </row>
    <row r="4543">
      <c r="A4543" t="inlineStr">
        <is>
          <t>Indonesia</t>
        </is>
      </c>
      <c r="B4543" t="inlineStr">
        <is>
          <t>IDN</t>
        </is>
      </c>
      <c r="C4543" t="n">
        <v>2016</v>
      </c>
      <c r="D4543" t="n">
        <v>3.5258051568793</v>
      </c>
    </row>
    <row r="4544">
      <c r="A4544" t="inlineStr">
        <is>
          <t>Indonesia</t>
        </is>
      </c>
      <c r="B4544" t="inlineStr">
        <is>
          <t>IDN</t>
        </is>
      </c>
      <c r="C4544" t="n">
        <v>2017</v>
      </c>
      <c r="D4544" t="n">
        <v>3.80879806953157</v>
      </c>
    </row>
    <row r="4545">
      <c r="A4545" t="inlineStr">
        <is>
          <t>Indonesia</t>
        </is>
      </c>
      <c r="B4545" t="inlineStr">
        <is>
          <t>IDN</t>
        </is>
      </c>
      <c r="C4545" t="n">
        <v>2018</v>
      </c>
      <c r="D4545" t="n">
        <v>3.1983464156241</v>
      </c>
    </row>
    <row r="4546">
      <c r="A4546" t="inlineStr">
        <is>
          <t>Indonesia</t>
        </is>
      </c>
      <c r="B4546" t="inlineStr">
        <is>
          <t>IDN</t>
        </is>
      </c>
      <c r="C4546" t="n">
        <v>2019</v>
      </c>
      <c r="D4546" t="n">
        <v>3.03058664969487</v>
      </c>
    </row>
    <row r="4547">
      <c r="A4547" t="inlineStr">
        <is>
          <t>Indonesia</t>
        </is>
      </c>
      <c r="B4547" t="inlineStr">
        <is>
          <t>IDN</t>
        </is>
      </c>
      <c r="C4547" t="n">
        <v>2020</v>
      </c>
      <c r="D4547" t="n">
        <v>1.9209680056685</v>
      </c>
    </row>
    <row r="4548">
      <c r="A4548" t="inlineStr">
        <is>
          <t>Indonesia</t>
        </is>
      </c>
      <c r="B4548" t="inlineStr">
        <is>
          <t>IDN</t>
        </is>
      </c>
      <c r="C4548" t="n">
        <v>2021</v>
      </c>
      <c r="D4548" t="n">
        <v>1.56012990525673</v>
      </c>
    </row>
    <row r="4549">
      <c r="A4549" t="inlineStr">
        <is>
          <t>Indonesia</t>
        </is>
      </c>
      <c r="B4549" t="inlineStr">
        <is>
          <t>IDN</t>
        </is>
      </c>
      <c r="C4549" t="n">
        <v>2022</v>
      </c>
      <c r="D4549" t="n">
        <v>4.20946383402165</v>
      </c>
    </row>
    <row r="4550">
      <c r="A4550" t="inlineStr">
        <is>
          <t>Indonesia</t>
        </is>
      </c>
      <c r="B4550" t="inlineStr">
        <is>
          <t>IDN</t>
        </is>
      </c>
      <c r="C4550" t="n">
        <v>2023</v>
      </c>
      <c r="D4550" t="n">
        <v>3.67013142377007</v>
      </c>
    </row>
    <row r="4551">
      <c r="A4551" t="inlineStr">
        <is>
          <t>IDA only</t>
        </is>
      </c>
      <c r="B4551" t="inlineStr">
        <is>
          <t>IDX</t>
        </is>
      </c>
      <c r="C4551" t="n">
        <v>1984</v>
      </c>
      <c r="D4551" t="n">
        <v>8.82339598893774</v>
      </c>
    </row>
    <row r="4552">
      <c r="A4552" t="inlineStr">
        <is>
          <t>IDA only</t>
        </is>
      </c>
      <c r="B4552" t="inlineStr">
        <is>
          <t>IDX</t>
        </is>
      </c>
      <c r="C4552" t="n">
        <v>1985</v>
      </c>
      <c r="D4552" t="n">
        <v>9.32936112984318</v>
      </c>
    </row>
    <row r="4553">
      <c r="A4553" t="inlineStr">
        <is>
          <t>IDA only</t>
        </is>
      </c>
      <c r="B4553" t="inlineStr">
        <is>
          <t>IDX</t>
        </is>
      </c>
      <c r="C4553" t="n">
        <v>1986</v>
      </c>
      <c r="D4553" t="n">
        <v>9.68295473116515</v>
      </c>
    </row>
    <row r="4554">
      <c r="A4554" t="inlineStr">
        <is>
          <t>IDA only</t>
        </is>
      </c>
      <c r="B4554" t="inlineStr">
        <is>
          <t>IDX</t>
        </is>
      </c>
      <c r="C4554" t="n">
        <v>1987</v>
      </c>
      <c r="D4554" t="n">
        <v>7.9347540718007</v>
      </c>
    </row>
    <row r="4555">
      <c r="A4555" t="inlineStr">
        <is>
          <t>IDA only</t>
        </is>
      </c>
      <c r="B4555" t="inlineStr">
        <is>
          <t>IDX</t>
        </is>
      </c>
      <c r="C4555" t="n">
        <v>1988</v>
      </c>
      <c r="D4555" t="n">
        <v>9.453513390096949</v>
      </c>
    </row>
    <row r="4556">
      <c r="A4556" t="inlineStr">
        <is>
          <t>IDA only</t>
        </is>
      </c>
      <c r="B4556" t="inlineStr">
        <is>
          <t>IDX</t>
        </is>
      </c>
      <c r="C4556" t="n">
        <v>1989</v>
      </c>
      <c r="D4556" t="n">
        <v>8.81336205065297</v>
      </c>
    </row>
    <row r="4557">
      <c r="A4557" t="inlineStr">
        <is>
          <t>IDA only</t>
        </is>
      </c>
      <c r="B4557" t="inlineStr">
        <is>
          <t>IDX</t>
        </is>
      </c>
      <c r="C4557" t="n">
        <v>1990</v>
      </c>
      <c r="D4557" t="n">
        <v>9.860851083983579</v>
      </c>
    </row>
    <row r="4558">
      <c r="A4558" t="inlineStr">
        <is>
          <t>IDA only</t>
        </is>
      </c>
      <c r="B4558" t="inlineStr">
        <is>
          <t>IDX</t>
        </is>
      </c>
      <c r="C4558" t="n">
        <v>1991</v>
      </c>
      <c r="D4558" t="n">
        <v>12.2751729438893</v>
      </c>
    </row>
    <row r="4559">
      <c r="A4559" t="inlineStr">
        <is>
          <t>IDA only</t>
        </is>
      </c>
      <c r="B4559" t="inlineStr">
        <is>
          <t>IDX</t>
        </is>
      </c>
      <c r="C4559" t="n">
        <v>1992</v>
      </c>
      <c r="D4559" t="n">
        <v>10.141817562151</v>
      </c>
    </row>
    <row r="4560">
      <c r="A4560" t="inlineStr">
        <is>
          <t>IDA only</t>
        </is>
      </c>
      <c r="B4560" t="inlineStr">
        <is>
          <t>IDX</t>
        </is>
      </c>
      <c r="C4560" t="n">
        <v>1993</v>
      </c>
      <c r="D4560" t="n">
        <v>9.52484537019695</v>
      </c>
    </row>
    <row r="4561">
      <c r="A4561" t="inlineStr">
        <is>
          <t>IDA only</t>
        </is>
      </c>
      <c r="B4561" t="inlineStr">
        <is>
          <t>IDX</t>
        </is>
      </c>
      <c r="C4561" t="n">
        <v>1994</v>
      </c>
      <c r="D4561" t="n">
        <v>22.4530690181237</v>
      </c>
    </row>
    <row r="4562">
      <c r="A4562" t="inlineStr">
        <is>
          <t>IDA only</t>
        </is>
      </c>
      <c r="B4562" t="inlineStr">
        <is>
          <t>IDX</t>
        </is>
      </c>
      <c r="C4562" t="n">
        <v>1995</v>
      </c>
      <c r="D4562" t="n">
        <v>11.3869074924854</v>
      </c>
    </row>
    <row r="4563">
      <c r="A4563" t="inlineStr">
        <is>
          <t>IDA only</t>
        </is>
      </c>
      <c r="B4563" t="inlineStr">
        <is>
          <t>IDX</t>
        </is>
      </c>
      <c r="C4563" t="n">
        <v>1996</v>
      </c>
      <c r="D4563" t="n">
        <v>8.51995195925336</v>
      </c>
    </row>
    <row r="4564">
      <c r="A4564" t="inlineStr">
        <is>
          <t>IDA only</t>
        </is>
      </c>
      <c r="B4564" t="inlineStr">
        <is>
          <t>IDX</t>
        </is>
      </c>
      <c r="C4564" t="n">
        <v>1997</v>
      </c>
      <c r="D4564" t="n">
        <v>7.21732911191735</v>
      </c>
    </row>
    <row r="4565">
      <c r="A4565" t="inlineStr">
        <is>
          <t>IDA only</t>
        </is>
      </c>
      <c r="B4565" t="inlineStr">
        <is>
          <t>IDX</t>
        </is>
      </c>
      <c r="C4565" t="n">
        <v>1998</v>
      </c>
      <c r="D4565" t="n">
        <v>6.20904159059565</v>
      </c>
    </row>
    <row r="4566">
      <c r="A4566" t="inlineStr">
        <is>
          <t>IDA only</t>
        </is>
      </c>
      <c r="B4566" t="inlineStr">
        <is>
          <t>IDX</t>
        </is>
      </c>
      <c r="C4566" t="n">
        <v>1999</v>
      </c>
      <c r="D4566" t="n">
        <v>4.57803015362165</v>
      </c>
    </row>
    <row r="4567">
      <c r="A4567" t="inlineStr">
        <is>
          <t>IDA only</t>
        </is>
      </c>
      <c r="B4567" t="inlineStr">
        <is>
          <t>IDX</t>
        </is>
      </c>
      <c r="C4567" t="n">
        <v>2000</v>
      </c>
      <c r="D4567" t="n">
        <v>4.01212081070342</v>
      </c>
    </row>
    <row r="4568">
      <c r="A4568" t="inlineStr">
        <is>
          <t>IDA only</t>
        </is>
      </c>
      <c r="B4568" t="inlineStr">
        <is>
          <t>IDX</t>
        </is>
      </c>
      <c r="C4568" t="n">
        <v>2001</v>
      </c>
      <c r="D4568" t="n">
        <v>4.60374621964682</v>
      </c>
    </row>
    <row r="4569">
      <c r="A4569" t="inlineStr">
        <is>
          <t>IDA only</t>
        </is>
      </c>
      <c r="B4569" t="inlineStr">
        <is>
          <t>IDX</t>
        </is>
      </c>
      <c r="C4569" t="n">
        <v>2002</v>
      </c>
      <c r="D4569" t="n">
        <v>4.1786723990479</v>
      </c>
    </row>
    <row r="4570">
      <c r="A4570" t="inlineStr">
        <is>
          <t>IDA only</t>
        </is>
      </c>
      <c r="B4570" t="inlineStr">
        <is>
          <t>IDX</t>
        </is>
      </c>
      <c r="C4570" t="n">
        <v>2003</v>
      </c>
      <c r="D4570" t="n">
        <v>5.68785852658107</v>
      </c>
    </row>
    <row r="4571">
      <c r="A4571" t="inlineStr">
        <is>
          <t>IDA only</t>
        </is>
      </c>
      <c r="B4571" t="inlineStr">
        <is>
          <t>IDX</t>
        </is>
      </c>
      <c r="C4571" t="n">
        <v>2004</v>
      </c>
      <c r="D4571" t="n">
        <v>4.60133998249787</v>
      </c>
    </row>
    <row r="4572">
      <c r="A4572" t="inlineStr">
        <is>
          <t>IDA only</t>
        </is>
      </c>
      <c r="B4572" t="inlineStr">
        <is>
          <t>IDX</t>
        </is>
      </c>
      <c r="C4572" t="n">
        <v>2005</v>
      </c>
      <c r="D4572" t="n">
        <v>7.16541759946639</v>
      </c>
    </row>
    <row r="4573">
      <c r="A4573" t="inlineStr">
        <is>
          <t>IDA only</t>
        </is>
      </c>
      <c r="B4573" t="inlineStr">
        <is>
          <t>IDX</t>
        </is>
      </c>
      <c r="C4573" t="n">
        <v>2006</v>
      </c>
      <c r="D4573" t="n">
        <v>6.69526465773354</v>
      </c>
    </row>
    <row r="4574">
      <c r="A4574" t="inlineStr">
        <is>
          <t>IDA only</t>
        </is>
      </c>
      <c r="B4574" t="inlineStr">
        <is>
          <t>IDX</t>
        </is>
      </c>
      <c r="C4574" t="n">
        <v>2007</v>
      </c>
      <c r="D4574" t="n">
        <v>7.02551436974771</v>
      </c>
    </row>
    <row r="4575">
      <c r="A4575" t="inlineStr">
        <is>
          <t>IDA only</t>
        </is>
      </c>
      <c r="B4575" t="inlineStr">
        <is>
          <t>IDX</t>
        </is>
      </c>
      <c r="C4575" t="n">
        <v>2008</v>
      </c>
      <c r="D4575" t="n">
        <v>11.4034270813932</v>
      </c>
    </row>
    <row r="4576">
      <c r="A4576" t="inlineStr">
        <is>
          <t>IDA only</t>
        </is>
      </c>
      <c r="B4576" t="inlineStr">
        <is>
          <t>IDX</t>
        </is>
      </c>
      <c r="C4576" t="n">
        <v>2009</v>
      </c>
      <c r="D4576" t="n">
        <v>4.44626244229259</v>
      </c>
    </row>
    <row r="4577">
      <c r="A4577" t="inlineStr">
        <is>
          <t>IDA only</t>
        </is>
      </c>
      <c r="B4577" t="inlineStr">
        <is>
          <t>IDX</t>
        </is>
      </c>
      <c r="C4577" t="n">
        <v>2010</v>
      </c>
      <c r="D4577" t="n">
        <v>4.76311627525449</v>
      </c>
    </row>
    <row r="4578">
      <c r="A4578" t="inlineStr">
        <is>
          <t>IDA only</t>
        </is>
      </c>
      <c r="B4578" t="inlineStr">
        <is>
          <t>IDX</t>
        </is>
      </c>
      <c r="C4578" t="n">
        <v>2011</v>
      </c>
      <c r="D4578" t="n">
        <v>6.7167684358854</v>
      </c>
    </row>
    <row r="4579">
      <c r="A4579" t="inlineStr">
        <is>
          <t>IDA only</t>
        </is>
      </c>
      <c r="B4579" t="inlineStr">
        <is>
          <t>IDX</t>
        </is>
      </c>
      <c r="C4579" t="n">
        <v>2012</v>
      </c>
      <c r="D4579" t="n">
        <v>5.98172132315561</v>
      </c>
    </row>
    <row r="4580">
      <c r="A4580" t="inlineStr">
        <is>
          <t>IDA only</t>
        </is>
      </c>
      <c r="B4580" t="inlineStr">
        <is>
          <t>IDX</t>
        </is>
      </c>
      <c r="C4580" t="n">
        <v>2013</v>
      </c>
      <c r="D4580" t="n">
        <v>5.08577271963222</v>
      </c>
    </row>
    <row r="4581">
      <c r="A4581" t="inlineStr">
        <is>
          <t>IDA only</t>
        </is>
      </c>
      <c r="B4581" t="inlineStr">
        <is>
          <t>IDX</t>
        </is>
      </c>
      <c r="C4581" t="n">
        <v>2014</v>
      </c>
      <c r="D4581" t="n">
        <v>4.12924306873771</v>
      </c>
    </row>
    <row r="4582">
      <c r="A4582" t="inlineStr">
        <is>
          <t>IDA only</t>
        </is>
      </c>
      <c r="B4582" t="inlineStr">
        <is>
          <t>IDX</t>
        </is>
      </c>
      <c r="C4582" t="n">
        <v>2015</v>
      </c>
      <c r="D4582" t="n">
        <v>3.40274327737188</v>
      </c>
    </row>
    <row r="4583">
      <c r="A4583" t="inlineStr">
        <is>
          <t>IDA only</t>
        </is>
      </c>
      <c r="B4583" t="inlineStr">
        <is>
          <t>IDX</t>
        </is>
      </c>
      <c r="C4583" t="n">
        <v>2016</v>
      </c>
      <c r="D4583" t="n">
        <v>3.74103082110772</v>
      </c>
    </row>
    <row r="4584">
      <c r="A4584" t="inlineStr">
        <is>
          <t>IDA only</t>
        </is>
      </c>
      <c r="B4584" t="inlineStr">
        <is>
          <t>IDX</t>
        </is>
      </c>
      <c r="C4584" t="n">
        <v>2017</v>
      </c>
      <c r="D4584" t="n">
        <v>4.31421134623784</v>
      </c>
    </row>
    <row r="4585">
      <c r="A4585" t="inlineStr">
        <is>
          <t>IDA only</t>
        </is>
      </c>
      <c r="B4585" t="inlineStr">
        <is>
          <t>IDX</t>
        </is>
      </c>
      <c r="C4585" t="n">
        <v>2018</v>
      </c>
      <c r="D4585" t="n">
        <v>3.01748181031406</v>
      </c>
    </row>
    <row r="4586">
      <c r="A4586" t="inlineStr">
        <is>
          <t>IDA only</t>
        </is>
      </c>
      <c r="B4586" t="inlineStr">
        <is>
          <t>IDX</t>
        </is>
      </c>
      <c r="C4586" t="n">
        <v>2019</v>
      </c>
      <c r="D4586" t="n">
        <v>2.83514555687506</v>
      </c>
    </row>
    <row r="4587">
      <c r="A4587" t="inlineStr">
        <is>
          <t>IDA only</t>
        </is>
      </c>
      <c r="B4587" t="inlineStr">
        <is>
          <t>IDX</t>
        </is>
      </c>
      <c r="C4587" t="n">
        <v>2020</v>
      </c>
      <c r="D4587" t="n">
        <v>3.94180326908065</v>
      </c>
    </row>
    <row r="4588">
      <c r="A4588" t="inlineStr">
        <is>
          <t>IDA only</t>
        </is>
      </c>
      <c r="B4588" t="inlineStr">
        <is>
          <t>IDX</t>
        </is>
      </c>
      <c r="C4588" t="n">
        <v>2021</v>
      </c>
      <c r="D4588" t="n">
        <v>4.37012190478156</v>
      </c>
    </row>
    <row r="4589">
      <c r="A4589" t="inlineStr">
        <is>
          <t>IDA only</t>
        </is>
      </c>
      <c r="B4589" t="inlineStr">
        <is>
          <t>IDX</t>
        </is>
      </c>
      <c r="C4589" t="n">
        <v>2022</v>
      </c>
      <c r="D4589" t="n">
        <v>9.45955253039717</v>
      </c>
    </row>
    <row r="4590">
      <c r="A4590" t="inlineStr">
        <is>
          <t>IDA only</t>
        </is>
      </c>
      <c r="B4590" t="inlineStr">
        <is>
          <t>IDX</t>
        </is>
      </c>
      <c r="C4590" t="n">
        <v>2023</v>
      </c>
      <c r="D4590" t="n">
        <v>7.11475951738199</v>
      </c>
    </row>
    <row r="4591">
      <c r="A4591" t="inlineStr">
        <is>
          <t>India</t>
        </is>
      </c>
      <c r="B4591" t="inlineStr">
        <is>
          <t>IND</t>
        </is>
      </c>
      <c r="C4591" t="n">
        <v>1960</v>
      </c>
      <c r="D4591" t="n">
        <v>1.77987784677382</v>
      </c>
    </row>
    <row r="4592">
      <c r="A4592" t="inlineStr">
        <is>
          <t>India</t>
        </is>
      </c>
      <c r="B4592" t="inlineStr">
        <is>
          <t>IND</t>
        </is>
      </c>
      <c r="C4592" t="n">
        <v>1961</v>
      </c>
      <c r="D4592" t="n">
        <v>1.69521293914433</v>
      </c>
    </row>
    <row r="4593">
      <c r="A4593" t="inlineStr">
        <is>
          <t>India</t>
        </is>
      </c>
      <c r="B4593" t="inlineStr">
        <is>
          <t>IND</t>
        </is>
      </c>
      <c r="C4593" t="n">
        <v>1962</v>
      </c>
      <c r="D4593" t="n">
        <v>3.63221497106987</v>
      </c>
    </row>
    <row r="4594">
      <c r="A4594" t="inlineStr">
        <is>
          <t>India</t>
        </is>
      </c>
      <c r="B4594" t="inlineStr">
        <is>
          <t>IND</t>
        </is>
      </c>
      <c r="C4594" t="n">
        <v>1963</v>
      </c>
      <c r="D4594" t="n">
        <v>2.94616135685229</v>
      </c>
    </row>
    <row r="4595">
      <c r="A4595" t="inlineStr">
        <is>
          <t>India</t>
        </is>
      </c>
      <c r="B4595" t="inlineStr">
        <is>
          <t>IND</t>
        </is>
      </c>
      <c r="C4595" t="n">
        <v>1964</v>
      </c>
      <c r="D4595" t="n">
        <v>13.3552611508153</v>
      </c>
    </row>
    <row r="4596">
      <c r="A4596" t="inlineStr">
        <is>
          <t>India</t>
        </is>
      </c>
      <c r="B4596" t="inlineStr">
        <is>
          <t>IND</t>
        </is>
      </c>
      <c r="C4596" t="n">
        <v>1965</v>
      </c>
      <c r="D4596" t="n">
        <v>9.474758591706991</v>
      </c>
    </row>
    <row r="4597">
      <c r="A4597" t="inlineStr">
        <is>
          <t>India</t>
        </is>
      </c>
      <c r="B4597" t="inlineStr">
        <is>
          <t>IND</t>
        </is>
      </c>
      <c r="C4597" t="n">
        <v>1966</v>
      </c>
      <c r="D4597" t="n">
        <v>10.8018483489342</v>
      </c>
    </row>
    <row r="4598">
      <c r="A4598" t="inlineStr">
        <is>
          <t>India</t>
        </is>
      </c>
      <c r="B4598" t="inlineStr">
        <is>
          <t>IND</t>
        </is>
      </c>
      <c r="C4598" t="n">
        <v>1967</v>
      </c>
      <c r="D4598" t="n">
        <v>13.062202477797</v>
      </c>
    </row>
    <row r="4599">
      <c r="A4599" t="inlineStr">
        <is>
          <t>India</t>
        </is>
      </c>
      <c r="B4599" t="inlineStr">
        <is>
          <t>IND</t>
        </is>
      </c>
      <c r="C4599" t="n">
        <v>1968</v>
      </c>
      <c r="D4599" t="n">
        <v>3.23741242627502</v>
      </c>
    </row>
    <row r="4600">
      <c r="A4600" t="inlineStr">
        <is>
          <t>India</t>
        </is>
      </c>
      <c r="B4600" t="inlineStr">
        <is>
          <t>IND</t>
        </is>
      </c>
      <c r="C4600" t="n">
        <v>1969</v>
      </c>
      <c r="D4600" t="n">
        <v>-0.584136610466349</v>
      </c>
    </row>
    <row r="4601">
      <c r="A4601" t="inlineStr">
        <is>
          <t>India</t>
        </is>
      </c>
      <c r="B4601" t="inlineStr">
        <is>
          <t>IND</t>
        </is>
      </c>
      <c r="C4601" t="n">
        <v>1970</v>
      </c>
      <c r="D4601" t="n">
        <v>5.09226161997552</v>
      </c>
    </row>
    <row r="4602">
      <c r="A4602" t="inlineStr">
        <is>
          <t>India</t>
        </is>
      </c>
      <c r="B4602" t="inlineStr">
        <is>
          <t>IND</t>
        </is>
      </c>
      <c r="C4602" t="n">
        <v>1971</v>
      </c>
      <c r="D4602" t="n">
        <v>3.07993868406537</v>
      </c>
    </row>
    <row r="4603">
      <c r="A4603" t="inlineStr">
        <is>
          <t>India</t>
        </is>
      </c>
      <c r="B4603" t="inlineStr">
        <is>
          <t>IND</t>
        </is>
      </c>
      <c r="C4603" t="n">
        <v>1972</v>
      </c>
      <c r="D4603" t="n">
        <v>6.44209746158243</v>
      </c>
    </row>
    <row r="4604">
      <c r="A4604" t="inlineStr">
        <is>
          <t>India</t>
        </is>
      </c>
      <c r="B4604" t="inlineStr">
        <is>
          <t>IND</t>
        </is>
      </c>
      <c r="C4604" t="n">
        <v>1973</v>
      </c>
      <c r="D4604" t="n">
        <v>16.9408159791736</v>
      </c>
    </row>
    <row r="4605">
      <c r="A4605" t="inlineStr">
        <is>
          <t>India</t>
        </is>
      </c>
      <c r="B4605" t="inlineStr">
        <is>
          <t>IND</t>
        </is>
      </c>
      <c r="C4605" t="n">
        <v>1974</v>
      </c>
      <c r="D4605" t="n">
        <v>28.598734077509</v>
      </c>
    </row>
    <row r="4606">
      <c r="A4606" t="inlineStr">
        <is>
          <t>India</t>
        </is>
      </c>
      <c r="B4606" t="inlineStr">
        <is>
          <t>IND</t>
        </is>
      </c>
      <c r="C4606" t="n">
        <v>1975</v>
      </c>
      <c r="D4606" t="n">
        <v>5.74843029767437</v>
      </c>
    </row>
    <row r="4607">
      <c r="A4607" t="inlineStr">
        <is>
          <t>India</t>
        </is>
      </c>
      <c r="B4607" t="inlineStr">
        <is>
          <t>IND</t>
        </is>
      </c>
      <c r="C4607" t="n">
        <v>1976</v>
      </c>
      <c r="D4607" t="n">
        <v>-7.63394763392882</v>
      </c>
    </row>
    <row r="4608">
      <c r="A4608" t="inlineStr">
        <is>
          <t>India</t>
        </is>
      </c>
      <c r="B4608" t="inlineStr">
        <is>
          <t>IND</t>
        </is>
      </c>
      <c r="C4608" t="n">
        <v>1977</v>
      </c>
      <c r="D4608" t="n">
        <v>8.307470091711661</v>
      </c>
    </row>
    <row r="4609">
      <c r="A4609" t="inlineStr">
        <is>
          <t>India</t>
        </is>
      </c>
      <c r="B4609" t="inlineStr">
        <is>
          <t>IND</t>
        </is>
      </c>
      <c r="C4609" t="n">
        <v>1978</v>
      </c>
      <c r="D4609" t="n">
        <v>2.5230487569518</v>
      </c>
    </row>
    <row r="4610">
      <c r="A4610" t="inlineStr">
        <is>
          <t>India</t>
        </is>
      </c>
      <c r="B4610" t="inlineStr">
        <is>
          <t>IND</t>
        </is>
      </c>
      <c r="C4610" t="n">
        <v>1979</v>
      </c>
      <c r="D4610" t="n">
        <v>6.27568336762335</v>
      </c>
    </row>
    <row r="4611">
      <c r="A4611" t="inlineStr">
        <is>
          <t>India</t>
        </is>
      </c>
      <c r="B4611" t="inlineStr">
        <is>
          <t>IND</t>
        </is>
      </c>
      <c r="C4611" t="n">
        <v>1980</v>
      </c>
      <c r="D4611" t="n">
        <v>11.3460734795095</v>
      </c>
    </row>
    <row r="4612">
      <c r="A4612" t="inlineStr">
        <is>
          <t>India</t>
        </is>
      </c>
      <c r="B4612" t="inlineStr">
        <is>
          <t>IND</t>
        </is>
      </c>
      <c r="C4612" t="n">
        <v>1981</v>
      </c>
      <c r="D4612" t="n">
        <v>13.112546897642</v>
      </c>
    </row>
    <row r="4613">
      <c r="A4613" t="inlineStr">
        <is>
          <t>India</t>
        </is>
      </c>
      <c r="B4613" t="inlineStr">
        <is>
          <t>IND</t>
        </is>
      </c>
      <c r="C4613" t="n">
        <v>1982</v>
      </c>
      <c r="D4613" t="n">
        <v>7.89074279377487</v>
      </c>
    </row>
    <row r="4614">
      <c r="A4614" t="inlineStr">
        <is>
          <t>India</t>
        </is>
      </c>
      <c r="B4614" t="inlineStr">
        <is>
          <t>IND</t>
        </is>
      </c>
      <c r="C4614" t="n">
        <v>1983</v>
      </c>
      <c r="D4614" t="n">
        <v>11.8680812986734</v>
      </c>
    </row>
    <row r="4615">
      <c r="A4615" t="inlineStr">
        <is>
          <t>India</t>
        </is>
      </c>
      <c r="B4615" t="inlineStr">
        <is>
          <t>IND</t>
        </is>
      </c>
      <c r="C4615" t="n">
        <v>1984</v>
      </c>
      <c r="D4615" t="n">
        <v>8.3189071186008</v>
      </c>
    </row>
    <row r="4616">
      <c r="A4616" t="inlineStr">
        <is>
          <t>India</t>
        </is>
      </c>
      <c r="B4616" t="inlineStr">
        <is>
          <t>IND</t>
        </is>
      </c>
      <c r="C4616" t="n">
        <v>1985</v>
      </c>
      <c r="D4616" t="n">
        <v>5.55642423236554</v>
      </c>
    </row>
    <row r="4617">
      <c r="A4617" t="inlineStr">
        <is>
          <t>India</t>
        </is>
      </c>
      <c r="B4617" t="inlineStr">
        <is>
          <t>IND</t>
        </is>
      </c>
      <c r="C4617" t="n">
        <v>1986</v>
      </c>
      <c r="D4617" t="n">
        <v>8.729720727025811</v>
      </c>
    </row>
    <row r="4618">
      <c r="A4618" t="inlineStr">
        <is>
          <t>India</t>
        </is>
      </c>
      <c r="B4618" t="inlineStr">
        <is>
          <t>IND</t>
        </is>
      </c>
      <c r="C4618" t="n">
        <v>1987</v>
      </c>
      <c r="D4618" t="n">
        <v>8.801125812518331</v>
      </c>
    </row>
    <row r="4619">
      <c r="A4619" t="inlineStr">
        <is>
          <t>India</t>
        </is>
      </c>
      <c r="B4619" t="inlineStr">
        <is>
          <t>IND</t>
        </is>
      </c>
      <c r="C4619" t="n">
        <v>1988</v>
      </c>
      <c r="D4619" t="n">
        <v>9.38347186185335</v>
      </c>
    </row>
    <row r="4620">
      <c r="A4620" t="inlineStr">
        <is>
          <t>India</t>
        </is>
      </c>
      <c r="B4620" t="inlineStr">
        <is>
          <t>IND</t>
        </is>
      </c>
      <c r="C4620" t="n">
        <v>1989</v>
      </c>
      <c r="D4620" t="n">
        <v>7.07428002942301</v>
      </c>
    </row>
    <row r="4621">
      <c r="A4621" t="inlineStr">
        <is>
          <t>India</t>
        </is>
      </c>
      <c r="B4621" t="inlineStr">
        <is>
          <t>IND</t>
        </is>
      </c>
      <c r="C4621" t="n">
        <v>1990</v>
      </c>
      <c r="D4621" t="n">
        <v>8.9712325027325</v>
      </c>
    </row>
    <row r="4622">
      <c r="A4622" t="inlineStr">
        <is>
          <t>India</t>
        </is>
      </c>
      <c r="B4622" t="inlineStr">
        <is>
          <t>IND</t>
        </is>
      </c>
      <c r="C4622" t="n">
        <v>1991</v>
      </c>
      <c r="D4622" t="n">
        <v>13.8702461773683</v>
      </c>
    </row>
    <row r="4623">
      <c r="A4623" t="inlineStr">
        <is>
          <t>India</t>
        </is>
      </c>
      <c r="B4623" t="inlineStr">
        <is>
          <t>IND</t>
        </is>
      </c>
      <c r="C4623" t="n">
        <v>1992</v>
      </c>
      <c r="D4623" t="n">
        <v>11.7878170418134</v>
      </c>
    </row>
    <row r="4624">
      <c r="A4624" t="inlineStr">
        <is>
          <t>India</t>
        </is>
      </c>
      <c r="B4624" t="inlineStr">
        <is>
          <t>IND</t>
        </is>
      </c>
      <c r="C4624" t="n">
        <v>1993</v>
      </c>
      <c r="D4624" t="n">
        <v>6.32689048779867</v>
      </c>
    </row>
    <row r="4625">
      <c r="A4625" t="inlineStr">
        <is>
          <t>India</t>
        </is>
      </c>
      <c r="B4625" t="inlineStr">
        <is>
          <t>IND</t>
        </is>
      </c>
      <c r="C4625" t="n">
        <v>1994</v>
      </c>
      <c r="D4625" t="n">
        <v>10.2479355556119</v>
      </c>
    </row>
    <row r="4626">
      <c r="A4626" t="inlineStr">
        <is>
          <t>India</t>
        </is>
      </c>
      <c r="B4626" t="inlineStr">
        <is>
          <t>IND</t>
        </is>
      </c>
      <c r="C4626" t="n">
        <v>1995</v>
      </c>
      <c r="D4626" t="n">
        <v>10.2248861637544</v>
      </c>
    </row>
    <row r="4627">
      <c r="A4627" t="inlineStr">
        <is>
          <t>India</t>
        </is>
      </c>
      <c r="B4627" t="inlineStr">
        <is>
          <t>IND</t>
        </is>
      </c>
      <c r="C4627" t="n">
        <v>1996</v>
      </c>
      <c r="D4627" t="n">
        <v>8.97715233826453</v>
      </c>
    </row>
    <row r="4628">
      <c r="A4628" t="inlineStr">
        <is>
          <t>India</t>
        </is>
      </c>
      <c r="B4628" t="inlineStr">
        <is>
          <t>IND</t>
        </is>
      </c>
      <c r="C4628" t="n">
        <v>1997</v>
      </c>
      <c r="D4628" t="n">
        <v>7.16425211462724</v>
      </c>
    </row>
    <row r="4629">
      <c r="A4629" t="inlineStr">
        <is>
          <t>India</t>
        </is>
      </c>
      <c r="B4629" t="inlineStr">
        <is>
          <t>IND</t>
        </is>
      </c>
      <c r="C4629" t="n">
        <v>1998</v>
      </c>
      <c r="D4629" t="n">
        <v>13.2308389767977</v>
      </c>
    </row>
    <row r="4630">
      <c r="A4630" t="inlineStr">
        <is>
          <t>India</t>
        </is>
      </c>
      <c r="B4630" t="inlineStr">
        <is>
          <t>IND</t>
        </is>
      </c>
      <c r="C4630" t="n">
        <v>1999</v>
      </c>
      <c r="D4630" t="n">
        <v>4.66982038037594</v>
      </c>
    </row>
    <row r="4631">
      <c r="A4631" t="inlineStr">
        <is>
          <t>India</t>
        </is>
      </c>
      <c r="B4631" t="inlineStr">
        <is>
          <t>IND</t>
        </is>
      </c>
      <c r="C4631" t="n">
        <v>2000</v>
      </c>
      <c r="D4631" t="n">
        <v>4.0094359104519</v>
      </c>
    </row>
    <row r="4632">
      <c r="A4632" t="inlineStr">
        <is>
          <t>India</t>
        </is>
      </c>
      <c r="B4632" t="inlineStr">
        <is>
          <t>IND</t>
        </is>
      </c>
      <c r="C4632" t="n">
        <v>2001</v>
      </c>
      <c r="D4632" t="n">
        <v>3.77929312235637</v>
      </c>
    </row>
    <row r="4633">
      <c r="A4633" t="inlineStr">
        <is>
          <t>India</t>
        </is>
      </c>
      <c r="B4633" t="inlineStr">
        <is>
          <t>IND</t>
        </is>
      </c>
      <c r="C4633" t="n">
        <v>2002</v>
      </c>
      <c r="D4633" t="n">
        <v>4.29715203929563</v>
      </c>
    </row>
    <row r="4634">
      <c r="A4634" t="inlineStr">
        <is>
          <t>India</t>
        </is>
      </c>
      <c r="B4634" t="inlineStr">
        <is>
          <t>IND</t>
        </is>
      </c>
      <c r="C4634" t="n">
        <v>2003</v>
      </c>
      <c r="D4634" t="n">
        <v>3.80585899528851</v>
      </c>
    </row>
    <row r="4635">
      <c r="A4635" t="inlineStr">
        <is>
          <t>India</t>
        </is>
      </c>
      <c r="B4635" t="inlineStr">
        <is>
          <t>IND</t>
        </is>
      </c>
      <c r="C4635" t="n">
        <v>2004</v>
      </c>
      <c r="D4635" t="n">
        <v>3.76725173477515</v>
      </c>
    </row>
    <row r="4636">
      <c r="A4636" t="inlineStr">
        <is>
          <t>India</t>
        </is>
      </c>
      <c r="B4636" t="inlineStr">
        <is>
          <t>IND</t>
        </is>
      </c>
      <c r="C4636" t="n">
        <v>2005</v>
      </c>
      <c r="D4636" t="n">
        <v>4.24634362031922</v>
      </c>
    </row>
    <row r="4637">
      <c r="A4637" t="inlineStr">
        <is>
          <t>India</t>
        </is>
      </c>
      <c r="B4637" t="inlineStr">
        <is>
          <t>IND</t>
        </is>
      </c>
      <c r="C4637" t="n">
        <v>2006</v>
      </c>
      <c r="D4637" t="n">
        <v>5.79652337561634</v>
      </c>
    </row>
    <row r="4638">
      <c r="A4638" t="inlineStr">
        <is>
          <t>India</t>
        </is>
      </c>
      <c r="B4638" t="inlineStr">
        <is>
          <t>IND</t>
        </is>
      </c>
      <c r="C4638" t="n">
        <v>2007</v>
      </c>
      <c r="D4638" t="n">
        <v>6.37288135593231</v>
      </c>
    </row>
    <row r="4639">
      <c r="A4639" t="inlineStr">
        <is>
          <t>India</t>
        </is>
      </c>
      <c r="B4639" t="inlineStr">
        <is>
          <t>IND</t>
        </is>
      </c>
      <c r="C4639" t="n">
        <v>2008</v>
      </c>
      <c r="D4639" t="n">
        <v>8.349267049075809</v>
      </c>
    </row>
    <row r="4640">
      <c r="A4640" t="inlineStr">
        <is>
          <t>India</t>
        </is>
      </c>
      <c r="B4640" t="inlineStr">
        <is>
          <t>IND</t>
        </is>
      </c>
      <c r="C4640" t="n">
        <v>2009</v>
      </c>
      <c r="D4640" t="n">
        <v>10.8823529411764</v>
      </c>
    </row>
    <row r="4641">
      <c r="A4641" t="inlineStr">
        <is>
          <t>India</t>
        </is>
      </c>
      <c r="B4641" t="inlineStr">
        <is>
          <t>IND</t>
        </is>
      </c>
      <c r="C4641" t="n">
        <v>2010</v>
      </c>
      <c r="D4641" t="n">
        <v>11.9893899204244</v>
      </c>
    </row>
    <row r="4642">
      <c r="A4642" t="inlineStr">
        <is>
          <t>India</t>
        </is>
      </c>
      <c r="B4642" t="inlineStr">
        <is>
          <t>IND</t>
        </is>
      </c>
      <c r="C4642" t="n">
        <v>2011</v>
      </c>
      <c r="D4642" t="n">
        <v>8.911793364833709</v>
      </c>
    </row>
    <row r="4643">
      <c r="A4643" t="inlineStr">
        <is>
          <t>India</t>
        </is>
      </c>
      <c r="B4643" t="inlineStr">
        <is>
          <t>IND</t>
        </is>
      </c>
      <c r="C4643" t="n">
        <v>2012</v>
      </c>
      <c r="D4643" t="n">
        <v>9.47899691419801</v>
      </c>
    </row>
    <row r="4644">
      <c r="A4644" t="inlineStr">
        <is>
          <t>India</t>
        </is>
      </c>
      <c r="B4644" t="inlineStr">
        <is>
          <t>IND</t>
        </is>
      </c>
      <c r="C4644" t="n">
        <v>2013</v>
      </c>
      <c r="D4644" t="n">
        <v>10.0178784746102</v>
      </c>
    </row>
    <row r="4645">
      <c r="A4645" t="inlineStr">
        <is>
          <t>India</t>
        </is>
      </c>
      <c r="B4645" t="inlineStr">
        <is>
          <t>IND</t>
        </is>
      </c>
      <c r="C4645" t="n">
        <v>2014</v>
      </c>
      <c r="D4645" t="n">
        <v>6.66565671867899</v>
      </c>
    </row>
    <row r="4646">
      <c r="A4646" t="inlineStr">
        <is>
          <t>India</t>
        </is>
      </c>
      <c r="B4646" t="inlineStr">
        <is>
          <t>IND</t>
        </is>
      </c>
      <c r="C4646" t="n">
        <v>2015</v>
      </c>
      <c r="D4646" t="n">
        <v>4.90697344127256</v>
      </c>
    </row>
    <row r="4647">
      <c r="A4647" t="inlineStr">
        <is>
          <t>India</t>
        </is>
      </c>
      <c r="B4647" t="inlineStr">
        <is>
          <t>IND</t>
        </is>
      </c>
      <c r="C4647" t="n">
        <v>2016</v>
      </c>
      <c r="D4647" t="n">
        <v>4.94821634062141</v>
      </c>
    </row>
    <row r="4648">
      <c r="A4648" t="inlineStr">
        <is>
          <t>India</t>
        </is>
      </c>
      <c r="B4648" t="inlineStr">
        <is>
          <t>IND</t>
        </is>
      </c>
      <c r="C4648" t="n">
        <v>2017</v>
      </c>
      <c r="D4648" t="n">
        <v>3.32817337461298</v>
      </c>
    </row>
    <row r="4649">
      <c r="A4649" t="inlineStr">
        <is>
          <t>India</t>
        </is>
      </c>
      <c r="B4649" t="inlineStr">
        <is>
          <t>IND</t>
        </is>
      </c>
      <c r="C4649" t="n">
        <v>2018</v>
      </c>
      <c r="D4649" t="n">
        <v>3.9388264669163</v>
      </c>
    </row>
    <row r="4650">
      <c r="A4650" t="inlineStr">
        <is>
          <t>India</t>
        </is>
      </c>
      <c r="B4650" t="inlineStr">
        <is>
          <t>IND</t>
        </is>
      </c>
      <c r="C4650" t="n">
        <v>2019</v>
      </c>
      <c r="D4650" t="n">
        <v>3.72950573539129</v>
      </c>
    </row>
    <row r="4651">
      <c r="A4651" t="inlineStr">
        <is>
          <t>India</t>
        </is>
      </c>
      <c r="B4651" t="inlineStr">
        <is>
          <t>IND</t>
        </is>
      </c>
      <c r="C4651" t="n">
        <v>2020</v>
      </c>
      <c r="D4651" t="n">
        <v>6.62343677628535</v>
      </c>
    </row>
    <row r="4652">
      <c r="A4652" t="inlineStr">
        <is>
          <t>India</t>
        </is>
      </c>
      <c r="B4652" t="inlineStr">
        <is>
          <t>IND</t>
        </is>
      </c>
      <c r="C4652" t="n">
        <v>2021</v>
      </c>
      <c r="D4652" t="n">
        <v>5.13140747176369</v>
      </c>
    </row>
    <row r="4653">
      <c r="A4653" t="inlineStr">
        <is>
          <t>India</t>
        </is>
      </c>
      <c r="B4653" t="inlineStr">
        <is>
          <t>IND</t>
        </is>
      </c>
      <c r="C4653" t="n">
        <v>2022</v>
      </c>
      <c r="D4653" t="n">
        <v>6.69903414079852</v>
      </c>
    </row>
    <row r="4654">
      <c r="A4654" t="inlineStr">
        <is>
          <t>India</t>
        </is>
      </c>
      <c r="B4654" t="inlineStr">
        <is>
          <t>IND</t>
        </is>
      </c>
      <c r="C4654" t="n">
        <v>2023</v>
      </c>
      <c r="D4654" t="n">
        <v>5.64914318907925</v>
      </c>
    </row>
    <row r="4655">
      <c r="A4655" t="inlineStr">
        <is>
          <t>India</t>
        </is>
      </c>
      <c r="B4655" t="inlineStr">
        <is>
          <t>IND</t>
        </is>
      </c>
      <c r="C4655" t="n">
        <v>2024</v>
      </c>
      <c r="D4655" t="n">
        <v>4.95303550973656</v>
      </c>
    </row>
    <row r="4656">
      <c r="A4656" t="inlineStr">
        <is>
          <t>Ireland</t>
        </is>
      </c>
      <c r="B4656" t="inlineStr">
        <is>
          <t>IRL</t>
        </is>
      </c>
      <c r="C4656" t="n">
        <v>1960</v>
      </c>
      <c r="D4656" t="n">
        <v>0.450837269431776</v>
      </c>
    </row>
    <row r="4657">
      <c r="A4657" t="inlineStr">
        <is>
          <t>Ireland</t>
        </is>
      </c>
      <c r="B4657" t="inlineStr">
        <is>
          <t>IRL</t>
        </is>
      </c>
      <c r="C4657" t="n">
        <v>1961</v>
      </c>
      <c r="D4657" t="n">
        <v>2.7569993586355</v>
      </c>
    </row>
    <row r="4658">
      <c r="A4658" t="inlineStr">
        <is>
          <t>Ireland</t>
        </is>
      </c>
      <c r="B4658" t="inlineStr">
        <is>
          <t>IRL</t>
        </is>
      </c>
      <c r="C4658" t="n">
        <v>1962</v>
      </c>
      <c r="D4658" t="n">
        <v>4.26372712149085</v>
      </c>
    </row>
    <row r="4659">
      <c r="A4659" t="inlineStr">
        <is>
          <t>Ireland</t>
        </is>
      </c>
      <c r="B4659" t="inlineStr">
        <is>
          <t>IRL</t>
        </is>
      </c>
      <c r="C4659" t="n">
        <v>1963</v>
      </c>
      <c r="D4659" t="n">
        <v>2.45362058668928</v>
      </c>
    </row>
    <row r="4660">
      <c r="A4660" t="inlineStr">
        <is>
          <t>Ireland</t>
        </is>
      </c>
      <c r="B4660" t="inlineStr">
        <is>
          <t>IRL</t>
        </is>
      </c>
      <c r="C4660" t="n">
        <v>1964</v>
      </c>
      <c r="D4660" t="n">
        <v>6.71728971926295</v>
      </c>
    </row>
    <row r="4661">
      <c r="A4661" t="inlineStr">
        <is>
          <t>Ireland</t>
        </is>
      </c>
      <c r="B4661" t="inlineStr">
        <is>
          <t>IRL</t>
        </is>
      </c>
      <c r="C4661" t="n">
        <v>1965</v>
      </c>
      <c r="D4661" t="n">
        <v>4.98812351543946</v>
      </c>
    </row>
    <row r="4662">
      <c r="A4662" t="inlineStr">
        <is>
          <t>Ireland</t>
        </is>
      </c>
      <c r="B4662" t="inlineStr">
        <is>
          <t>IRL</t>
        </is>
      </c>
      <c r="C4662" t="n">
        <v>1966</v>
      </c>
      <c r="D4662" t="n">
        <v>3.05429864140273</v>
      </c>
    </row>
    <row r="4663">
      <c r="A4663" t="inlineStr">
        <is>
          <t>Ireland</t>
        </is>
      </c>
      <c r="B4663" t="inlineStr">
        <is>
          <t>IRL</t>
        </is>
      </c>
      <c r="C4663" t="n">
        <v>1967</v>
      </c>
      <c r="D4663" t="n">
        <v>3.1833150395518</v>
      </c>
    </row>
    <row r="4664">
      <c r="A4664" t="inlineStr">
        <is>
          <t>Ireland</t>
        </is>
      </c>
      <c r="B4664" t="inlineStr">
        <is>
          <t>IRL</t>
        </is>
      </c>
      <c r="C4664" t="n">
        <v>1968</v>
      </c>
      <c r="D4664" t="n">
        <v>4.6808510638299</v>
      </c>
    </row>
    <row r="4665">
      <c r="A4665" t="inlineStr">
        <is>
          <t>Ireland</t>
        </is>
      </c>
      <c r="B4665" t="inlineStr">
        <is>
          <t>IRL</t>
        </is>
      </c>
      <c r="C4665" t="n">
        <v>1969</v>
      </c>
      <c r="D4665" t="n">
        <v>7.41869918597554</v>
      </c>
    </row>
    <row r="4666">
      <c r="A4666" t="inlineStr">
        <is>
          <t>Ireland</t>
        </is>
      </c>
      <c r="B4666" t="inlineStr">
        <is>
          <t>IRL</t>
        </is>
      </c>
      <c r="C4666" t="n">
        <v>1970</v>
      </c>
      <c r="D4666" t="n">
        <v>8.207190160910271</v>
      </c>
    </row>
    <row r="4667">
      <c r="A4667" t="inlineStr">
        <is>
          <t>Ireland</t>
        </is>
      </c>
      <c r="B4667" t="inlineStr">
        <is>
          <t>IRL</t>
        </is>
      </c>
      <c r="C4667" t="n">
        <v>1971</v>
      </c>
      <c r="D4667" t="n">
        <v>8.96174863417669</v>
      </c>
    </row>
    <row r="4668">
      <c r="A4668" t="inlineStr">
        <is>
          <t>Ireland</t>
        </is>
      </c>
      <c r="B4668" t="inlineStr">
        <is>
          <t>IRL</t>
        </is>
      </c>
      <c r="C4668" t="n">
        <v>1972</v>
      </c>
      <c r="D4668" t="n">
        <v>8.60581745301066</v>
      </c>
    </row>
    <row r="4669">
      <c r="A4669" t="inlineStr">
        <is>
          <t>Ireland</t>
        </is>
      </c>
      <c r="B4669" t="inlineStr">
        <is>
          <t>IRL</t>
        </is>
      </c>
      <c r="C4669" t="n">
        <v>1973</v>
      </c>
      <c r="D4669" t="n">
        <v>11.4148503873296</v>
      </c>
    </row>
    <row r="4670">
      <c r="A4670" t="inlineStr">
        <is>
          <t>Ireland</t>
        </is>
      </c>
      <c r="B4670" t="inlineStr">
        <is>
          <t>IRL</t>
        </is>
      </c>
      <c r="C4670" t="n">
        <v>1974</v>
      </c>
      <c r="D4670" t="n">
        <v>16.9761273212048</v>
      </c>
    </row>
    <row r="4671">
      <c r="A4671" t="inlineStr">
        <is>
          <t>Ireland</t>
        </is>
      </c>
      <c r="B4671" t="inlineStr">
        <is>
          <t>IRL</t>
        </is>
      </c>
      <c r="C4671" t="n">
        <v>1975</v>
      </c>
      <c r="D4671" t="n">
        <v>20.8758503401952</v>
      </c>
    </row>
    <row r="4672">
      <c r="A4672" t="inlineStr">
        <is>
          <t>Ireland</t>
        </is>
      </c>
      <c r="B4672" t="inlineStr">
        <is>
          <t>IRL</t>
        </is>
      </c>
      <c r="C4672" t="n">
        <v>1976</v>
      </c>
      <c r="D4672" t="n">
        <v>17.9856958613386</v>
      </c>
    </row>
    <row r="4673">
      <c r="A4673" t="inlineStr">
        <is>
          <t>Ireland</t>
        </is>
      </c>
      <c r="B4673" t="inlineStr">
        <is>
          <t>IRL</t>
        </is>
      </c>
      <c r="C4673" t="n">
        <v>1977</v>
      </c>
      <c r="D4673" t="n">
        <v>13.4722552937948</v>
      </c>
    </row>
    <row r="4674">
      <c r="A4674" t="inlineStr">
        <is>
          <t>Ireland</t>
        </is>
      </c>
      <c r="B4674" t="inlineStr">
        <is>
          <t>IRL</t>
        </is>
      </c>
      <c r="C4674" t="n">
        <v>1978</v>
      </c>
      <c r="D4674" t="n">
        <v>7.71111214621869</v>
      </c>
    </row>
    <row r="4675">
      <c r="A4675" t="inlineStr">
        <is>
          <t>Ireland</t>
        </is>
      </c>
      <c r="B4675" t="inlineStr">
        <is>
          <t>IRL</t>
        </is>
      </c>
      <c r="C4675" t="n">
        <v>1979</v>
      </c>
      <c r="D4675" t="n">
        <v>13.2954688248281</v>
      </c>
    </row>
    <row r="4676">
      <c r="A4676" t="inlineStr">
        <is>
          <t>Ireland</t>
        </is>
      </c>
      <c r="B4676" t="inlineStr">
        <is>
          <t>IRL</t>
        </is>
      </c>
      <c r="C4676" t="n">
        <v>1980</v>
      </c>
      <c r="D4676" t="n">
        <v>18.1544622557972</v>
      </c>
    </row>
    <row r="4677">
      <c r="A4677" t="inlineStr">
        <is>
          <t>Ireland</t>
        </is>
      </c>
      <c r="B4677" t="inlineStr">
        <is>
          <t>IRL</t>
        </is>
      </c>
      <c r="C4677" t="n">
        <v>1981</v>
      </c>
      <c r="D4677" t="n">
        <v>20.3735110701934</v>
      </c>
    </row>
    <row r="4678">
      <c r="A4678" t="inlineStr">
        <is>
          <t>Ireland</t>
        </is>
      </c>
      <c r="B4678" t="inlineStr">
        <is>
          <t>IRL</t>
        </is>
      </c>
      <c r="C4678" t="n">
        <v>1982</v>
      </c>
      <c r="D4678" t="n">
        <v>17.1471262037092</v>
      </c>
    </row>
    <row r="4679">
      <c r="A4679" t="inlineStr">
        <is>
          <t>Ireland</t>
        </is>
      </c>
      <c r="B4679" t="inlineStr">
        <is>
          <t>IRL</t>
        </is>
      </c>
      <c r="C4679" t="n">
        <v>1983</v>
      </c>
      <c r="D4679" t="n">
        <v>10.4476255348594</v>
      </c>
    </row>
    <row r="4680">
      <c r="A4680" t="inlineStr">
        <is>
          <t>Ireland</t>
        </is>
      </c>
      <c r="B4680" t="inlineStr">
        <is>
          <t>IRL</t>
        </is>
      </c>
      <c r="C4680" t="n">
        <v>1984</v>
      </c>
      <c r="D4680" t="n">
        <v>8.651110537963859</v>
      </c>
    </row>
    <row r="4681">
      <c r="A4681" t="inlineStr">
        <is>
          <t>Ireland</t>
        </is>
      </c>
      <c r="B4681" t="inlineStr">
        <is>
          <t>IRL</t>
        </is>
      </c>
      <c r="C4681" t="n">
        <v>1985</v>
      </c>
      <c r="D4681" t="n">
        <v>5.39548620170352</v>
      </c>
    </row>
    <row r="4682">
      <c r="A4682" t="inlineStr">
        <is>
          <t>Ireland</t>
        </is>
      </c>
      <c r="B4682" t="inlineStr">
        <is>
          <t>IRL</t>
        </is>
      </c>
      <c r="C4682" t="n">
        <v>1986</v>
      </c>
      <c r="D4682" t="n">
        <v>3.82704166542659</v>
      </c>
    </row>
    <row r="4683">
      <c r="A4683" t="inlineStr">
        <is>
          <t>Ireland</t>
        </is>
      </c>
      <c r="B4683" t="inlineStr">
        <is>
          <t>IRL</t>
        </is>
      </c>
      <c r="C4683" t="n">
        <v>1987</v>
      </c>
      <c r="D4683" t="n">
        <v>3.15941034835014</v>
      </c>
    </row>
    <row r="4684">
      <c r="A4684" t="inlineStr">
        <is>
          <t>Ireland</t>
        </is>
      </c>
      <c r="B4684" t="inlineStr">
        <is>
          <t>IRL</t>
        </is>
      </c>
      <c r="C4684" t="n">
        <v>1988</v>
      </c>
      <c r="D4684" t="n">
        <v>2.13456989107103</v>
      </c>
    </row>
    <row r="4685">
      <c r="A4685" t="inlineStr">
        <is>
          <t>Ireland</t>
        </is>
      </c>
      <c r="B4685" t="inlineStr">
        <is>
          <t>IRL</t>
        </is>
      </c>
      <c r="C4685" t="n">
        <v>1989</v>
      </c>
      <c r="D4685" t="n">
        <v>4.08905388153544</v>
      </c>
    </row>
    <row r="4686">
      <c r="A4686" t="inlineStr">
        <is>
          <t>Ireland</t>
        </is>
      </c>
      <c r="B4686" t="inlineStr">
        <is>
          <t>IRL</t>
        </is>
      </c>
      <c r="C4686" t="n">
        <v>1990</v>
      </c>
      <c r="D4686" t="n">
        <v>3.31732886680118</v>
      </c>
    </row>
    <row r="4687">
      <c r="A4687" t="inlineStr">
        <is>
          <t>Ireland</t>
        </is>
      </c>
      <c r="B4687" t="inlineStr">
        <is>
          <t>IRL</t>
        </is>
      </c>
      <c r="C4687" t="n">
        <v>1991</v>
      </c>
      <c r="D4687" t="n">
        <v>3.21081037142378</v>
      </c>
    </row>
    <row r="4688">
      <c r="A4688" t="inlineStr">
        <is>
          <t>Ireland</t>
        </is>
      </c>
      <c r="B4688" t="inlineStr">
        <is>
          <t>IRL</t>
        </is>
      </c>
      <c r="C4688" t="n">
        <v>1992</v>
      </c>
      <c r="D4688" t="n">
        <v>3.06999853835904</v>
      </c>
    </row>
    <row r="4689">
      <c r="A4689" t="inlineStr">
        <is>
          <t>Ireland</t>
        </is>
      </c>
      <c r="B4689" t="inlineStr">
        <is>
          <t>IRL</t>
        </is>
      </c>
      <c r="C4689" t="n">
        <v>1993</v>
      </c>
      <c r="D4689" t="n">
        <v>1.46941522411422</v>
      </c>
    </row>
    <row r="4690">
      <c r="A4690" t="inlineStr">
        <is>
          <t>Ireland</t>
        </is>
      </c>
      <c r="B4690" t="inlineStr">
        <is>
          <t>IRL</t>
        </is>
      </c>
      <c r="C4690" t="n">
        <v>1994</v>
      </c>
      <c r="D4690" t="n">
        <v>2.30920192610951</v>
      </c>
    </row>
    <row r="4691">
      <c r="A4691" t="inlineStr">
        <is>
          <t>Ireland</t>
        </is>
      </c>
      <c r="B4691" t="inlineStr">
        <is>
          <t>IRL</t>
        </is>
      </c>
      <c r="C4691" t="n">
        <v>1995</v>
      </c>
      <c r="D4691" t="n">
        <v>2.52486446780802</v>
      </c>
    </row>
    <row r="4692">
      <c r="A4692" t="inlineStr">
        <is>
          <t>Ireland</t>
        </is>
      </c>
      <c r="B4692" t="inlineStr">
        <is>
          <t>IRL</t>
        </is>
      </c>
      <c r="C4692" t="n">
        <v>1996</v>
      </c>
      <c r="D4692" t="n">
        <v>1.75574469607419</v>
      </c>
    </row>
    <row r="4693">
      <c r="A4693" t="inlineStr">
        <is>
          <t>Ireland</t>
        </is>
      </c>
      <c r="B4693" t="inlineStr">
        <is>
          <t>IRL</t>
        </is>
      </c>
      <c r="C4693" t="n">
        <v>1997</v>
      </c>
      <c r="D4693" t="n">
        <v>1.5418020226137</v>
      </c>
    </row>
    <row r="4694">
      <c r="A4694" t="inlineStr">
        <is>
          <t>Ireland</t>
        </is>
      </c>
      <c r="B4694" t="inlineStr">
        <is>
          <t>IRL</t>
        </is>
      </c>
      <c r="C4694" t="n">
        <v>1998</v>
      </c>
      <c r="D4694" t="n">
        <v>2.40768094534715</v>
      </c>
    </row>
    <row r="4695">
      <c r="A4695" t="inlineStr">
        <is>
          <t>Ireland</t>
        </is>
      </c>
      <c r="B4695" t="inlineStr">
        <is>
          <t>IRL</t>
        </is>
      </c>
      <c r="C4695" t="n">
        <v>1999</v>
      </c>
      <c r="D4695" t="n">
        <v>1.62988605221407</v>
      </c>
    </row>
    <row r="4696">
      <c r="A4696" t="inlineStr">
        <is>
          <t>Ireland</t>
        </is>
      </c>
      <c r="B4696" t="inlineStr">
        <is>
          <t>IRL</t>
        </is>
      </c>
      <c r="C4696" t="n">
        <v>2000</v>
      </c>
      <c r="D4696" t="n">
        <v>5.57763269940387</v>
      </c>
    </row>
    <row r="4697">
      <c r="A4697" t="inlineStr">
        <is>
          <t>Ireland</t>
        </is>
      </c>
      <c r="B4697" t="inlineStr">
        <is>
          <t>IRL</t>
        </is>
      </c>
      <c r="C4697" t="n">
        <v>2001</v>
      </c>
      <c r="D4697" t="n">
        <v>4.85280279607477</v>
      </c>
    </row>
    <row r="4698">
      <c r="A4698" t="inlineStr">
        <is>
          <t>Ireland</t>
        </is>
      </c>
      <c r="B4698" t="inlineStr">
        <is>
          <t>IRL</t>
        </is>
      </c>
      <c r="C4698" t="n">
        <v>2002</v>
      </c>
      <c r="D4698" t="n">
        <v>4.62820512820515</v>
      </c>
    </row>
    <row r="4699">
      <c r="A4699" t="inlineStr">
        <is>
          <t>Ireland</t>
        </is>
      </c>
      <c r="B4699" t="inlineStr">
        <is>
          <t>IRL</t>
        </is>
      </c>
      <c r="C4699" t="n">
        <v>2003</v>
      </c>
      <c r="D4699" t="n">
        <v>3.49221909079765</v>
      </c>
    </row>
    <row r="4700">
      <c r="A4700" t="inlineStr">
        <is>
          <t>Ireland</t>
        </is>
      </c>
      <c r="B4700" t="inlineStr">
        <is>
          <t>IRL</t>
        </is>
      </c>
      <c r="C4700" t="n">
        <v>2004</v>
      </c>
      <c r="D4700" t="n">
        <v>2.17854605730523</v>
      </c>
    </row>
    <row r="4701">
      <c r="A4701" t="inlineStr">
        <is>
          <t>Ireland</t>
        </is>
      </c>
      <c r="B4701" t="inlineStr">
        <is>
          <t>IRL</t>
        </is>
      </c>
      <c r="C4701" t="n">
        <v>2005</v>
      </c>
      <c r="D4701" t="n">
        <v>2.45654692931639</v>
      </c>
    </row>
    <row r="4702">
      <c r="A4702" t="inlineStr">
        <is>
          <t>Ireland</t>
        </is>
      </c>
      <c r="B4702" t="inlineStr">
        <is>
          <t>IRL</t>
        </is>
      </c>
      <c r="C4702" t="n">
        <v>2006</v>
      </c>
      <c r="D4702" t="n">
        <v>3.93576114001354</v>
      </c>
    </row>
    <row r="4703">
      <c r="A4703" t="inlineStr">
        <is>
          <t>Ireland</t>
        </is>
      </c>
      <c r="B4703" t="inlineStr">
        <is>
          <t>IRL</t>
        </is>
      </c>
      <c r="C4703" t="n">
        <v>2007</v>
      </c>
      <c r="D4703" t="n">
        <v>4.88574537540802</v>
      </c>
    </row>
    <row r="4704">
      <c r="A4704" t="inlineStr">
        <is>
          <t>Ireland</t>
        </is>
      </c>
      <c r="B4704" t="inlineStr">
        <is>
          <t>IRL</t>
        </is>
      </c>
      <c r="C4704" t="n">
        <v>2008</v>
      </c>
      <c r="D4704" t="n">
        <v>4.03568834941391</v>
      </c>
    </row>
    <row r="4705">
      <c r="A4705" t="inlineStr">
        <is>
          <t>Ireland</t>
        </is>
      </c>
      <c r="B4705" t="inlineStr">
        <is>
          <t>IRL</t>
        </is>
      </c>
      <c r="C4705" t="n">
        <v>2009</v>
      </c>
      <c r="D4705" t="n">
        <v>-4.44754686876746</v>
      </c>
    </row>
    <row r="4706">
      <c r="A4706" t="inlineStr">
        <is>
          <t>Ireland</t>
        </is>
      </c>
      <c r="B4706" t="inlineStr">
        <is>
          <t>IRL</t>
        </is>
      </c>
      <c r="C4706" t="n">
        <v>2010</v>
      </c>
      <c r="D4706" t="n">
        <v>-0.918388645376774</v>
      </c>
    </row>
    <row r="4707">
      <c r="A4707" t="inlineStr">
        <is>
          <t>Ireland</t>
        </is>
      </c>
      <c r="B4707" t="inlineStr">
        <is>
          <t>IRL</t>
        </is>
      </c>
      <c r="C4707" t="n">
        <v>2011</v>
      </c>
      <c r="D4707" t="n">
        <v>2.5489783020855</v>
      </c>
    </row>
    <row r="4708">
      <c r="A4708" t="inlineStr">
        <is>
          <t>Ireland</t>
        </is>
      </c>
      <c r="B4708" t="inlineStr">
        <is>
          <t>IRL</t>
        </is>
      </c>
      <c r="C4708" t="n">
        <v>2012</v>
      </c>
      <c r="D4708" t="n">
        <v>1.69474116680366</v>
      </c>
    </row>
    <row r="4709">
      <c r="A4709" t="inlineStr">
        <is>
          <t>Ireland</t>
        </is>
      </c>
      <c r="B4709" t="inlineStr">
        <is>
          <t>IRL</t>
        </is>
      </c>
      <c r="C4709" t="n">
        <v>2013</v>
      </c>
      <c r="D4709" t="n">
        <v>0.515099484900573</v>
      </c>
    </row>
    <row r="4710">
      <c r="A4710" t="inlineStr">
        <is>
          <t>Ireland</t>
        </is>
      </c>
      <c r="B4710" t="inlineStr">
        <is>
          <t>IRL</t>
        </is>
      </c>
      <c r="C4710" t="n">
        <v>2014</v>
      </c>
      <c r="D4710" t="n">
        <v>0.190916398713745</v>
      </c>
    </row>
    <row r="4711">
      <c r="A4711" t="inlineStr">
        <is>
          <t>Ireland</t>
        </is>
      </c>
      <c r="B4711" t="inlineStr">
        <is>
          <t>IRL</t>
        </is>
      </c>
      <c r="C4711" t="n">
        <v>2015</v>
      </c>
      <c r="D4711" t="n">
        <v>-0.330959783371788</v>
      </c>
    </row>
    <row r="4712">
      <c r="A4712" t="inlineStr">
        <is>
          <t>Ireland</t>
        </is>
      </c>
      <c r="B4712" t="inlineStr">
        <is>
          <t>IRL</t>
        </is>
      </c>
      <c r="C4712" t="n">
        <v>2016</v>
      </c>
      <c r="D4712" t="n">
        <v>0.0201247735963237</v>
      </c>
    </row>
    <row r="4713">
      <c r="A4713" t="inlineStr">
        <is>
          <t>Ireland</t>
        </is>
      </c>
      <c r="B4713" t="inlineStr">
        <is>
          <t>IRL</t>
        </is>
      </c>
      <c r="C4713" t="n">
        <v>2017</v>
      </c>
      <c r="D4713" t="n">
        <v>0.362173038229378</v>
      </c>
    </row>
    <row r="4714">
      <c r="A4714" t="inlineStr">
        <is>
          <t>Ireland</t>
        </is>
      </c>
      <c r="B4714" t="inlineStr">
        <is>
          <t>IRL</t>
        </is>
      </c>
      <c r="C4714" t="n">
        <v>2018</v>
      </c>
      <c r="D4714" t="n">
        <v>0.471130713712916</v>
      </c>
    </row>
    <row r="4715">
      <c r="A4715" t="inlineStr">
        <is>
          <t>Ireland</t>
        </is>
      </c>
      <c r="B4715" t="inlineStr">
        <is>
          <t>IRL</t>
        </is>
      </c>
      <c r="C4715" t="n">
        <v>2019</v>
      </c>
      <c r="D4715" t="n">
        <v>0.937842961189274</v>
      </c>
    </row>
    <row r="4716">
      <c r="A4716" t="inlineStr">
        <is>
          <t>Ireland</t>
        </is>
      </c>
      <c r="B4716" t="inlineStr">
        <is>
          <t>IRL</t>
        </is>
      </c>
      <c r="C4716" t="n">
        <v>2020</v>
      </c>
      <c r="D4716" t="n">
        <v>-0.326183651280033</v>
      </c>
    </row>
    <row r="4717">
      <c r="A4717" t="inlineStr">
        <is>
          <t>Ireland</t>
        </is>
      </c>
      <c r="B4717" t="inlineStr">
        <is>
          <t>IRL</t>
        </is>
      </c>
      <c r="C4717" t="n">
        <v>2021</v>
      </c>
      <c r="D4717" t="n">
        <v>2.34034113447044</v>
      </c>
    </row>
    <row r="4718">
      <c r="A4718" t="inlineStr">
        <is>
          <t>Ireland</t>
        </is>
      </c>
      <c r="B4718" t="inlineStr">
        <is>
          <t>IRL</t>
        </is>
      </c>
      <c r="C4718" t="n">
        <v>2022</v>
      </c>
      <c r="D4718" t="n">
        <v>7.82945736434105</v>
      </c>
    </row>
    <row r="4719">
      <c r="A4719" t="inlineStr">
        <is>
          <t>Ireland</t>
        </is>
      </c>
      <c r="B4719" t="inlineStr">
        <is>
          <t>IRL</t>
        </is>
      </c>
      <c r="C4719" t="n">
        <v>2023</v>
      </c>
      <c r="D4719" t="n">
        <v>6.29942487419125</v>
      </c>
    </row>
    <row r="4720">
      <c r="A4720" t="inlineStr">
        <is>
          <t>Ireland</t>
        </is>
      </c>
      <c r="B4720" t="inlineStr">
        <is>
          <t>IRL</t>
        </is>
      </c>
      <c r="C4720" t="n">
        <v>2024</v>
      </c>
      <c r="D4720" t="n">
        <v>2.11344999577317</v>
      </c>
    </row>
    <row r="4721">
      <c r="A4721" t="inlineStr">
        <is>
          <t>Iran, Islamic Rep.</t>
        </is>
      </c>
      <c r="B4721" t="inlineStr">
        <is>
          <t>IRN</t>
        </is>
      </c>
      <c r="C4721" t="n">
        <v>1960</v>
      </c>
      <c r="D4721" t="n">
        <v>9.822410812978671</v>
      </c>
    </row>
    <row r="4722">
      <c r="A4722" t="inlineStr">
        <is>
          <t>Iran, Islamic Rep.</t>
        </is>
      </c>
      <c r="B4722" t="inlineStr">
        <is>
          <t>IRN</t>
        </is>
      </c>
      <c r="C4722" t="n">
        <v>1961</v>
      </c>
      <c r="D4722" t="n">
        <v>3.16256439585745</v>
      </c>
    </row>
    <row r="4723">
      <c r="A4723" t="inlineStr">
        <is>
          <t>Iran, Islamic Rep.</t>
        </is>
      </c>
      <c r="B4723" t="inlineStr">
        <is>
          <t>IRN</t>
        </is>
      </c>
      <c r="C4723" t="n">
        <v>1962</v>
      </c>
      <c r="D4723" t="n">
        <v>0.721320571656337</v>
      </c>
    </row>
    <row r="4724">
      <c r="A4724" t="inlineStr">
        <is>
          <t>Iran, Islamic Rep.</t>
        </is>
      </c>
      <c r="B4724" t="inlineStr">
        <is>
          <t>IRN</t>
        </is>
      </c>
      <c r="C4724" t="n">
        <v>1963</v>
      </c>
      <c r="D4724" t="n">
        <v>0.371849607221666</v>
      </c>
    </row>
    <row r="4725">
      <c r="A4725" t="inlineStr">
        <is>
          <t>Iran, Islamic Rep.</t>
        </is>
      </c>
      <c r="B4725" t="inlineStr">
        <is>
          <t>IRN</t>
        </is>
      </c>
      <c r="C4725" t="n">
        <v>1964</v>
      </c>
      <c r="D4725" t="n">
        <v>3.81448957223043</v>
      </c>
    </row>
    <row r="4726">
      <c r="A4726" t="inlineStr">
        <is>
          <t>Iran, Islamic Rep.</t>
        </is>
      </c>
      <c r="B4726" t="inlineStr">
        <is>
          <t>IRN</t>
        </is>
      </c>
      <c r="C4726" t="n">
        <v>1965</v>
      </c>
      <c r="D4726" t="n">
        <v>2.15437483520967</v>
      </c>
    </row>
    <row r="4727">
      <c r="A4727" t="inlineStr">
        <is>
          <t>Iran, Islamic Rep.</t>
        </is>
      </c>
      <c r="B4727" t="inlineStr">
        <is>
          <t>IRN</t>
        </is>
      </c>
      <c r="C4727" t="n">
        <v>1966</v>
      </c>
      <c r="D4727" t="n">
        <v>-0.388148532154432</v>
      </c>
    </row>
    <row r="4728">
      <c r="A4728" t="inlineStr">
        <is>
          <t>Iran, Islamic Rep.</t>
        </is>
      </c>
      <c r="B4728" t="inlineStr">
        <is>
          <t>IRN</t>
        </is>
      </c>
      <c r="C4728" t="n">
        <v>1967</v>
      </c>
      <c r="D4728" t="n">
        <v>1.59761007964354</v>
      </c>
    </row>
    <row r="4729">
      <c r="A4729" t="inlineStr">
        <is>
          <t>Iran, Islamic Rep.</t>
        </is>
      </c>
      <c r="B4729" t="inlineStr">
        <is>
          <t>IRN</t>
        </is>
      </c>
      <c r="C4729" t="n">
        <v>1968</v>
      </c>
      <c r="D4729" t="n">
        <v>0.690360521996233</v>
      </c>
    </row>
    <row r="4730">
      <c r="A4730" t="inlineStr">
        <is>
          <t>Iran, Islamic Rep.</t>
        </is>
      </c>
      <c r="B4730" t="inlineStr">
        <is>
          <t>IRN</t>
        </is>
      </c>
      <c r="C4730" t="n">
        <v>1969</v>
      </c>
      <c r="D4730" t="n">
        <v>3.59319451551281</v>
      </c>
    </row>
    <row r="4731">
      <c r="A4731" t="inlineStr">
        <is>
          <t>Iran, Islamic Rep.</t>
        </is>
      </c>
      <c r="B4731" t="inlineStr">
        <is>
          <t>IRN</t>
        </is>
      </c>
      <c r="C4731" t="n">
        <v>1970</v>
      </c>
      <c r="D4731" t="n">
        <v>1.66687093970068</v>
      </c>
    </row>
    <row r="4732">
      <c r="A4732" t="inlineStr">
        <is>
          <t>Iran, Islamic Rep.</t>
        </is>
      </c>
      <c r="B4732" t="inlineStr">
        <is>
          <t>IRN</t>
        </is>
      </c>
      <c r="C4732" t="n">
        <v>1971</v>
      </c>
      <c r="D4732" t="n">
        <v>4.19529837265423</v>
      </c>
    </row>
    <row r="4733">
      <c r="A4733" t="inlineStr">
        <is>
          <t>Iran, Islamic Rep.</t>
        </is>
      </c>
      <c r="B4733" t="inlineStr">
        <is>
          <t>IRN</t>
        </is>
      </c>
      <c r="C4733" t="n">
        <v>1972</v>
      </c>
      <c r="D4733" t="n">
        <v>6.39824135128871</v>
      </c>
    </row>
    <row r="4734">
      <c r="A4734" t="inlineStr">
        <is>
          <t>Iran, Islamic Rep.</t>
        </is>
      </c>
      <c r="B4734" t="inlineStr">
        <is>
          <t>IRN</t>
        </is>
      </c>
      <c r="C4734" t="n">
        <v>1973</v>
      </c>
      <c r="D4734" t="n">
        <v>9.81948673318762</v>
      </c>
    </row>
    <row r="4735">
      <c r="A4735" t="inlineStr">
        <is>
          <t>Iran, Islamic Rep.</t>
        </is>
      </c>
      <c r="B4735" t="inlineStr">
        <is>
          <t>IRN</t>
        </is>
      </c>
      <c r="C4735" t="n">
        <v>1974</v>
      </c>
      <c r="D4735" t="n">
        <v>14.2489355382567</v>
      </c>
    </row>
    <row r="4736">
      <c r="A4736" t="inlineStr">
        <is>
          <t>Iran, Islamic Rep.</t>
        </is>
      </c>
      <c r="B4736" t="inlineStr">
        <is>
          <t>IRN</t>
        </is>
      </c>
      <c r="C4736" t="n">
        <v>1975</v>
      </c>
      <c r="D4736" t="n">
        <v>12.8791818338341</v>
      </c>
    </row>
    <row r="4737">
      <c r="A4737" t="inlineStr">
        <is>
          <t>Iran, Islamic Rep.</t>
        </is>
      </c>
      <c r="B4737" t="inlineStr">
        <is>
          <t>IRN</t>
        </is>
      </c>
      <c r="C4737" t="n">
        <v>1976</v>
      </c>
      <c r="D4737" t="n">
        <v>11.2561425062111</v>
      </c>
    </row>
    <row r="4738">
      <c r="A4738" t="inlineStr">
        <is>
          <t>Iran, Islamic Rep.</t>
        </is>
      </c>
      <c r="B4738" t="inlineStr">
        <is>
          <t>IRN</t>
        </is>
      </c>
      <c r="C4738" t="n">
        <v>1977</v>
      </c>
      <c r="D4738" t="n">
        <v>27.2877846793093</v>
      </c>
    </row>
    <row r="4739">
      <c r="A4739" t="inlineStr">
        <is>
          <t>Iran, Islamic Rep.</t>
        </is>
      </c>
      <c r="B4739" t="inlineStr">
        <is>
          <t>IRN</t>
        </is>
      </c>
      <c r="C4739" t="n">
        <v>1978</v>
      </c>
      <c r="D4739" t="n">
        <v>11.7219692041212</v>
      </c>
    </row>
    <row r="4740">
      <c r="A4740" t="inlineStr">
        <is>
          <t>Iran, Islamic Rep.</t>
        </is>
      </c>
      <c r="B4740" t="inlineStr">
        <is>
          <t>IRN</t>
        </is>
      </c>
      <c r="C4740" t="n">
        <v>1979</v>
      </c>
      <c r="D4740" t="n">
        <v>10.4872367273486</v>
      </c>
    </row>
    <row r="4741">
      <c r="A4741" t="inlineStr">
        <is>
          <t>Iran, Islamic Rep.</t>
        </is>
      </c>
      <c r="B4741" t="inlineStr">
        <is>
          <t>IRN</t>
        </is>
      </c>
      <c r="C4741" t="n">
        <v>1980</v>
      </c>
      <c r="D4741" t="n">
        <v>20.6439144373798</v>
      </c>
    </row>
    <row r="4742">
      <c r="A4742" t="inlineStr">
        <is>
          <t>Iran, Islamic Rep.</t>
        </is>
      </c>
      <c r="B4742" t="inlineStr">
        <is>
          <t>IRN</t>
        </is>
      </c>
      <c r="C4742" t="n">
        <v>1981</v>
      </c>
      <c r="D4742" t="n">
        <v>24.2035897624486</v>
      </c>
    </row>
    <row r="4743">
      <c r="A4743" t="inlineStr">
        <is>
          <t>Iran, Islamic Rep.</t>
        </is>
      </c>
      <c r="B4743" t="inlineStr">
        <is>
          <t>IRN</t>
        </is>
      </c>
      <c r="C4743" t="n">
        <v>1982</v>
      </c>
      <c r="D4743" t="n">
        <v>18.6897259269564</v>
      </c>
    </row>
    <row r="4744">
      <c r="A4744" t="inlineStr">
        <is>
          <t>Iran, Islamic Rep.</t>
        </is>
      </c>
      <c r="B4744" t="inlineStr">
        <is>
          <t>IRN</t>
        </is>
      </c>
      <c r="C4744" t="n">
        <v>1983</v>
      </c>
      <c r="D4744" t="n">
        <v>19.7401891778611</v>
      </c>
    </row>
    <row r="4745">
      <c r="A4745" t="inlineStr">
        <is>
          <t>Iran, Islamic Rep.</t>
        </is>
      </c>
      <c r="B4745" t="inlineStr">
        <is>
          <t>IRN</t>
        </is>
      </c>
      <c r="C4745" t="n">
        <v>1984</v>
      </c>
      <c r="D4745" t="n">
        <v>12.5402194538868</v>
      </c>
    </row>
    <row r="4746">
      <c r="A4746" t="inlineStr">
        <is>
          <t>Iran, Islamic Rep.</t>
        </is>
      </c>
      <c r="B4746" t="inlineStr">
        <is>
          <t>IRN</t>
        </is>
      </c>
      <c r="C4746" t="n">
        <v>1985</v>
      </c>
      <c r="D4746" t="n">
        <v>4.38934095741541</v>
      </c>
    </row>
    <row r="4747">
      <c r="A4747" t="inlineStr">
        <is>
          <t>Iran, Islamic Rep.</t>
        </is>
      </c>
      <c r="B4747" t="inlineStr">
        <is>
          <t>IRN</t>
        </is>
      </c>
      <c r="C4747" t="n">
        <v>1986</v>
      </c>
      <c r="D4747" t="n">
        <v>18.4290030211474</v>
      </c>
    </row>
    <row r="4748">
      <c r="A4748" t="inlineStr">
        <is>
          <t>Iran, Islamic Rep.</t>
        </is>
      </c>
      <c r="B4748" t="inlineStr">
        <is>
          <t>IRN</t>
        </is>
      </c>
      <c r="C4748" t="n">
        <v>1987</v>
      </c>
      <c r="D4748" t="n">
        <v>28.5714285714292</v>
      </c>
    </row>
    <row r="4749">
      <c r="A4749" t="inlineStr">
        <is>
          <t>Iran, Islamic Rep.</t>
        </is>
      </c>
      <c r="B4749" t="inlineStr">
        <is>
          <t>IRN</t>
        </is>
      </c>
      <c r="C4749" t="n">
        <v>1988</v>
      </c>
      <c r="D4749" t="n">
        <v>28.6706349206345</v>
      </c>
    </row>
    <row r="4750">
      <c r="A4750" t="inlineStr">
        <is>
          <t>Iran, Islamic Rep.</t>
        </is>
      </c>
      <c r="B4750" t="inlineStr">
        <is>
          <t>IRN</t>
        </is>
      </c>
      <c r="C4750" t="n">
        <v>1989</v>
      </c>
      <c r="D4750" t="n">
        <v>22.3496530454896</v>
      </c>
    </row>
    <row r="4751">
      <c r="A4751" t="inlineStr">
        <is>
          <t>Iran, Islamic Rep.</t>
        </is>
      </c>
      <c r="B4751" t="inlineStr">
        <is>
          <t>IRN</t>
        </is>
      </c>
      <c r="C4751" t="n">
        <v>1990</v>
      </c>
      <c r="D4751" t="n">
        <v>7.62767493763934</v>
      </c>
    </row>
    <row r="4752">
      <c r="A4752" t="inlineStr">
        <is>
          <t>Iran, Islamic Rep.</t>
        </is>
      </c>
      <c r="B4752" t="inlineStr">
        <is>
          <t>IRN</t>
        </is>
      </c>
      <c r="C4752" t="n">
        <v>1991</v>
      </c>
      <c r="D4752" t="n">
        <v>17.1285679434012</v>
      </c>
    </row>
    <row r="4753">
      <c r="A4753" t="inlineStr">
        <is>
          <t>Iran, Islamic Rep.</t>
        </is>
      </c>
      <c r="B4753" t="inlineStr">
        <is>
          <t>IRN</t>
        </is>
      </c>
      <c r="C4753" t="n">
        <v>1992</v>
      </c>
      <c r="D4753" t="n">
        <v>25.8077226162332</v>
      </c>
    </row>
    <row r="4754">
      <c r="A4754" t="inlineStr">
        <is>
          <t>Iran, Islamic Rep.</t>
        </is>
      </c>
      <c r="B4754" t="inlineStr">
        <is>
          <t>IRN</t>
        </is>
      </c>
      <c r="C4754" t="n">
        <v>1993</v>
      </c>
      <c r="D4754" t="n">
        <v>21.2026307547761</v>
      </c>
    </row>
    <row r="4755">
      <c r="A4755" t="inlineStr">
        <is>
          <t>Iran, Islamic Rep.</t>
        </is>
      </c>
      <c r="B4755" t="inlineStr">
        <is>
          <t>IRN</t>
        </is>
      </c>
      <c r="C4755" t="n">
        <v>1994</v>
      </c>
      <c r="D4755" t="n">
        <v>31.4470284237728</v>
      </c>
    </row>
    <row r="4756">
      <c r="A4756" t="inlineStr">
        <is>
          <t>Iran, Islamic Rep.</t>
        </is>
      </c>
      <c r="B4756" t="inlineStr">
        <is>
          <t>IRN</t>
        </is>
      </c>
      <c r="C4756" t="n">
        <v>1995</v>
      </c>
      <c r="D4756" t="n">
        <v>49.6559858462746</v>
      </c>
    </row>
    <row r="4757">
      <c r="A4757" t="inlineStr">
        <is>
          <t>Iran, Islamic Rep.</t>
        </is>
      </c>
      <c r="B4757" t="inlineStr">
        <is>
          <t>IRN</t>
        </is>
      </c>
      <c r="C4757" t="n">
        <v>1996</v>
      </c>
      <c r="D4757" t="n">
        <v>28.9373440168137</v>
      </c>
    </row>
    <row r="4758">
      <c r="A4758" t="inlineStr">
        <is>
          <t>Iran, Islamic Rep.</t>
        </is>
      </c>
      <c r="B4758" t="inlineStr">
        <is>
          <t>IRN</t>
        </is>
      </c>
      <c r="C4758" t="n">
        <v>1997</v>
      </c>
      <c r="D4758" t="n">
        <v>17.3492257538708</v>
      </c>
    </row>
    <row r="4759">
      <c r="A4759" t="inlineStr">
        <is>
          <t>Iran, Islamic Rep.</t>
        </is>
      </c>
      <c r="B4759" t="inlineStr">
        <is>
          <t>IRN</t>
        </is>
      </c>
      <c r="C4759" t="n">
        <v>1998</v>
      </c>
      <c r="D4759" t="n">
        <v>17.8661342130398</v>
      </c>
    </row>
    <row r="4760">
      <c r="A4760" t="inlineStr">
        <is>
          <t>Iran, Islamic Rep.</t>
        </is>
      </c>
      <c r="B4760" t="inlineStr">
        <is>
          <t>IRN</t>
        </is>
      </c>
      <c r="C4760" t="n">
        <v>1999</v>
      </c>
      <c r="D4760" t="n">
        <v>20.0707078146866</v>
      </c>
    </row>
    <row r="4761">
      <c r="A4761" t="inlineStr">
        <is>
          <t>Iran, Islamic Rep.</t>
        </is>
      </c>
      <c r="B4761" t="inlineStr">
        <is>
          <t>IRN</t>
        </is>
      </c>
      <c r="C4761" t="n">
        <v>2000</v>
      </c>
      <c r="D4761" t="n">
        <v>14.4767513188567</v>
      </c>
    </row>
    <row r="4762">
      <c r="A4762" t="inlineStr">
        <is>
          <t>Iran, Islamic Rep.</t>
        </is>
      </c>
      <c r="B4762" t="inlineStr">
        <is>
          <t>IRN</t>
        </is>
      </c>
      <c r="C4762" t="n">
        <v>2001</v>
      </c>
      <c r="D4762" t="n">
        <v>11.2742471332117</v>
      </c>
    </row>
    <row r="4763">
      <c r="A4763" t="inlineStr">
        <is>
          <t>Iran, Islamic Rep.</t>
        </is>
      </c>
      <c r="B4763" t="inlineStr">
        <is>
          <t>IRN</t>
        </is>
      </c>
      <c r="C4763" t="n">
        <v>2002</v>
      </c>
      <c r="D4763" t="n">
        <v>14.3359337378404</v>
      </c>
    </row>
    <row r="4764">
      <c r="A4764" t="inlineStr">
        <is>
          <t>Iran, Islamic Rep.</t>
        </is>
      </c>
      <c r="B4764" t="inlineStr">
        <is>
          <t>IRN</t>
        </is>
      </c>
      <c r="C4764" t="n">
        <v>2003</v>
      </c>
      <c r="D4764" t="n">
        <v>16.4680116244792</v>
      </c>
    </row>
    <row r="4765">
      <c r="A4765" t="inlineStr">
        <is>
          <t>Iran, Islamic Rep.</t>
        </is>
      </c>
      <c r="B4765" t="inlineStr">
        <is>
          <t>IRN</t>
        </is>
      </c>
      <c r="C4765" t="n">
        <v>2004</v>
      </c>
      <c r="D4765" t="n">
        <v>14.7615086970672</v>
      </c>
    </row>
    <row r="4766">
      <c r="A4766" t="inlineStr">
        <is>
          <t>Iran, Islamic Rep.</t>
        </is>
      </c>
      <c r="B4766" t="inlineStr">
        <is>
          <t>IRN</t>
        </is>
      </c>
      <c r="C4766" t="n">
        <v>2005</v>
      </c>
      <c r="D4766" t="n">
        <v>13.433118008508</v>
      </c>
    </row>
    <row r="4767">
      <c r="A4767" t="inlineStr">
        <is>
          <t>Iran, Islamic Rep.</t>
        </is>
      </c>
      <c r="B4767" t="inlineStr">
        <is>
          <t>IRN</t>
        </is>
      </c>
      <c r="C4767" t="n">
        <v>2006</v>
      </c>
      <c r="D4767" t="n">
        <v>10.0158982511924</v>
      </c>
    </row>
    <row r="4768">
      <c r="A4768" t="inlineStr">
        <is>
          <t>Iran, Islamic Rep.</t>
        </is>
      </c>
      <c r="B4768" t="inlineStr">
        <is>
          <t>IRN</t>
        </is>
      </c>
      <c r="C4768" t="n">
        <v>2007</v>
      </c>
      <c r="D4768" t="n">
        <v>17.3410404624277</v>
      </c>
    </row>
    <row r="4769">
      <c r="A4769" t="inlineStr">
        <is>
          <t>Iran, Islamic Rep.</t>
        </is>
      </c>
      <c r="B4769" t="inlineStr">
        <is>
          <t>IRN</t>
        </is>
      </c>
      <c r="C4769" t="n">
        <v>2008</v>
      </c>
      <c r="D4769" t="n">
        <v>25.4105090311987</v>
      </c>
    </row>
    <row r="4770">
      <c r="A4770" t="inlineStr">
        <is>
          <t>Iran, Islamic Rep.</t>
        </is>
      </c>
      <c r="B4770" t="inlineStr">
        <is>
          <t>IRN</t>
        </is>
      </c>
      <c r="C4770" t="n">
        <v>2009</v>
      </c>
      <c r="D4770" t="n">
        <v>13.5515548281506</v>
      </c>
    </row>
    <row r="4771">
      <c r="A4771" t="inlineStr">
        <is>
          <t>Iran, Islamic Rep.</t>
        </is>
      </c>
      <c r="B4771" t="inlineStr">
        <is>
          <t>IRN</t>
        </is>
      </c>
      <c r="C4771" t="n">
        <v>2010</v>
      </c>
      <c r="D4771" t="n">
        <v>10.0893629287979</v>
      </c>
    </row>
    <row r="4772">
      <c r="A4772" t="inlineStr">
        <is>
          <t>Iran, Islamic Rep.</t>
        </is>
      </c>
      <c r="B4772" t="inlineStr">
        <is>
          <t>IRN</t>
        </is>
      </c>
      <c r="C4772" t="n">
        <v>2011</v>
      </c>
      <c r="D4772" t="n">
        <v>26.2933856738608</v>
      </c>
    </row>
    <row r="4773">
      <c r="A4773" t="inlineStr">
        <is>
          <t>Iran, Islamic Rep.</t>
        </is>
      </c>
      <c r="B4773" t="inlineStr">
        <is>
          <t>IRN</t>
        </is>
      </c>
      <c r="C4773" t="n">
        <v>2012</v>
      </c>
      <c r="D4773" t="n">
        <v>27.2568127242908</v>
      </c>
    </row>
    <row r="4774">
      <c r="A4774" t="inlineStr">
        <is>
          <t>Iran, Islamic Rep.</t>
        </is>
      </c>
      <c r="B4774" t="inlineStr">
        <is>
          <t>IRN</t>
        </is>
      </c>
      <c r="C4774" t="n">
        <v>2013</v>
      </c>
      <c r="D4774" t="n">
        <v>36.6030355191029</v>
      </c>
    </row>
    <row r="4775">
      <c r="A4775" t="inlineStr">
        <is>
          <t>Iran, Islamic Rep.</t>
        </is>
      </c>
      <c r="B4775" t="inlineStr">
        <is>
          <t>IRN</t>
        </is>
      </c>
      <c r="C4775" t="n">
        <v>2014</v>
      </c>
      <c r="D4775" t="n">
        <v>16.6065532357449</v>
      </c>
    </row>
    <row r="4776">
      <c r="A4776" t="inlineStr">
        <is>
          <t>Iran, Islamic Rep.</t>
        </is>
      </c>
      <c r="B4776" t="inlineStr">
        <is>
          <t>IRN</t>
        </is>
      </c>
      <c r="C4776" t="n">
        <v>2015</v>
      </c>
      <c r="D4776" t="n">
        <v>12.4846815611533</v>
      </c>
    </row>
    <row r="4777">
      <c r="A4777" t="inlineStr">
        <is>
          <t>Iran, Islamic Rep.</t>
        </is>
      </c>
      <c r="B4777" t="inlineStr">
        <is>
          <t>IRN</t>
        </is>
      </c>
      <c r="C4777" t="n">
        <v>2016</v>
      </c>
      <c r="D4777" t="n">
        <v>7.24542548952979</v>
      </c>
    </row>
    <row r="4778">
      <c r="A4778" t="inlineStr">
        <is>
          <t>Iran, Islamic Rep.</t>
        </is>
      </c>
      <c r="B4778" t="inlineStr">
        <is>
          <t>IRN</t>
        </is>
      </c>
      <c r="C4778" t="n">
        <v>2017</v>
      </c>
      <c r="D4778" t="n">
        <v>8.044924376602779</v>
      </c>
    </row>
    <row r="4779">
      <c r="A4779" t="inlineStr">
        <is>
          <t>Iran, Islamic Rep.</t>
        </is>
      </c>
      <c r="B4779" t="inlineStr">
        <is>
          <t>IRN</t>
        </is>
      </c>
      <c r="C4779" t="n">
        <v>2018</v>
      </c>
      <c r="D4779" t="n">
        <v>18.0141183371874</v>
      </c>
    </row>
    <row r="4780">
      <c r="A4780" t="inlineStr">
        <is>
          <t>Iran, Islamic Rep.</t>
        </is>
      </c>
      <c r="B4780" t="inlineStr">
        <is>
          <t>IRN</t>
        </is>
      </c>
      <c r="C4780" t="n">
        <v>2019</v>
      </c>
      <c r="D4780" t="n">
        <v>39.9073455697784</v>
      </c>
    </row>
    <row r="4781">
      <c r="A4781" t="inlineStr">
        <is>
          <t>Iran, Islamic Rep.</t>
        </is>
      </c>
      <c r="B4781" t="inlineStr">
        <is>
          <t>IRN</t>
        </is>
      </c>
      <c r="C4781" t="n">
        <v>2020</v>
      </c>
      <c r="D4781" t="n">
        <v>30.5941390387295</v>
      </c>
    </row>
    <row r="4782">
      <c r="A4782" t="inlineStr">
        <is>
          <t>Iran, Islamic Rep.</t>
        </is>
      </c>
      <c r="B4782" t="inlineStr">
        <is>
          <t>IRN</t>
        </is>
      </c>
      <c r="C4782" t="n">
        <v>2021</v>
      </c>
      <c r="D4782" t="n">
        <v>43.3890162681514</v>
      </c>
    </row>
    <row r="4783">
      <c r="A4783" t="inlineStr">
        <is>
          <t>Iran, Islamic Rep.</t>
        </is>
      </c>
      <c r="B4783" t="inlineStr">
        <is>
          <t>IRN</t>
        </is>
      </c>
      <c r="C4783" t="n">
        <v>2022</v>
      </c>
      <c r="D4783" t="n">
        <v>43.4884641742179</v>
      </c>
    </row>
    <row r="4784">
      <c r="A4784" t="inlineStr">
        <is>
          <t>Iran, Islamic Rep.</t>
        </is>
      </c>
      <c r="B4784" t="inlineStr">
        <is>
          <t>IRN</t>
        </is>
      </c>
      <c r="C4784" t="n">
        <v>2023</v>
      </c>
      <c r="D4784" t="n">
        <v>44.5791857572797</v>
      </c>
    </row>
    <row r="4785">
      <c r="A4785" t="inlineStr">
        <is>
          <t>Iraq</t>
        </is>
      </c>
      <c r="B4785" t="inlineStr">
        <is>
          <t>IRQ</t>
        </is>
      </c>
      <c r="C4785" t="n">
        <v>1960</v>
      </c>
      <c r="D4785" t="n">
        <v>3.47823790409599</v>
      </c>
    </row>
    <row r="4786">
      <c r="A4786" t="inlineStr">
        <is>
          <t>Iraq</t>
        </is>
      </c>
      <c r="B4786" t="inlineStr">
        <is>
          <t>IRQ</t>
        </is>
      </c>
      <c r="C4786" t="n">
        <v>1961</v>
      </c>
      <c r="D4786" t="n">
        <v>0.916260431846688</v>
      </c>
    </row>
    <row r="4787">
      <c r="A4787" t="inlineStr">
        <is>
          <t>Iraq</t>
        </is>
      </c>
      <c r="B4787" t="inlineStr">
        <is>
          <t>IRQ</t>
        </is>
      </c>
      <c r="C4787" t="n">
        <v>1962</v>
      </c>
      <c r="D4787" t="n">
        <v>1.29236216541521</v>
      </c>
    </row>
    <row r="4788">
      <c r="A4788" t="inlineStr">
        <is>
          <t>Iraq</t>
        </is>
      </c>
      <c r="B4788" t="inlineStr">
        <is>
          <t>IRQ</t>
        </is>
      </c>
      <c r="C4788" t="n">
        <v>1963</v>
      </c>
      <c r="D4788" t="n">
        <v>3.95495742929742</v>
      </c>
    </row>
    <row r="4789">
      <c r="A4789" t="inlineStr">
        <is>
          <t>Iraq</t>
        </is>
      </c>
      <c r="B4789" t="inlineStr">
        <is>
          <t>IRQ</t>
        </is>
      </c>
      <c r="C4789" t="n">
        <v>1964</v>
      </c>
      <c r="D4789" t="n">
        <v>-0.09013651967174779</v>
      </c>
    </row>
    <row r="4790">
      <c r="A4790" t="inlineStr">
        <is>
          <t>Iraq</t>
        </is>
      </c>
      <c r="B4790" t="inlineStr">
        <is>
          <t>IRQ</t>
        </is>
      </c>
      <c r="C4790" t="n">
        <v>1965</v>
      </c>
      <c r="D4790" t="n">
        <v>-0.45558086585781</v>
      </c>
    </row>
    <row r="4791">
      <c r="A4791" t="inlineStr">
        <is>
          <t>Iraq</t>
        </is>
      </c>
      <c r="B4791" t="inlineStr">
        <is>
          <t>IRQ</t>
        </is>
      </c>
      <c r="C4791" t="n">
        <v>1966</v>
      </c>
      <c r="D4791" t="n">
        <v>1.98321891712164</v>
      </c>
    </row>
    <row r="4792">
      <c r="A4792" t="inlineStr">
        <is>
          <t>Iraq</t>
        </is>
      </c>
      <c r="B4792" t="inlineStr">
        <is>
          <t>IRQ</t>
        </is>
      </c>
      <c r="C4792" t="n">
        <v>1967</v>
      </c>
      <c r="D4792" t="n">
        <v>3.29094988781672</v>
      </c>
    </row>
    <row r="4793">
      <c r="A4793" t="inlineStr">
        <is>
          <t>Iraq</t>
        </is>
      </c>
      <c r="B4793" t="inlineStr">
        <is>
          <t>IRQ</t>
        </is>
      </c>
      <c r="C4793" t="n">
        <v>1968</v>
      </c>
      <c r="D4793" t="n">
        <v>2.19647598286799</v>
      </c>
    </row>
    <row r="4794">
      <c r="A4794" t="inlineStr">
        <is>
          <t>Iraq</t>
        </is>
      </c>
      <c r="B4794" t="inlineStr">
        <is>
          <t>IRQ</t>
        </is>
      </c>
      <c r="C4794" t="n">
        <v>1969</v>
      </c>
      <c r="D4794" t="n">
        <v>5.73925366136733</v>
      </c>
    </row>
    <row r="4795">
      <c r="A4795" t="inlineStr">
        <is>
          <t>Iraq</t>
        </is>
      </c>
      <c r="B4795" t="inlineStr">
        <is>
          <t>IRQ</t>
        </is>
      </c>
      <c r="C4795" t="n">
        <v>1970</v>
      </c>
      <c r="D4795" t="n">
        <v>4.35559526470564</v>
      </c>
    </row>
    <row r="4796">
      <c r="A4796" t="inlineStr">
        <is>
          <t>Iraq</t>
        </is>
      </c>
      <c r="B4796" t="inlineStr">
        <is>
          <t>IRQ</t>
        </is>
      </c>
      <c r="C4796" t="n">
        <v>1971</v>
      </c>
      <c r="D4796" t="n">
        <v>3.59589041076037</v>
      </c>
    </row>
    <row r="4797">
      <c r="A4797" t="inlineStr">
        <is>
          <t>Iraq</t>
        </is>
      </c>
      <c r="B4797" t="inlineStr">
        <is>
          <t>IRQ</t>
        </is>
      </c>
      <c r="C4797" t="n">
        <v>1972</v>
      </c>
      <c r="D4797" t="n">
        <v>5.18595041325518</v>
      </c>
    </row>
    <row r="4798">
      <c r="A4798" t="inlineStr">
        <is>
          <t>Iraq</t>
        </is>
      </c>
      <c r="B4798" t="inlineStr">
        <is>
          <t>IRQ</t>
        </is>
      </c>
      <c r="C4798" t="n">
        <v>1973</v>
      </c>
      <c r="D4798" t="n">
        <v>4.89098408992571</v>
      </c>
    </row>
    <row r="4799">
      <c r="A4799" t="inlineStr">
        <is>
          <t>Iraq</t>
        </is>
      </c>
      <c r="B4799" t="inlineStr">
        <is>
          <t>IRQ</t>
        </is>
      </c>
      <c r="C4799" t="n">
        <v>1974</v>
      </c>
      <c r="D4799" t="n">
        <v>7.69999999976926</v>
      </c>
    </row>
    <row r="4800">
      <c r="A4800" t="inlineStr">
        <is>
          <t>Iraq</t>
        </is>
      </c>
      <c r="B4800" t="inlineStr">
        <is>
          <t>IRQ</t>
        </is>
      </c>
      <c r="C4800" t="n">
        <v>1975</v>
      </c>
      <c r="D4800" t="n">
        <v>9.51717734405536</v>
      </c>
    </row>
    <row r="4801">
      <c r="A4801" t="inlineStr">
        <is>
          <t>Iraq</t>
        </is>
      </c>
      <c r="B4801" t="inlineStr">
        <is>
          <t>IRQ</t>
        </is>
      </c>
      <c r="C4801" t="n">
        <v>1976</v>
      </c>
      <c r="D4801" t="n">
        <v>12.8232301828134</v>
      </c>
    </row>
    <row r="4802">
      <c r="A4802" t="inlineStr">
        <is>
          <t>Iraq</t>
        </is>
      </c>
      <c r="B4802" t="inlineStr">
        <is>
          <t>IRQ</t>
        </is>
      </c>
      <c r="C4802" t="n">
        <v>1977</v>
      </c>
      <c r="D4802" t="n">
        <v>9.16776253995512</v>
      </c>
    </row>
    <row r="4803">
      <c r="A4803" t="inlineStr">
        <is>
          <t>Iraq</t>
        </is>
      </c>
      <c r="B4803" t="inlineStr">
        <is>
          <t>IRQ</t>
        </is>
      </c>
      <c r="C4803" t="n">
        <v>1978</v>
      </c>
      <c r="D4803" t="n">
        <v>4.61194286682018</v>
      </c>
    </row>
    <row r="4804">
      <c r="A4804" t="inlineStr">
        <is>
          <t>Iraq</t>
        </is>
      </c>
      <c r="B4804" t="inlineStr">
        <is>
          <t>IRQ</t>
        </is>
      </c>
      <c r="C4804" t="n">
        <v>1991</v>
      </c>
      <c r="D4804" t="n">
        <v>180.952380952381</v>
      </c>
    </row>
    <row r="4805">
      <c r="A4805" t="inlineStr">
        <is>
          <t>Iraq</t>
        </is>
      </c>
      <c r="B4805" t="inlineStr">
        <is>
          <t>IRQ</t>
        </is>
      </c>
      <c r="C4805" t="n">
        <v>1992</v>
      </c>
      <c r="D4805" t="n">
        <v>83.615819209039</v>
      </c>
    </row>
    <row r="4806">
      <c r="A4806" t="inlineStr">
        <is>
          <t>Iraq</t>
        </is>
      </c>
      <c r="B4806" t="inlineStr">
        <is>
          <t>IRQ</t>
        </is>
      </c>
      <c r="C4806" t="n">
        <v>1993</v>
      </c>
      <c r="D4806" t="n">
        <v>207.692307692309</v>
      </c>
    </row>
    <row r="4807">
      <c r="A4807" t="inlineStr">
        <is>
          <t>Iraq</t>
        </is>
      </c>
      <c r="B4807" t="inlineStr">
        <is>
          <t>IRQ</t>
        </is>
      </c>
      <c r="C4807" t="n">
        <v>1994</v>
      </c>
      <c r="D4807" t="n">
        <v>448.499999999999</v>
      </c>
    </row>
    <row r="4808">
      <c r="A4808" t="inlineStr">
        <is>
          <t>Iraq</t>
        </is>
      </c>
      <c r="B4808" t="inlineStr">
        <is>
          <t>IRQ</t>
        </is>
      </c>
      <c r="C4808" t="n">
        <v>1995</v>
      </c>
      <c r="D4808" t="n">
        <v>387.310847766638</v>
      </c>
    </row>
    <row r="4809">
      <c r="A4809" t="inlineStr">
        <is>
          <t>Iraq</t>
        </is>
      </c>
      <c r="B4809" t="inlineStr">
        <is>
          <t>IRQ</t>
        </is>
      </c>
      <c r="C4809" t="n">
        <v>1996</v>
      </c>
      <c r="D4809" t="n">
        <v>-16.1173257510572</v>
      </c>
    </row>
    <row r="4810">
      <c r="A4810" t="inlineStr">
        <is>
          <t>Iraq</t>
        </is>
      </c>
      <c r="B4810" t="inlineStr">
        <is>
          <t>IRQ</t>
        </is>
      </c>
      <c r="C4810" t="n">
        <v>1997</v>
      </c>
      <c r="D4810" t="n">
        <v>23.0631996788727</v>
      </c>
    </row>
    <row r="4811">
      <c r="A4811" t="inlineStr">
        <is>
          <t>Iraq</t>
        </is>
      </c>
      <c r="B4811" t="inlineStr">
        <is>
          <t>IRQ</t>
        </is>
      </c>
      <c r="C4811" t="n">
        <v>1998</v>
      </c>
      <c r="D4811" t="n">
        <v>14.7687735575528</v>
      </c>
    </row>
    <row r="4812">
      <c r="A4812" t="inlineStr">
        <is>
          <t>Iraq</t>
        </is>
      </c>
      <c r="B4812" t="inlineStr">
        <is>
          <t>IRQ</t>
        </is>
      </c>
      <c r="C4812" t="n">
        <v>1999</v>
      </c>
      <c r="D4812" t="n">
        <v>12.5777623393436</v>
      </c>
    </row>
    <row r="4813">
      <c r="A4813" t="inlineStr">
        <is>
          <t>Iraq</t>
        </is>
      </c>
      <c r="B4813" t="inlineStr">
        <is>
          <t>IRQ</t>
        </is>
      </c>
      <c r="C4813" t="n">
        <v>2000</v>
      </c>
      <c r="D4813" t="n">
        <v>4.97896213183735</v>
      </c>
    </row>
    <row r="4814">
      <c r="A4814" t="inlineStr">
        <is>
          <t>Iraq</t>
        </is>
      </c>
      <c r="B4814" t="inlineStr">
        <is>
          <t>IRQ</t>
        </is>
      </c>
      <c r="C4814" t="n">
        <v>2001</v>
      </c>
      <c r="D4814" t="n">
        <v>16.3740814963262</v>
      </c>
    </row>
    <row r="4815">
      <c r="A4815" t="inlineStr">
        <is>
          <t>Iraq</t>
        </is>
      </c>
      <c r="B4815" t="inlineStr">
        <is>
          <t>IRQ</t>
        </is>
      </c>
      <c r="C4815" t="n">
        <v>2002</v>
      </c>
      <c r="D4815" t="n">
        <v>19.316694601979</v>
      </c>
    </row>
    <row r="4816">
      <c r="A4816" t="inlineStr">
        <is>
          <t>Iraq</t>
        </is>
      </c>
      <c r="B4816" t="inlineStr">
        <is>
          <t>IRQ</t>
        </is>
      </c>
      <c r="C4816" t="n">
        <v>2003</v>
      </c>
      <c r="D4816" t="n">
        <v>33.6162105992383</v>
      </c>
    </row>
    <row r="4817">
      <c r="A4817" t="inlineStr">
        <is>
          <t>Iraq</t>
        </is>
      </c>
      <c r="B4817" t="inlineStr">
        <is>
          <t>IRQ</t>
        </is>
      </c>
      <c r="C4817" t="n">
        <v>2004</v>
      </c>
      <c r="D4817" t="n">
        <v>26.9619068193272</v>
      </c>
    </row>
    <row r="4818">
      <c r="A4818" t="inlineStr">
        <is>
          <t>Iraq</t>
        </is>
      </c>
      <c r="B4818" t="inlineStr">
        <is>
          <t>IRQ</t>
        </is>
      </c>
      <c r="C4818" t="n">
        <v>2005</v>
      </c>
      <c r="D4818" t="n">
        <v>36.9594809201871</v>
      </c>
    </row>
    <row r="4819">
      <c r="A4819" t="inlineStr">
        <is>
          <t>Iraq</t>
        </is>
      </c>
      <c r="B4819" t="inlineStr">
        <is>
          <t>IRQ</t>
        </is>
      </c>
      <c r="C4819" t="n">
        <v>2006</v>
      </c>
      <c r="D4819" t="n">
        <v>53.230962911428</v>
      </c>
    </row>
    <row r="4820">
      <c r="A4820" t="inlineStr">
        <is>
          <t>Iraq</t>
        </is>
      </c>
      <c r="B4820" t="inlineStr">
        <is>
          <t>IRQ</t>
        </is>
      </c>
      <c r="C4820" t="n">
        <v>2007</v>
      </c>
      <c r="D4820" t="n">
        <v>-10.0674925768978</v>
      </c>
    </row>
    <row r="4821">
      <c r="A4821" t="inlineStr">
        <is>
          <t>Iraq</t>
        </is>
      </c>
      <c r="B4821" t="inlineStr">
        <is>
          <t>IRQ</t>
        </is>
      </c>
      <c r="C4821" t="n">
        <v>2008</v>
      </c>
      <c r="D4821" t="n">
        <v>12.6628528269228</v>
      </c>
    </row>
    <row r="4822">
      <c r="A4822" t="inlineStr">
        <is>
          <t>Iraq</t>
        </is>
      </c>
      <c r="B4822" t="inlineStr">
        <is>
          <t>IRQ</t>
        </is>
      </c>
      <c r="C4822" t="n">
        <v>2009</v>
      </c>
      <c r="D4822" t="n">
        <v>6.8736154721255</v>
      </c>
    </row>
    <row r="4823">
      <c r="A4823" t="inlineStr">
        <is>
          <t>Iraq</t>
        </is>
      </c>
      <c r="B4823" t="inlineStr">
        <is>
          <t>IRQ</t>
        </is>
      </c>
      <c r="C4823" t="n">
        <v>2010</v>
      </c>
      <c r="D4823" t="n">
        <v>2.8777472527476</v>
      </c>
    </row>
    <row r="4824">
      <c r="A4824" t="inlineStr">
        <is>
          <t>Iraq</t>
        </is>
      </c>
      <c r="B4824" t="inlineStr">
        <is>
          <t>IRQ</t>
        </is>
      </c>
      <c r="C4824" t="n">
        <v>2011</v>
      </c>
      <c r="D4824" t="n">
        <v>5.801455370853</v>
      </c>
    </row>
    <row r="4825">
      <c r="A4825" t="inlineStr">
        <is>
          <t>Iraq</t>
        </is>
      </c>
      <c r="B4825" t="inlineStr">
        <is>
          <t>IRQ</t>
        </is>
      </c>
      <c r="C4825" t="n">
        <v>2012</v>
      </c>
      <c r="D4825" t="n">
        <v>6.08909641595043</v>
      </c>
    </row>
    <row r="4826">
      <c r="A4826" t="inlineStr">
        <is>
          <t>Iraq</t>
        </is>
      </c>
      <c r="B4826" t="inlineStr">
        <is>
          <t>IRQ</t>
        </is>
      </c>
      <c r="C4826" t="n">
        <v>2013</v>
      </c>
      <c r="D4826" t="n">
        <v>1.87949800749469</v>
      </c>
    </row>
    <row r="4827">
      <c r="A4827" t="inlineStr">
        <is>
          <t>Iraq</t>
        </is>
      </c>
      <c r="B4827" t="inlineStr">
        <is>
          <t>IRQ</t>
        </is>
      </c>
      <c r="C4827" t="n">
        <v>2014</v>
      </c>
      <c r="D4827" t="n">
        <v>2.23597407904679</v>
      </c>
    </row>
    <row r="4828">
      <c r="A4828" t="inlineStr">
        <is>
          <t>Iraq</t>
        </is>
      </c>
      <c r="B4828" t="inlineStr">
        <is>
          <t>IRQ</t>
        </is>
      </c>
      <c r="C4828" t="n">
        <v>2015</v>
      </c>
      <c r="D4828" t="n">
        <v>1.39333028780309</v>
      </c>
    </row>
    <row r="4829">
      <c r="A4829" t="inlineStr">
        <is>
          <t>Iraq</t>
        </is>
      </c>
      <c r="B4829" t="inlineStr">
        <is>
          <t>IRQ</t>
        </is>
      </c>
      <c r="C4829" t="n">
        <v>2016</v>
      </c>
      <c r="D4829" t="n">
        <v>0.556521397155511</v>
      </c>
    </row>
    <row r="4830">
      <c r="A4830" t="inlineStr">
        <is>
          <t>Iraq</t>
        </is>
      </c>
      <c r="B4830" t="inlineStr">
        <is>
          <t>IRQ</t>
        </is>
      </c>
      <c r="C4830" t="n">
        <v>2017</v>
      </c>
      <c r="D4830" t="n">
        <v>0.18405889884769</v>
      </c>
    </row>
    <row r="4831">
      <c r="A4831" t="inlineStr">
        <is>
          <t>Iraq</t>
        </is>
      </c>
      <c r="B4831" t="inlineStr">
        <is>
          <t>IRQ</t>
        </is>
      </c>
      <c r="C4831" t="n">
        <v>2018</v>
      </c>
      <c r="D4831" t="n">
        <v>0.367441488936849</v>
      </c>
    </row>
    <row r="4832">
      <c r="A4832" t="inlineStr">
        <is>
          <t>Iraq</t>
        </is>
      </c>
      <c r="B4832" t="inlineStr">
        <is>
          <t>IRQ</t>
        </is>
      </c>
      <c r="C4832" t="n">
        <v>2019</v>
      </c>
      <c r="D4832" t="n">
        <v>-0.198965380023928</v>
      </c>
    </row>
    <row r="4833">
      <c r="A4833" t="inlineStr">
        <is>
          <t>Iraq</t>
        </is>
      </c>
      <c r="B4833" t="inlineStr">
        <is>
          <t>IRQ</t>
        </is>
      </c>
      <c r="C4833" t="n">
        <v>2020</v>
      </c>
      <c r="D4833" t="n">
        <v>0.574162679425795</v>
      </c>
    </row>
    <row r="4834">
      <c r="A4834" t="inlineStr">
        <is>
          <t>Iraq</t>
        </is>
      </c>
      <c r="B4834" t="inlineStr">
        <is>
          <t>IRQ</t>
        </is>
      </c>
      <c r="C4834" t="n">
        <v>2021</v>
      </c>
      <c r="D4834" t="n">
        <v>6.04186489058044</v>
      </c>
    </row>
    <row r="4835">
      <c r="A4835" t="inlineStr">
        <is>
          <t>Iraq</t>
        </is>
      </c>
      <c r="B4835" t="inlineStr">
        <is>
          <t>IRQ</t>
        </is>
      </c>
      <c r="C4835" t="n">
        <v>2022</v>
      </c>
      <c r="D4835" t="n">
        <v>4.99476596381044</v>
      </c>
    </row>
    <row r="4836">
      <c r="A4836" t="inlineStr">
        <is>
          <t>Iraq</t>
        </is>
      </c>
      <c r="B4836" t="inlineStr">
        <is>
          <t>IRQ</t>
        </is>
      </c>
      <c r="C4836" t="n">
        <v>2023</v>
      </c>
      <c r="D4836" t="n">
        <v>4.35835351089586</v>
      </c>
    </row>
    <row r="4837">
      <c r="A4837" t="inlineStr">
        <is>
          <t>Iceland</t>
        </is>
      </c>
      <c r="B4837" t="inlineStr">
        <is>
          <t>ISL</t>
        </is>
      </c>
      <c r="C4837" t="n">
        <v>1960</v>
      </c>
      <c r="D4837" t="n">
        <v>1.98839723902034</v>
      </c>
    </row>
    <row r="4838">
      <c r="A4838" t="inlineStr">
        <is>
          <t>Iceland</t>
        </is>
      </c>
      <c r="B4838" t="inlineStr">
        <is>
          <t>ISL</t>
        </is>
      </c>
      <c r="C4838" t="n">
        <v>1961</v>
      </c>
      <c r="D4838" t="n">
        <v>4.71161499679353</v>
      </c>
    </row>
    <row r="4839">
      <c r="A4839" t="inlineStr">
        <is>
          <t>Iceland</t>
        </is>
      </c>
      <c r="B4839" t="inlineStr">
        <is>
          <t>ISL</t>
        </is>
      </c>
      <c r="C4839" t="n">
        <v>1962</v>
      </c>
      <c r="D4839" t="n">
        <v>11.016292445577</v>
      </c>
    </row>
    <row r="4840">
      <c r="A4840" t="inlineStr">
        <is>
          <t>Iceland</t>
        </is>
      </c>
      <c r="B4840" t="inlineStr">
        <is>
          <t>ISL</t>
        </is>
      </c>
      <c r="C4840" t="n">
        <v>1963</v>
      </c>
      <c r="D4840" t="n">
        <v>12.9280230755903</v>
      </c>
    </row>
    <row r="4841">
      <c r="A4841" t="inlineStr">
        <is>
          <t>Iceland</t>
        </is>
      </c>
      <c r="B4841" t="inlineStr">
        <is>
          <t>ISL</t>
        </is>
      </c>
      <c r="C4841" t="n">
        <v>1964</v>
      </c>
      <c r="D4841" t="n">
        <v>19.2450543572579</v>
      </c>
    </row>
    <row r="4842">
      <c r="A4842" t="inlineStr">
        <is>
          <t>Iceland</t>
        </is>
      </c>
      <c r="B4842" t="inlineStr">
        <is>
          <t>ISL</t>
        </is>
      </c>
      <c r="C4842" t="n">
        <v>1965</v>
      </c>
      <c r="D4842" t="n">
        <v>7.31706942783346</v>
      </c>
    </row>
    <row r="4843">
      <c r="A4843" t="inlineStr">
        <is>
          <t>Iceland</t>
        </is>
      </c>
      <c r="B4843" t="inlineStr">
        <is>
          <t>ISL</t>
        </is>
      </c>
      <c r="C4843" t="n">
        <v>1966</v>
      </c>
      <c r="D4843" t="n">
        <v>10.6866430342387</v>
      </c>
    </row>
    <row r="4844">
      <c r="A4844" t="inlineStr">
        <is>
          <t>Iceland</t>
        </is>
      </c>
      <c r="B4844" t="inlineStr">
        <is>
          <t>ISL</t>
        </is>
      </c>
      <c r="C4844" t="n">
        <v>1967</v>
      </c>
      <c r="D4844" t="n">
        <v>3.32021867821532</v>
      </c>
    </row>
    <row r="4845">
      <c r="A4845" t="inlineStr">
        <is>
          <t>Iceland</t>
        </is>
      </c>
      <c r="B4845" t="inlineStr">
        <is>
          <t>ISL</t>
        </is>
      </c>
      <c r="C4845" t="n">
        <v>1968</v>
      </c>
      <c r="D4845" t="n">
        <v>15.2317984034252</v>
      </c>
    </row>
    <row r="4846">
      <c r="A4846" t="inlineStr">
        <is>
          <t>Iceland</t>
        </is>
      </c>
      <c r="B4846" t="inlineStr">
        <is>
          <t>ISL</t>
        </is>
      </c>
      <c r="C4846" t="n">
        <v>1969</v>
      </c>
      <c r="D4846" t="n">
        <v>21.7632949193453</v>
      </c>
    </row>
    <row r="4847">
      <c r="A4847" t="inlineStr">
        <is>
          <t>Iceland</t>
        </is>
      </c>
      <c r="B4847" t="inlineStr">
        <is>
          <t>ISL</t>
        </is>
      </c>
      <c r="C4847" t="n">
        <v>1970</v>
      </c>
      <c r="D4847" t="n">
        <v>13.3724751491846</v>
      </c>
    </row>
    <row r="4848">
      <c r="A4848" t="inlineStr">
        <is>
          <t>Iceland</t>
        </is>
      </c>
      <c r="B4848" t="inlineStr">
        <is>
          <t>ISL</t>
        </is>
      </c>
      <c r="C4848" t="n">
        <v>1971</v>
      </c>
      <c r="D4848" t="n">
        <v>6.73187452980988</v>
      </c>
    </row>
    <row r="4849">
      <c r="A4849" t="inlineStr">
        <is>
          <t>Iceland</t>
        </is>
      </c>
      <c r="B4849" t="inlineStr">
        <is>
          <t>ISL</t>
        </is>
      </c>
      <c r="C4849" t="n">
        <v>1972</v>
      </c>
      <c r="D4849" t="n">
        <v>9.81132391279972</v>
      </c>
    </row>
    <row r="4850">
      <c r="A4850" t="inlineStr">
        <is>
          <t>Iceland</t>
        </is>
      </c>
      <c r="B4850" t="inlineStr">
        <is>
          <t>ISL</t>
        </is>
      </c>
      <c r="C4850" t="n">
        <v>1973</v>
      </c>
      <c r="D4850" t="n">
        <v>21.3549309168298</v>
      </c>
    </row>
    <row r="4851">
      <c r="A4851" t="inlineStr">
        <is>
          <t>Iceland</t>
        </is>
      </c>
      <c r="B4851" t="inlineStr">
        <is>
          <t>ISL</t>
        </is>
      </c>
      <c r="C4851" t="n">
        <v>1974</v>
      </c>
      <c r="D4851" t="n">
        <v>42.5161819585292</v>
      </c>
    </row>
    <row r="4852">
      <c r="A4852" t="inlineStr">
        <is>
          <t>Iceland</t>
        </is>
      </c>
      <c r="B4852" t="inlineStr">
        <is>
          <t>ISL</t>
        </is>
      </c>
      <c r="C4852" t="n">
        <v>1975</v>
      </c>
      <c r="D4852" t="n">
        <v>49.3613382334053</v>
      </c>
    </row>
    <row r="4853">
      <c r="A4853" t="inlineStr">
        <is>
          <t>Iceland</t>
        </is>
      </c>
      <c r="B4853" t="inlineStr">
        <is>
          <t>ISL</t>
        </is>
      </c>
      <c r="C4853" t="n">
        <v>1976</v>
      </c>
      <c r="D4853" t="n">
        <v>32.0351102236086</v>
      </c>
    </row>
    <row r="4854">
      <c r="A4854" t="inlineStr">
        <is>
          <t>Iceland</t>
        </is>
      </c>
      <c r="B4854" t="inlineStr">
        <is>
          <t>ISL</t>
        </is>
      </c>
      <c r="C4854" t="n">
        <v>1977</v>
      </c>
      <c r="D4854" t="n">
        <v>30.3167412725928</v>
      </c>
    </row>
    <row r="4855">
      <c r="A4855" t="inlineStr">
        <is>
          <t>Iceland</t>
        </is>
      </c>
      <c r="B4855" t="inlineStr">
        <is>
          <t>ISL</t>
        </is>
      </c>
      <c r="C4855" t="n">
        <v>1978</v>
      </c>
      <c r="D4855" t="n">
        <v>43.7499982853606</v>
      </c>
    </row>
    <row r="4856">
      <c r="A4856" t="inlineStr">
        <is>
          <t>Iceland</t>
        </is>
      </c>
      <c r="B4856" t="inlineStr">
        <is>
          <t>ISL</t>
        </is>
      </c>
      <c r="C4856" t="n">
        <v>1979</v>
      </c>
      <c r="D4856" t="n">
        <v>44.4444558043744</v>
      </c>
    </row>
    <row r="4857">
      <c r="A4857" t="inlineStr">
        <is>
          <t>Iceland</t>
        </is>
      </c>
      <c r="B4857" t="inlineStr">
        <is>
          <t>ISL</t>
        </is>
      </c>
      <c r="C4857" t="n">
        <v>1980</v>
      </c>
      <c r="D4857" t="n">
        <v>58.5284260893646</v>
      </c>
    </row>
    <row r="4858">
      <c r="A4858" t="inlineStr">
        <is>
          <t>Iceland</t>
        </is>
      </c>
      <c r="B4858" t="inlineStr">
        <is>
          <t>ISL</t>
        </is>
      </c>
      <c r="C4858" t="n">
        <v>1981</v>
      </c>
      <c r="D4858" t="n">
        <v>51.7932416010108</v>
      </c>
    </row>
    <row r="4859">
      <c r="A4859" t="inlineStr">
        <is>
          <t>Iceland</t>
        </is>
      </c>
      <c r="B4859" t="inlineStr">
        <is>
          <t>ISL</t>
        </is>
      </c>
      <c r="C4859" t="n">
        <v>1982</v>
      </c>
      <c r="D4859" t="n">
        <v>50.2432263896761</v>
      </c>
    </row>
    <row r="4860">
      <c r="A4860" t="inlineStr">
        <is>
          <t>Iceland</t>
        </is>
      </c>
      <c r="B4860" t="inlineStr">
        <is>
          <t>ISL</t>
        </is>
      </c>
      <c r="C4860" t="n">
        <v>1983</v>
      </c>
      <c r="D4860" t="n">
        <v>83.9500461937034</v>
      </c>
    </row>
    <row r="4861">
      <c r="A4861" t="inlineStr">
        <is>
          <t>Iceland</t>
        </is>
      </c>
      <c r="B4861" t="inlineStr">
        <is>
          <t>ISL</t>
        </is>
      </c>
      <c r="C4861" t="n">
        <v>1984</v>
      </c>
      <c r="D4861" t="n">
        <v>30.8523970770909</v>
      </c>
    </row>
    <row r="4862">
      <c r="A4862" t="inlineStr">
        <is>
          <t>Iceland</t>
        </is>
      </c>
      <c r="B4862" t="inlineStr">
        <is>
          <t>ISL</t>
        </is>
      </c>
      <c r="C4862" t="n">
        <v>1985</v>
      </c>
      <c r="D4862" t="n">
        <v>31.9946290240703</v>
      </c>
    </row>
    <row r="4863">
      <c r="A4863" t="inlineStr">
        <is>
          <t>Iceland</t>
        </is>
      </c>
      <c r="B4863" t="inlineStr">
        <is>
          <t>ISL</t>
        </is>
      </c>
      <c r="C4863" t="n">
        <v>1986</v>
      </c>
      <c r="D4863" t="n">
        <v>22.1284011876646</v>
      </c>
    </row>
    <row r="4864">
      <c r="A4864" t="inlineStr">
        <is>
          <t>Iceland</t>
        </is>
      </c>
      <c r="B4864" t="inlineStr">
        <is>
          <t>ISL</t>
        </is>
      </c>
      <c r="C4864" t="n">
        <v>1987</v>
      </c>
      <c r="D4864" t="n">
        <v>18.2977682232304</v>
      </c>
    </row>
    <row r="4865">
      <c r="A4865" t="inlineStr">
        <is>
          <t>Iceland</t>
        </is>
      </c>
      <c r="B4865" t="inlineStr">
        <is>
          <t>ISL</t>
        </is>
      </c>
      <c r="C4865" t="n">
        <v>1988</v>
      </c>
      <c r="D4865" t="n">
        <v>25.7255090852842</v>
      </c>
    </row>
    <row r="4866">
      <c r="A4866" t="inlineStr">
        <is>
          <t>Iceland</t>
        </is>
      </c>
      <c r="B4866" t="inlineStr">
        <is>
          <t>ISL</t>
        </is>
      </c>
      <c r="C4866" t="n">
        <v>1989</v>
      </c>
      <c r="D4866" t="n">
        <v>20.7581950334485</v>
      </c>
    </row>
    <row r="4867">
      <c r="A4867" t="inlineStr">
        <is>
          <t>Iceland</t>
        </is>
      </c>
      <c r="B4867" t="inlineStr">
        <is>
          <t>ISL</t>
        </is>
      </c>
      <c r="C4867" t="n">
        <v>1990</v>
      </c>
      <c r="D4867" t="n">
        <v>15.510721994253</v>
      </c>
    </row>
    <row r="4868">
      <c r="A4868" t="inlineStr">
        <is>
          <t>Iceland</t>
        </is>
      </c>
      <c r="B4868" t="inlineStr">
        <is>
          <t>ISL</t>
        </is>
      </c>
      <c r="C4868" t="n">
        <v>1991</v>
      </c>
      <c r="D4868" t="n">
        <v>6.80877887943634</v>
      </c>
    </row>
    <row r="4869">
      <c r="A4869" t="inlineStr">
        <is>
          <t>Iceland</t>
        </is>
      </c>
      <c r="B4869" t="inlineStr">
        <is>
          <t>ISL</t>
        </is>
      </c>
      <c r="C4869" t="n">
        <v>1992</v>
      </c>
      <c r="D4869" t="n">
        <v>3.94771176824031</v>
      </c>
    </row>
    <row r="4870">
      <c r="A4870" t="inlineStr">
        <is>
          <t>Iceland</t>
        </is>
      </c>
      <c r="B4870" t="inlineStr">
        <is>
          <t>ISL</t>
        </is>
      </c>
      <c r="C4870" t="n">
        <v>1993</v>
      </c>
      <c r="D4870" t="n">
        <v>4.04285291076947</v>
      </c>
    </row>
    <row r="4871">
      <c r="A4871" t="inlineStr">
        <is>
          <t>Iceland</t>
        </is>
      </c>
      <c r="B4871" t="inlineStr">
        <is>
          <t>ISL</t>
        </is>
      </c>
      <c r="C4871" t="n">
        <v>1994</v>
      </c>
      <c r="D4871" t="n">
        <v>1.55265627495777</v>
      </c>
    </row>
    <row r="4872">
      <c r="A4872" t="inlineStr">
        <is>
          <t>Iceland</t>
        </is>
      </c>
      <c r="B4872" t="inlineStr">
        <is>
          <t>ISL</t>
        </is>
      </c>
      <c r="C4872" t="n">
        <v>1995</v>
      </c>
      <c r="D4872" t="n">
        <v>1.65123150116658</v>
      </c>
    </row>
    <row r="4873">
      <c r="A4873" t="inlineStr">
        <is>
          <t>Iceland</t>
        </is>
      </c>
      <c r="B4873" t="inlineStr">
        <is>
          <t>ISL</t>
        </is>
      </c>
      <c r="C4873" t="n">
        <v>1996</v>
      </c>
      <c r="D4873" t="n">
        <v>2.26041898267297</v>
      </c>
    </row>
    <row r="4874">
      <c r="A4874" t="inlineStr">
        <is>
          <t>Iceland</t>
        </is>
      </c>
      <c r="B4874" t="inlineStr">
        <is>
          <t>ISL</t>
        </is>
      </c>
      <c r="C4874" t="n">
        <v>1997</v>
      </c>
      <c r="D4874" t="n">
        <v>1.81543080282242</v>
      </c>
    </row>
    <row r="4875">
      <c r="A4875" t="inlineStr">
        <is>
          <t>Iceland</t>
        </is>
      </c>
      <c r="B4875" t="inlineStr">
        <is>
          <t>ISL</t>
        </is>
      </c>
      <c r="C4875" t="n">
        <v>1998</v>
      </c>
      <c r="D4875" t="n">
        <v>1.65924170953427</v>
      </c>
    </row>
    <row r="4876">
      <c r="A4876" t="inlineStr">
        <is>
          <t>Iceland</t>
        </is>
      </c>
      <c r="B4876" t="inlineStr">
        <is>
          <t>ISL</t>
        </is>
      </c>
      <c r="C4876" t="n">
        <v>1999</v>
      </c>
      <c r="D4876" t="n">
        <v>3.23183260906467</v>
      </c>
    </row>
    <row r="4877">
      <c r="A4877" t="inlineStr">
        <is>
          <t>Iceland</t>
        </is>
      </c>
      <c r="B4877" t="inlineStr">
        <is>
          <t>ISL</t>
        </is>
      </c>
      <c r="C4877" t="n">
        <v>2000</v>
      </c>
      <c r="D4877" t="n">
        <v>5.13647123245151</v>
      </c>
    </row>
    <row r="4878">
      <c r="A4878" t="inlineStr">
        <is>
          <t>Iceland</t>
        </is>
      </c>
      <c r="B4878" t="inlineStr">
        <is>
          <t>ISL</t>
        </is>
      </c>
      <c r="C4878" t="n">
        <v>2001</v>
      </c>
      <c r="D4878" t="n">
        <v>6.40508550386868</v>
      </c>
    </row>
    <row r="4879">
      <c r="A4879" t="inlineStr">
        <is>
          <t>Iceland</t>
        </is>
      </c>
      <c r="B4879" t="inlineStr">
        <is>
          <t>ISL</t>
        </is>
      </c>
      <c r="C4879" t="n">
        <v>2002</v>
      </c>
      <c r="D4879" t="n">
        <v>5.19702230216628</v>
      </c>
    </row>
    <row r="4880">
      <c r="A4880" t="inlineStr">
        <is>
          <t>Iceland</t>
        </is>
      </c>
      <c r="B4880" t="inlineStr">
        <is>
          <t>ISL</t>
        </is>
      </c>
      <c r="C4880" t="n">
        <v>2003</v>
      </c>
      <c r="D4880" t="n">
        <v>2.05566329753742</v>
      </c>
    </row>
    <row r="4881">
      <c r="A4881" t="inlineStr">
        <is>
          <t>Iceland</t>
        </is>
      </c>
      <c r="B4881" t="inlineStr">
        <is>
          <t>ISL</t>
        </is>
      </c>
      <c r="C4881" t="n">
        <v>2004</v>
      </c>
      <c r="D4881" t="n">
        <v>3.15819324298464</v>
      </c>
    </row>
    <row r="4882">
      <c r="A4882" t="inlineStr">
        <is>
          <t>Iceland</t>
        </is>
      </c>
      <c r="B4882" t="inlineStr">
        <is>
          <t>ISL</t>
        </is>
      </c>
      <c r="C4882" t="n">
        <v>2005</v>
      </c>
      <c r="D4882" t="n">
        <v>3.98704782806593</v>
      </c>
    </row>
    <row r="4883">
      <c r="A4883" t="inlineStr">
        <is>
          <t>Iceland</t>
        </is>
      </c>
      <c r="B4883" t="inlineStr">
        <is>
          <t>ISL</t>
        </is>
      </c>
      <c r="C4883" t="n">
        <v>2006</v>
      </c>
      <c r="D4883" t="n">
        <v>6.68707906136661</v>
      </c>
    </row>
    <row r="4884">
      <c r="A4884" t="inlineStr">
        <is>
          <t>Iceland</t>
        </is>
      </c>
      <c r="B4884" t="inlineStr">
        <is>
          <t>ISL</t>
        </is>
      </c>
      <c r="C4884" t="n">
        <v>2007</v>
      </c>
      <c r="D4884" t="n">
        <v>5.05155736492146</v>
      </c>
    </row>
    <row r="4885">
      <c r="A4885" t="inlineStr">
        <is>
          <t>Iceland</t>
        </is>
      </c>
      <c r="B4885" t="inlineStr">
        <is>
          <t>ISL</t>
        </is>
      </c>
      <c r="C4885" t="n">
        <v>2008</v>
      </c>
      <c r="D4885" t="n">
        <v>12.6943942775878</v>
      </c>
    </row>
    <row r="4886">
      <c r="A4886" t="inlineStr">
        <is>
          <t>Iceland</t>
        </is>
      </c>
      <c r="B4886" t="inlineStr">
        <is>
          <t>ISL</t>
        </is>
      </c>
      <c r="C4886" t="n">
        <v>2009</v>
      </c>
      <c r="D4886" t="n">
        <v>12.0031298461743</v>
      </c>
    </row>
    <row r="4887">
      <c r="A4887" t="inlineStr">
        <is>
          <t>Iceland</t>
        </is>
      </c>
      <c r="B4887" t="inlineStr">
        <is>
          <t>ISL</t>
        </is>
      </c>
      <c r="C4887" t="n">
        <v>2010</v>
      </c>
      <c r="D4887" t="n">
        <v>5.39673113167477</v>
      </c>
    </row>
    <row r="4888">
      <c r="A4888" t="inlineStr">
        <is>
          <t>Iceland</t>
        </is>
      </c>
      <c r="B4888" t="inlineStr">
        <is>
          <t>ISL</t>
        </is>
      </c>
      <c r="C4888" t="n">
        <v>2011</v>
      </c>
      <c r="D4888" t="n">
        <v>4.0010266434312</v>
      </c>
    </row>
    <row r="4889">
      <c r="A4889" t="inlineStr">
        <is>
          <t>Iceland</t>
        </is>
      </c>
      <c r="B4889" t="inlineStr">
        <is>
          <t>ISL</t>
        </is>
      </c>
      <c r="C4889" t="n">
        <v>2012</v>
      </c>
      <c r="D4889" t="n">
        <v>5.18589988750698</v>
      </c>
    </row>
    <row r="4890">
      <c r="A4890" t="inlineStr">
        <is>
          <t>Iceland</t>
        </is>
      </c>
      <c r="B4890" t="inlineStr">
        <is>
          <t>ISL</t>
        </is>
      </c>
      <c r="C4890" t="n">
        <v>2013</v>
      </c>
      <c r="D4890" t="n">
        <v>3.87227923748249</v>
      </c>
    </row>
    <row r="4891">
      <c r="A4891" t="inlineStr">
        <is>
          <t>Iceland</t>
        </is>
      </c>
      <c r="B4891" t="inlineStr">
        <is>
          <t>ISL</t>
        </is>
      </c>
      <c r="C4891" t="n">
        <v>2014</v>
      </c>
      <c r="D4891" t="n">
        <v>2.04461481539333</v>
      </c>
    </row>
    <row r="4892">
      <c r="A4892" t="inlineStr">
        <is>
          <t>Iceland</t>
        </is>
      </c>
      <c r="B4892" t="inlineStr">
        <is>
          <t>ISL</t>
        </is>
      </c>
      <c r="C4892" t="n">
        <v>2015</v>
      </c>
      <c r="D4892" t="n">
        <v>1.63305558181326</v>
      </c>
    </row>
    <row r="4893">
      <c r="A4893" t="inlineStr">
        <is>
          <t>Iceland</t>
        </is>
      </c>
      <c r="B4893" t="inlineStr">
        <is>
          <t>ISL</t>
        </is>
      </c>
      <c r="C4893" t="n">
        <v>2016</v>
      </c>
      <c r="D4893" t="n">
        <v>1.69692761997751</v>
      </c>
    </row>
    <row r="4894">
      <c r="A4894" t="inlineStr">
        <is>
          <t>Iceland</t>
        </is>
      </c>
      <c r="B4894" t="inlineStr">
        <is>
          <t>ISL</t>
        </is>
      </c>
      <c r="C4894" t="n">
        <v>2017</v>
      </c>
      <c r="D4894" t="n">
        <v>1.76041559180596</v>
      </c>
    </row>
    <row r="4895">
      <c r="A4895" t="inlineStr">
        <is>
          <t>Iceland</t>
        </is>
      </c>
      <c r="B4895" t="inlineStr">
        <is>
          <t>ISL</t>
        </is>
      </c>
      <c r="C4895" t="n">
        <v>2018</v>
      </c>
      <c r="D4895" t="n">
        <v>2.68291768267392</v>
      </c>
    </row>
    <row r="4896">
      <c r="A4896" t="inlineStr">
        <is>
          <t>Iceland</t>
        </is>
      </c>
      <c r="B4896" t="inlineStr">
        <is>
          <t>ISL</t>
        </is>
      </c>
      <c r="C4896" t="n">
        <v>2019</v>
      </c>
      <c r="D4896" t="n">
        <v>3.01397179156053</v>
      </c>
    </row>
    <row r="4897">
      <c r="A4897" t="inlineStr">
        <is>
          <t>Iceland</t>
        </is>
      </c>
      <c r="B4897" t="inlineStr">
        <is>
          <t>ISL</t>
        </is>
      </c>
      <c r="C4897" t="n">
        <v>2020</v>
      </c>
      <c r="D4897" t="n">
        <v>2.84792401518665</v>
      </c>
    </row>
    <row r="4898">
      <c r="A4898" t="inlineStr">
        <is>
          <t>Iceland</t>
        </is>
      </c>
      <c r="B4898" t="inlineStr">
        <is>
          <t>ISL</t>
        </is>
      </c>
      <c r="C4898" t="n">
        <v>2021</v>
      </c>
      <c r="D4898" t="n">
        <v>4.44423970189739</v>
      </c>
    </row>
    <row r="4899">
      <c r="A4899" t="inlineStr">
        <is>
          <t>Iceland</t>
        </is>
      </c>
      <c r="B4899" t="inlineStr">
        <is>
          <t>ISL</t>
        </is>
      </c>
      <c r="C4899" t="n">
        <v>2022</v>
      </c>
      <c r="D4899" t="n">
        <v>8.3087551155892</v>
      </c>
    </row>
    <row r="4900">
      <c r="A4900" t="inlineStr">
        <is>
          <t>Iceland</t>
        </is>
      </c>
      <c r="B4900" t="inlineStr">
        <is>
          <t>ISL</t>
        </is>
      </c>
      <c r="C4900" t="n">
        <v>2023</v>
      </c>
      <c r="D4900" t="n">
        <v>8.736302999372979</v>
      </c>
    </row>
    <row r="4901">
      <c r="A4901" t="inlineStr">
        <is>
          <t>Iceland</t>
        </is>
      </c>
      <c r="B4901" t="inlineStr">
        <is>
          <t>ISL</t>
        </is>
      </c>
      <c r="C4901" t="n">
        <v>2024</v>
      </c>
      <c r="D4901" t="n">
        <v>5.85683849970066</v>
      </c>
    </row>
    <row r="4902">
      <c r="A4902" t="inlineStr">
        <is>
          <t>Israel</t>
        </is>
      </c>
      <c r="B4902" t="inlineStr">
        <is>
          <t>ISR</t>
        </is>
      </c>
      <c r="C4902" t="n">
        <v>1960</v>
      </c>
      <c r="D4902" t="n">
        <v>2.22811242067084</v>
      </c>
    </row>
    <row r="4903">
      <c r="A4903" t="inlineStr">
        <is>
          <t>Israel</t>
        </is>
      </c>
      <c r="B4903" t="inlineStr">
        <is>
          <t>ISR</t>
        </is>
      </c>
      <c r="C4903" t="n">
        <v>1961</v>
      </c>
      <c r="D4903" t="n">
        <v>6.78982340440243</v>
      </c>
    </row>
    <row r="4904">
      <c r="A4904" t="inlineStr">
        <is>
          <t>Israel</t>
        </is>
      </c>
      <c r="B4904" t="inlineStr">
        <is>
          <t>ISR</t>
        </is>
      </c>
      <c r="C4904" t="n">
        <v>1962</v>
      </c>
      <c r="D4904" t="n">
        <v>9.40819406826558</v>
      </c>
    </row>
    <row r="4905">
      <c r="A4905" t="inlineStr">
        <is>
          <t>Israel</t>
        </is>
      </c>
      <c r="B4905" t="inlineStr">
        <is>
          <t>ISR</t>
        </is>
      </c>
      <c r="C4905" t="n">
        <v>1963</v>
      </c>
      <c r="D4905" t="n">
        <v>6.5811373646406</v>
      </c>
    </row>
    <row r="4906">
      <c r="A4906" t="inlineStr">
        <is>
          <t>Israel</t>
        </is>
      </c>
      <c r="B4906" t="inlineStr">
        <is>
          <t>ISR</t>
        </is>
      </c>
      <c r="C4906" t="n">
        <v>1964</v>
      </c>
      <c r="D4906" t="n">
        <v>5.17275042328816</v>
      </c>
    </row>
    <row r="4907">
      <c r="A4907" t="inlineStr">
        <is>
          <t>Israel</t>
        </is>
      </c>
      <c r="B4907" t="inlineStr">
        <is>
          <t>ISR</t>
        </is>
      </c>
      <c r="C4907" t="n">
        <v>1965</v>
      </c>
      <c r="D4907" t="n">
        <v>7.70833326420493</v>
      </c>
    </row>
    <row r="4908">
      <c r="A4908" t="inlineStr">
        <is>
          <t>Israel</t>
        </is>
      </c>
      <c r="B4908" t="inlineStr">
        <is>
          <t>ISR</t>
        </is>
      </c>
      <c r="C4908" t="n">
        <v>1966</v>
      </c>
      <c r="D4908" t="n">
        <v>7.93036754448455</v>
      </c>
    </row>
    <row r="4909">
      <c r="A4909" t="inlineStr">
        <is>
          <t>Israel</t>
        </is>
      </c>
      <c r="B4909" t="inlineStr">
        <is>
          <t>ISR</t>
        </is>
      </c>
      <c r="C4909" t="n">
        <v>1967</v>
      </c>
      <c r="D4909" t="n">
        <v>1.70609316005932</v>
      </c>
    </row>
    <row r="4910">
      <c r="A4910" t="inlineStr">
        <is>
          <t>Israel</t>
        </is>
      </c>
      <c r="B4910" t="inlineStr">
        <is>
          <t>ISR</t>
        </is>
      </c>
      <c r="C4910" t="n">
        <v>1968</v>
      </c>
      <c r="D4910" t="n">
        <v>2.07922185813623</v>
      </c>
    </row>
    <row r="4911">
      <c r="A4911" t="inlineStr">
        <is>
          <t>Israel</t>
        </is>
      </c>
      <c r="B4911" t="inlineStr">
        <is>
          <t>ISR</t>
        </is>
      </c>
      <c r="C4911" t="n">
        <v>1969</v>
      </c>
      <c r="D4911" t="n">
        <v>2.45805425617799</v>
      </c>
    </row>
    <row r="4912">
      <c r="A4912" t="inlineStr">
        <is>
          <t>Israel</t>
        </is>
      </c>
      <c r="B4912" t="inlineStr">
        <is>
          <t>ISR</t>
        </is>
      </c>
      <c r="C4912" t="n">
        <v>1970</v>
      </c>
      <c r="D4912" t="n">
        <v>6.11074203598739</v>
      </c>
    </row>
    <row r="4913">
      <c r="A4913" t="inlineStr">
        <is>
          <t>Israel</t>
        </is>
      </c>
      <c r="B4913" t="inlineStr">
        <is>
          <t>ISR</t>
        </is>
      </c>
      <c r="C4913" t="n">
        <v>1971</v>
      </c>
      <c r="D4913" t="n">
        <v>11.9725681644789</v>
      </c>
    </row>
    <row r="4914">
      <c r="A4914" t="inlineStr">
        <is>
          <t>Israel</t>
        </is>
      </c>
      <c r="B4914" t="inlineStr">
        <is>
          <t>ISR</t>
        </is>
      </c>
      <c r="C4914" t="n">
        <v>1972</v>
      </c>
      <c r="D4914" t="n">
        <v>12.8814708218396</v>
      </c>
    </row>
    <row r="4915">
      <c r="A4915" t="inlineStr">
        <is>
          <t>Israel</t>
        </is>
      </c>
      <c r="B4915" t="inlineStr">
        <is>
          <t>ISR</t>
        </is>
      </c>
      <c r="C4915" t="n">
        <v>1973</v>
      </c>
      <c r="D4915" t="n">
        <v>20.0323771024943</v>
      </c>
    </row>
    <row r="4916">
      <c r="A4916" t="inlineStr">
        <is>
          <t>Israel</t>
        </is>
      </c>
      <c r="B4916" t="inlineStr">
        <is>
          <t>ISR</t>
        </is>
      </c>
      <c r="C4916" t="n">
        <v>1974</v>
      </c>
      <c r="D4916" t="n">
        <v>39.6799704514568</v>
      </c>
    </row>
    <row r="4917">
      <c r="A4917" t="inlineStr">
        <is>
          <t>Israel</t>
        </is>
      </c>
      <c r="B4917" t="inlineStr">
        <is>
          <t>ISR</t>
        </is>
      </c>
      <c r="C4917" t="n">
        <v>1975</v>
      </c>
      <c r="D4917" t="n">
        <v>39.3067310238304</v>
      </c>
    </row>
    <row r="4918">
      <c r="A4918" t="inlineStr">
        <is>
          <t>Israel</t>
        </is>
      </c>
      <c r="B4918" t="inlineStr">
        <is>
          <t>ISR</t>
        </is>
      </c>
      <c r="C4918" t="n">
        <v>1976</v>
      </c>
      <c r="D4918" t="n">
        <v>31.3108653312175</v>
      </c>
    </row>
    <row r="4919">
      <c r="A4919" t="inlineStr">
        <is>
          <t>Israel</t>
        </is>
      </c>
      <c r="B4919" t="inlineStr">
        <is>
          <t>ISR</t>
        </is>
      </c>
      <c r="C4919" t="n">
        <v>1977</v>
      </c>
      <c r="D4919" t="n">
        <v>34.6167148708237</v>
      </c>
    </row>
    <row r="4920">
      <c r="A4920" t="inlineStr">
        <is>
          <t>Israel</t>
        </is>
      </c>
      <c r="B4920" t="inlineStr">
        <is>
          <t>ISR</t>
        </is>
      </c>
      <c r="C4920" t="n">
        <v>1978</v>
      </c>
      <c r="D4920" t="n">
        <v>50.5509246487277</v>
      </c>
    </row>
    <row r="4921">
      <c r="A4921" t="inlineStr">
        <is>
          <t>Israel</t>
        </is>
      </c>
      <c r="B4921" t="inlineStr">
        <is>
          <t>ISR</t>
        </is>
      </c>
      <c r="C4921" t="n">
        <v>1979</v>
      </c>
      <c r="D4921" t="n">
        <v>78.310035593149</v>
      </c>
    </row>
    <row r="4922">
      <c r="A4922" t="inlineStr">
        <is>
          <t>Israel</t>
        </is>
      </c>
      <c r="B4922" t="inlineStr">
        <is>
          <t>ISR</t>
        </is>
      </c>
      <c r="C4922" t="n">
        <v>1980</v>
      </c>
      <c r="D4922" t="n">
        <v>131.024995515683</v>
      </c>
    </row>
    <row r="4923">
      <c r="A4923" t="inlineStr">
        <is>
          <t>Israel</t>
        </is>
      </c>
      <c r="B4923" t="inlineStr">
        <is>
          <t>ISR</t>
        </is>
      </c>
      <c r="C4923" t="n">
        <v>1981</v>
      </c>
      <c r="D4923" t="n">
        <v>116.800034437445</v>
      </c>
    </row>
    <row r="4924">
      <c r="A4924" t="inlineStr">
        <is>
          <t>Israel</t>
        </is>
      </c>
      <c r="B4924" t="inlineStr">
        <is>
          <t>ISR</t>
        </is>
      </c>
      <c r="C4924" t="n">
        <v>1982</v>
      </c>
      <c r="D4924" t="n">
        <v>120.364351369544</v>
      </c>
    </row>
    <row r="4925">
      <c r="A4925" t="inlineStr">
        <is>
          <t>Israel</t>
        </is>
      </c>
      <c r="B4925" t="inlineStr">
        <is>
          <t>ISR</t>
        </is>
      </c>
      <c r="C4925" t="n">
        <v>1983</v>
      </c>
      <c r="D4925" t="n">
        <v>145.951539223485</v>
      </c>
    </row>
    <row r="4926">
      <c r="A4926" t="inlineStr">
        <is>
          <t>Israel</t>
        </is>
      </c>
      <c r="B4926" t="inlineStr">
        <is>
          <t>ISR</t>
        </is>
      </c>
      <c r="C4926" t="n">
        <v>1984</v>
      </c>
      <c r="D4926" t="n">
        <v>373.215653131363</v>
      </c>
    </row>
    <row r="4927">
      <c r="A4927" t="inlineStr">
        <is>
          <t>Israel</t>
        </is>
      </c>
      <c r="B4927" t="inlineStr">
        <is>
          <t>ISR</t>
        </is>
      </c>
      <c r="C4927" t="n">
        <v>1985</v>
      </c>
      <c r="D4927" t="n">
        <v>309.931699181469</v>
      </c>
    </row>
    <row r="4928">
      <c r="A4928" t="inlineStr">
        <is>
          <t>Israel</t>
        </is>
      </c>
      <c r="B4928" t="inlineStr">
        <is>
          <t>ISR</t>
        </is>
      </c>
      <c r="C4928" t="n">
        <v>1986</v>
      </c>
      <c r="D4928" t="n">
        <v>47.8885135135135</v>
      </c>
    </row>
    <row r="4929">
      <c r="A4929" t="inlineStr">
        <is>
          <t>Israel</t>
        </is>
      </c>
      <c r="B4929" t="inlineStr">
        <is>
          <t>ISR</t>
        </is>
      </c>
      <c r="C4929" t="n">
        <v>1987</v>
      </c>
      <c r="D4929" t="n">
        <v>19.0748143917761</v>
      </c>
    </row>
    <row r="4930">
      <c r="A4930" t="inlineStr">
        <is>
          <t>Israel</t>
        </is>
      </c>
      <c r="B4930" t="inlineStr">
        <is>
          <t>ISR</t>
        </is>
      </c>
      <c r="C4930" t="n">
        <v>1988</v>
      </c>
      <c r="D4930" t="n">
        <v>16.4028776978417</v>
      </c>
    </row>
    <row r="4931">
      <c r="A4931" t="inlineStr">
        <is>
          <t>Israel</t>
        </is>
      </c>
      <c r="B4931" t="inlineStr">
        <is>
          <t>ISR</t>
        </is>
      </c>
      <c r="C4931" t="n">
        <v>1989</v>
      </c>
      <c r="D4931" t="n">
        <v>20.3543469303667</v>
      </c>
    </row>
    <row r="4932">
      <c r="A4932" t="inlineStr">
        <is>
          <t>Israel</t>
        </is>
      </c>
      <c r="B4932" t="inlineStr">
        <is>
          <t>ISR</t>
        </is>
      </c>
      <c r="C4932" t="n">
        <v>1990</v>
      </c>
      <c r="D4932" t="n">
        <v>17.1858952413557</v>
      </c>
    </row>
    <row r="4933">
      <c r="A4933" t="inlineStr">
        <is>
          <t>Israel</t>
        </is>
      </c>
      <c r="B4933" t="inlineStr">
        <is>
          <t>ISR</t>
        </is>
      </c>
      <c r="C4933" t="n">
        <v>1991</v>
      </c>
      <c r="D4933" t="n">
        <v>19.1352614665498</v>
      </c>
    </row>
    <row r="4934">
      <c r="A4934" t="inlineStr">
        <is>
          <t>Israel</t>
        </is>
      </c>
      <c r="B4934" t="inlineStr">
        <is>
          <t>ISR</t>
        </is>
      </c>
      <c r="C4934" t="n">
        <v>1992</v>
      </c>
      <c r="D4934" t="n">
        <v>12.0156939676313</v>
      </c>
    </row>
    <row r="4935">
      <c r="A4935" t="inlineStr">
        <is>
          <t>Israel</t>
        </is>
      </c>
      <c r="B4935" t="inlineStr">
        <is>
          <t>ISR</t>
        </is>
      </c>
      <c r="C4935" t="n">
        <v>1993</v>
      </c>
      <c r="D4935" t="n">
        <v>10.9238178633975</v>
      </c>
    </row>
    <row r="4936">
      <c r="A4936" t="inlineStr">
        <is>
          <t>Israel</t>
        </is>
      </c>
      <c r="B4936" t="inlineStr">
        <is>
          <t>ISR</t>
        </is>
      </c>
      <c r="C4936" t="n">
        <v>1994</v>
      </c>
      <c r="D4936" t="n">
        <v>12.2755081902506</v>
      </c>
    </row>
    <row r="4937">
      <c r="A4937" t="inlineStr">
        <is>
          <t>Israel</t>
        </is>
      </c>
      <c r="B4937" t="inlineStr">
        <is>
          <t>ISR</t>
        </is>
      </c>
      <c r="C4937" t="n">
        <v>1995</v>
      </c>
      <c r="D4937" t="n">
        <v>9.93144665143266</v>
      </c>
    </row>
    <row r="4938">
      <c r="A4938" t="inlineStr">
        <is>
          <t>Israel</t>
        </is>
      </c>
      <c r="B4938" t="inlineStr">
        <is>
          <t>ISR</t>
        </is>
      </c>
      <c r="C4938" t="n">
        <v>1996</v>
      </c>
      <c r="D4938" t="n">
        <v>11.4166933162775</v>
      </c>
    </row>
    <row r="4939">
      <c r="A4939" t="inlineStr">
        <is>
          <t>Israel</t>
        </is>
      </c>
      <c r="B4939" t="inlineStr">
        <is>
          <t>ISR</t>
        </is>
      </c>
      <c r="C4939" t="n">
        <v>1997</v>
      </c>
      <c r="D4939" t="n">
        <v>8.96957520091852</v>
      </c>
    </row>
    <row r="4940">
      <c r="A4940" t="inlineStr">
        <is>
          <t>Israel</t>
        </is>
      </c>
      <c r="B4940" t="inlineStr">
        <is>
          <t>ISR</t>
        </is>
      </c>
      <c r="C4940" t="n">
        <v>1998</v>
      </c>
      <c r="D4940" t="n">
        <v>5.49190043461083</v>
      </c>
    </row>
    <row r="4941">
      <c r="A4941" t="inlineStr">
        <is>
          <t>Israel</t>
        </is>
      </c>
      <c r="B4941" t="inlineStr">
        <is>
          <t>ISR</t>
        </is>
      </c>
      <c r="C4941" t="n">
        <v>1999</v>
      </c>
      <c r="D4941" t="n">
        <v>5.18102372034954</v>
      </c>
    </row>
    <row r="4942">
      <c r="A4942" t="inlineStr">
        <is>
          <t>Israel</t>
        </is>
      </c>
      <c r="B4942" t="inlineStr">
        <is>
          <t>ISR</t>
        </is>
      </c>
      <c r="C4942" t="n">
        <v>2000</v>
      </c>
      <c r="D4942" t="n">
        <v>1.03264094955491</v>
      </c>
    </row>
    <row r="4943">
      <c r="A4943" t="inlineStr">
        <is>
          <t>Israel</t>
        </is>
      </c>
      <c r="B4943" t="inlineStr">
        <is>
          <t>ISR</t>
        </is>
      </c>
      <c r="C4943" t="n">
        <v>2001</v>
      </c>
      <c r="D4943" t="n">
        <v>1.1513157894737</v>
      </c>
    </row>
    <row r="4944">
      <c r="A4944" t="inlineStr">
        <is>
          <t>Israel</t>
        </is>
      </c>
      <c r="B4944" t="inlineStr">
        <is>
          <t>ISR</t>
        </is>
      </c>
      <c r="C4944" t="n">
        <v>2002</v>
      </c>
      <c r="D4944" t="n">
        <v>5.77235772357722</v>
      </c>
    </row>
    <row r="4945">
      <c r="A4945" t="inlineStr">
        <is>
          <t>Israel</t>
        </is>
      </c>
      <c r="B4945" t="inlineStr">
        <is>
          <t>ISR</t>
        </is>
      </c>
      <c r="C4945" t="n">
        <v>2003</v>
      </c>
      <c r="D4945" t="n">
        <v>0.7027561216646701</v>
      </c>
    </row>
    <row r="4946">
      <c r="A4946" t="inlineStr">
        <is>
          <t>Israel</t>
        </is>
      </c>
      <c r="B4946" t="inlineStr">
        <is>
          <t>ISR</t>
        </is>
      </c>
      <c r="C4946" t="n">
        <v>2004</v>
      </c>
      <c r="D4946" t="n">
        <v>-0.381637771235433</v>
      </c>
    </row>
    <row r="4947">
      <c r="A4947" t="inlineStr">
        <is>
          <t>Israel</t>
        </is>
      </c>
      <c r="B4947" t="inlineStr">
        <is>
          <t>ISR</t>
        </is>
      </c>
      <c r="C4947" t="n">
        <v>2005</v>
      </c>
      <c r="D4947" t="n">
        <v>1.31348511383542</v>
      </c>
    </row>
    <row r="4948">
      <c r="A4948" t="inlineStr">
        <is>
          <t>Israel</t>
        </is>
      </c>
      <c r="B4948" t="inlineStr">
        <is>
          <t>ISR</t>
        </is>
      </c>
      <c r="C4948" t="n">
        <v>2006</v>
      </c>
      <c r="D4948" t="n">
        <v>2.06352636127917</v>
      </c>
    </row>
    <row r="4949">
      <c r="A4949" t="inlineStr">
        <is>
          <t>Israel</t>
        </is>
      </c>
      <c r="B4949" t="inlineStr">
        <is>
          <t>ISR</t>
        </is>
      </c>
      <c r="C4949" t="n">
        <v>2007</v>
      </c>
      <c r="D4949" t="n">
        <v>0.455170953741894</v>
      </c>
    </row>
    <row r="4950">
      <c r="A4950" t="inlineStr">
        <is>
          <t>Israel</t>
        </is>
      </c>
      <c r="B4950" t="inlineStr">
        <is>
          <t>ISR</t>
        </is>
      </c>
      <c r="C4950" t="n">
        <v>2008</v>
      </c>
      <c r="D4950" t="n">
        <v>4.55216016859853</v>
      </c>
    </row>
    <row r="4951">
      <c r="A4951" t="inlineStr">
        <is>
          <t>Israel</t>
        </is>
      </c>
      <c r="B4951" t="inlineStr">
        <is>
          <t>ISR</t>
        </is>
      </c>
      <c r="C4951" t="n">
        <v>2009</v>
      </c>
      <c r="D4951" t="n">
        <v>3.35617818988106</v>
      </c>
    </row>
    <row r="4952">
      <c r="A4952" t="inlineStr">
        <is>
          <t>Israel</t>
        </is>
      </c>
      <c r="B4952" t="inlineStr">
        <is>
          <t>ISR</t>
        </is>
      </c>
      <c r="C4952" t="n">
        <v>2010</v>
      </c>
      <c r="D4952" t="n">
        <v>2.69137006338376</v>
      </c>
    </row>
    <row r="4953">
      <c r="A4953" t="inlineStr">
        <is>
          <t>Israel</t>
        </is>
      </c>
      <c r="B4953" t="inlineStr">
        <is>
          <t>ISR</t>
        </is>
      </c>
      <c r="C4953" t="n">
        <v>2011</v>
      </c>
      <c r="D4953" t="n">
        <v>3.48494919760703</v>
      </c>
    </row>
    <row r="4954">
      <c r="A4954" t="inlineStr">
        <is>
          <t>Israel</t>
        </is>
      </c>
      <c r="B4954" t="inlineStr">
        <is>
          <t>ISR</t>
        </is>
      </c>
      <c r="C4954" t="n">
        <v>2012</v>
      </c>
      <c r="D4954" t="n">
        <v>1.67920719398061</v>
      </c>
    </row>
    <row r="4955">
      <c r="A4955" t="inlineStr">
        <is>
          <t>Israel</t>
        </is>
      </c>
      <c r="B4955" t="inlineStr">
        <is>
          <t>ISR</t>
        </is>
      </c>
      <c r="C4955" t="n">
        <v>2013</v>
      </c>
      <c r="D4955" t="n">
        <v>1.5702553921126</v>
      </c>
    </row>
    <row r="4956">
      <c r="A4956" t="inlineStr">
        <is>
          <t>Israel</t>
        </is>
      </c>
      <c r="B4956" t="inlineStr">
        <is>
          <t>ISR</t>
        </is>
      </c>
      <c r="C4956" t="n">
        <v>2014</v>
      </c>
      <c r="D4956" t="n">
        <v>0.479786761439324</v>
      </c>
    </row>
    <row r="4957">
      <c r="A4957" t="inlineStr">
        <is>
          <t>Israel</t>
        </is>
      </c>
      <c r="B4957" t="inlineStr">
        <is>
          <t>ISR</t>
        </is>
      </c>
      <c r="C4957" t="n">
        <v>2015</v>
      </c>
      <c r="D4957" t="n">
        <v>-0.601291007162392</v>
      </c>
    </row>
    <row r="4958">
      <c r="A4958" t="inlineStr">
        <is>
          <t>Israel</t>
        </is>
      </c>
      <c r="B4958" t="inlineStr">
        <is>
          <t>ISR</t>
        </is>
      </c>
      <c r="C4958" t="n">
        <v>2016</v>
      </c>
      <c r="D4958" t="n">
        <v>-0.551552352993558</v>
      </c>
    </row>
    <row r="4959">
      <c r="A4959" t="inlineStr">
        <is>
          <t>Israel</t>
        </is>
      </c>
      <c r="B4959" t="inlineStr">
        <is>
          <t>ISR</t>
        </is>
      </c>
      <c r="C4959" t="n">
        <v>2017</v>
      </c>
      <c r="D4959" t="n">
        <v>0.25941497450575</v>
      </c>
    </row>
    <row r="4960">
      <c r="A4960" t="inlineStr">
        <is>
          <t>Israel</t>
        </is>
      </c>
      <c r="B4960" t="inlineStr">
        <is>
          <t>ISR</t>
        </is>
      </c>
      <c r="C4960" t="n">
        <v>2018</v>
      </c>
      <c r="D4960" t="n">
        <v>0.794075660242718</v>
      </c>
    </row>
    <row r="4961">
      <c r="A4961" t="inlineStr">
        <is>
          <t>Israel</t>
        </is>
      </c>
      <c r="B4961" t="inlineStr">
        <is>
          <t>ISR</t>
        </is>
      </c>
      <c r="C4961" t="n">
        <v>2019</v>
      </c>
      <c r="D4961" t="n">
        <v>0.84978312826417</v>
      </c>
    </row>
    <row r="4962">
      <c r="A4962" t="inlineStr">
        <is>
          <t>Israel</t>
        </is>
      </c>
      <c r="B4962" t="inlineStr">
        <is>
          <t>ISR</t>
        </is>
      </c>
      <c r="C4962" t="n">
        <v>2020</v>
      </c>
      <c r="D4962" t="n">
        <v>-0.61441235846577</v>
      </c>
    </row>
    <row r="4963">
      <c r="A4963" t="inlineStr">
        <is>
          <t>Israel</t>
        </is>
      </c>
      <c r="B4963" t="inlineStr">
        <is>
          <t>ISR</t>
        </is>
      </c>
      <c r="C4963" t="n">
        <v>2021</v>
      </c>
      <c r="D4963" t="n">
        <v>1.51020047690539</v>
      </c>
    </row>
    <row r="4964">
      <c r="A4964" t="inlineStr">
        <is>
          <t>Israel</t>
        </is>
      </c>
      <c r="B4964" t="inlineStr">
        <is>
          <t>ISR</t>
        </is>
      </c>
      <c r="C4964" t="n">
        <v>2022</v>
      </c>
      <c r="D4964" t="n">
        <v>4.39359665912654</v>
      </c>
    </row>
    <row r="4965">
      <c r="A4965" t="inlineStr">
        <is>
          <t>Israel</t>
        </is>
      </c>
      <c r="B4965" t="inlineStr">
        <is>
          <t>ISR</t>
        </is>
      </c>
      <c r="C4965" t="n">
        <v>2023</v>
      </c>
      <c r="D4965" t="n">
        <v>4.22535211267609</v>
      </c>
    </row>
    <row r="4966">
      <c r="A4966" t="inlineStr">
        <is>
          <t>Israel</t>
        </is>
      </c>
      <c r="B4966" t="inlineStr">
        <is>
          <t>ISR</t>
        </is>
      </c>
      <c r="C4966" t="n">
        <v>2024</v>
      </c>
      <c r="D4966" t="n">
        <v>3.07052614744924</v>
      </c>
    </row>
    <row r="4967">
      <c r="A4967" t="inlineStr">
        <is>
          <t>Italy</t>
        </is>
      </c>
      <c r="B4967" t="inlineStr">
        <is>
          <t>ITA</t>
        </is>
      </c>
      <c r="C4967" t="n">
        <v>1960</v>
      </c>
      <c r="D4967" t="n">
        <v>2.3501614137705</v>
      </c>
    </row>
    <row r="4968">
      <c r="A4968" t="inlineStr">
        <is>
          <t>Italy</t>
        </is>
      </c>
      <c r="B4968" t="inlineStr">
        <is>
          <t>ITA</t>
        </is>
      </c>
      <c r="C4968" t="n">
        <v>1961</v>
      </c>
      <c r="D4968" t="n">
        <v>2.05069731278698</v>
      </c>
    </row>
    <row r="4969">
      <c r="A4969" t="inlineStr">
        <is>
          <t>Italy</t>
        </is>
      </c>
      <c r="B4969" t="inlineStr">
        <is>
          <t>ITA</t>
        </is>
      </c>
      <c r="C4969" t="n">
        <v>1962</v>
      </c>
      <c r="D4969" t="n">
        <v>4.69114360740471</v>
      </c>
    </row>
    <row r="4970">
      <c r="A4970" t="inlineStr">
        <is>
          <t>Italy</t>
        </is>
      </c>
      <c r="B4970" t="inlineStr">
        <is>
          <t>ITA</t>
        </is>
      </c>
      <c r="C4970" t="n">
        <v>1963</v>
      </c>
      <c r="D4970" t="n">
        <v>7.45471822539103</v>
      </c>
    </row>
    <row r="4971">
      <c r="A4971" t="inlineStr">
        <is>
          <t>Italy</t>
        </is>
      </c>
      <c r="B4971" t="inlineStr">
        <is>
          <t>ITA</t>
        </is>
      </c>
      <c r="C4971" t="n">
        <v>1964</v>
      </c>
      <c r="D4971" t="n">
        <v>5.91232253218587</v>
      </c>
    </row>
    <row r="4972">
      <c r="A4972" t="inlineStr">
        <is>
          <t>Italy</t>
        </is>
      </c>
      <c r="B4972" t="inlineStr">
        <is>
          <t>ITA</t>
        </is>
      </c>
      <c r="C4972" t="n">
        <v>1965</v>
      </c>
      <c r="D4972" t="n">
        <v>4.51926830743458</v>
      </c>
    </row>
    <row r="4973">
      <c r="A4973" t="inlineStr">
        <is>
          <t>Italy</t>
        </is>
      </c>
      <c r="B4973" t="inlineStr">
        <is>
          <t>ITA</t>
        </is>
      </c>
      <c r="C4973" t="n">
        <v>1966</v>
      </c>
      <c r="D4973" t="n">
        <v>2.34658893413318</v>
      </c>
    </row>
    <row r="4974">
      <c r="A4974" t="inlineStr">
        <is>
          <t>Italy</t>
        </is>
      </c>
      <c r="B4974" t="inlineStr">
        <is>
          <t>ITA</t>
        </is>
      </c>
      <c r="C4974" t="n">
        <v>1967</v>
      </c>
      <c r="D4974" t="n">
        <v>3.73333832073822</v>
      </c>
    </row>
    <row r="4975">
      <c r="A4975" t="inlineStr">
        <is>
          <t>Italy</t>
        </is>
      </c>
      <c r="B4975" t="inlineStr">
        <is>
          <t>ITA</t>
        </is>
      </c>
      <c r="C4975" t="n">
        <v>1968</v>
      </c>
      <c r="D4975" t="n">
        <v>1.27731335390797</v>
      </c>
    </row>
    <row r="4976">
      <c r="A4976" t="inlineStr">
        <is>
          <t>Italy</t>
        </is>
      </c>
      <c r="B4976" t="inlineStr">
        <is>
          <t>ITA</t>
        </is>
      </c>
      <c r="C4976" t="n">
        <v>1969</v>
      </c>
      <c r="D4976" t="n">
        <v>2.65725273386972</v>
      </c>
    </row>
    <row r="4977">
      <c r="A4977" t="inlineStr">
        <is>
          <t>Italy</t>
        </is>
      </c>
      <c r="B4977" t="inlineStr">
        <is>
          <t>ITA</t>
        </is>
      </c>
      <c r="C4977" t="n">
        <v>1970</v>
      </c>
      <c r="D4977" t="n">
        <v>4.96831987329335</v>
      </c>
    </row>
    <row r="4978">
      <c r="A4978" t="inlineStr">
        <is>
          <t>Italy</t>
        </is>
      </c>
      <c r="B4978" t="inlineStr">
        <is>
          <t>ITA</t>
        </is>
      </c>
      <c r="C4978" t="n">
        <v>1971</v>
      </c>
      <c r="D4978" t="n">
        <v>4.79166438333786</v>
      </c>
    </row>
    <row r="4979">
      <c r="A4979" t="inlineStr">
        <is>
          <t>Italy</t>
        </is>
      </c>
      <c r="B4979" t="inlineStr">
        <is>
          <t>ITA</t>
        </is>
      </c>
      <c r="C4979" t="n">
        <v>1972</v>
      </c>
      <c r="D4979" t="n">
        <v>5.74950393730007</v>
      </c>
    </row>
    <row r="4980">
      <c r="A4980" t="inlineStr">
        <is>
          <t>Italy</t>
        </is>
      </c>
      <c r="B4980" t="inlineStr">
        <is>
          <t>ITA</t>
        </is>
      </c>
      <c r="C4980" t="n">
        <v>1973</v>
      </c>
      <c r="D4980" t="n">
        <v>10.7986174547602</v>
      </c>
    </row>
    <row r="4981">
      <c r="A4981" t="inlineStr">
        <is>
          <t>Italy</t>
        </is>
      </c>
      <c r="B4981" t="inlineStr">
        <is>
          <t>ITA</t>
        </is>
      </c>
      <c r="C4981" t="n">
        <v>1974</v>
      </c>
      <c r="D4981" t="n">
        <v>19.1597695854699</v>
      </c>
    </row>
    <row r="4982">
      <c r="A4982" t="inlineStr">
        <is>
          <t>Italy</t>
        </is>
      </c>
      <c r="B4982" t="inlineStr">
        <is>
          <t>ITA</t>
        </is>
      </c>
      <c r="C4982" t="n">
        <v>1975</v>
      </c>
      <c r="D4982" t="n">
        <v>16.9505025668306</v>
      </c>
    </row>
    <row r="4983">
      <c r="A4983" t="inlineStr">
        <is>
          <t>Italy</t>
        </is>
      </c>
      <c r="B4983" t="inlineStr">
        <is>
          <t>ITA</t>
        </is>
      </c>
      <c r="C4983" t="n">
        <v>1976</v>
      </c>
      <c r="D4983" t="n">
        <v>16.6141664725788</v>
      </c>
    </row>
    <row r="4984">
      <c r="A4984" t="inlineStr">
        <is>
          <t>Italy</t>
        </is>
      </c>
      <c r="B4984" t="inlineStr">
        <is>
          <t>ITA</t>
        </is>
      </c>
      <c r="C4984" t="n">
        <v>1977</v>
      </c>
      <c r="D4984" t="n">
        <v>17.13004878665</v>
      </c>
    </row>
    <row r="4985">
      <c r="A4985" t="inlineStr">
        <is>
          <t>Italy</t>
        </is>
      </c>
      <c r="B4985" t="inlineStr">
        <is>
          <t>ITA</t>
        </is>
      </c>
      <c r="C4985" t="n">
        <v>1978</v>
      </c>
      <c r="D4985" t="n">
        <v>12.0940138425074</v>
      </c>
    </row>
    <row r="4986">
      <c r="A4986" t="inlineStr">
        <is>
          <t>Italy</t>
        </is>
      </c>
      <c r="B4986" t="inlineStr">
        <is>
          <t>ITA</t>
        </is>
      </c>
      <c r="C4986" t="n">
        <v>1979</v>
      </c>
      <c r="D4986" t="n">
        <v>14.7985735661484</v>
      </c>
    </row>
    <row r="4987">
      <c r="A4987" t="inlineStr">
        <is>
          <t>Italy</t>
        </is>
      </c>
      <c r="B4987" t="inlineStr">
        <is>
          <t>ITA</t>
        </is>
      </c>
      <c r="C4987" t="n">
        <v>1980</v>
      </c>
      <c r="D4987" t="n">
        <v>21.0641682770745</v>
      </c>
    </row>
    <row r="4988">
      <c r="A4988" t="inlineStr">
        <is>
          <t>Italy</t>
        </is>
      </c>
      <c r="B4988" t="inlineStr">
        <is>
          <t>ITA</t>
        </is>
      </c>
      <c r="C4988" t="n">
        <v>1981</v>
      </c>
      <c r="D4988" t="n">
        <v>17.9692987519672</v>
      </c>
    </row>
    <row r="4989">
      <c r="A4989" t="inlineStr">
        <is>
          <t>Italy</t>
        </is>
      </c>
      <c r="B4989" t="inlineStr">
        <is>
          <t>ITA</t>
        </is>
      </c>
      <c r="C4989" t="n">
        <v>1982</v>
      </c>
      <c r="D4989" t="n">
        <v>16.4804146202214</v>
      </c>
    </row>
    <row r="4990">
      <c r="A4990" t="inlineStr">
        <is>
          <t>Italy</t>
        </is>
      </c>
      <c r="B4990" t="inlineStr">
        <is>
          <t>ITA</t>
        </is>
      </c>
      <c r="C4990" t="n">
        <v>1983</v>
      </c>
      <c r="D4990" t="n">
        <v>14.646576674877</v>
      </c>
    </row>
    <row r="4991">
      <c r="A4991" t="inlineStr">
        <is>
          <t>Italy</t>
        </is>
      </c>
      <c r="B4991" t="inlineStr">
        <is>
          <t>ITA</t>
        </is>
      </c>
      <c r="C4991" t="n">
        <v>1984</v>
      </c>
      <c r="D4991" t="n">
        <v>10.7944960076811</v>
      </c>
    </row>
    <row r="4992">
      <c r="A4992" t="inlineStr">
        <is>
          <t>Italy</t>
        </is>
      </c>
      <c r="B4992" t="inlineStr">
        <is>
          <t>ITA</t>
        </is>
      </c>
      <c r="C4992" t="n">
        <v>1985</v>
      </c>
      <c r="D4992" t="n">
        <v>9.205991442531181</v>
      </c>
    </row>
    <row r="4993">
      <c r="A4993" t="inlineStr">
        <is>
          <t>Italy</t>
        </is>
      </c>
      <c r="B4993" t="inlineStr">
        <is>
          <t>ITA</t>
        </is>
      </c>
      <c r="C4993" t="n">
        <v>1986</v>
      </c>
      <c r="D4993" t="n">
        <v>5.82354691862017</v>
      </c>
    </row>
    <row r="4994">
      <c r="A4994" t="inlineStr">
        <is>
          <t>Italy</t>
        </is>
      </c>
      <c r="B4994" t="inlineStr">
        <is>
          <t>ITA</t>
        </is>
      </c>
      <c r="C4994" t="n">
        <v>1987</v>
      </c>
      <c r="D4994" t="n">
        <v>4.74728490389789</v>
      </c>
    </row>
    <row r="4995">
      <c r="A4995" t="inlineStr">
        <is>
          <t>Italy</t>
        </is>
      </c>
      <c r="B4995" t="inlineStr">
        <is>
          <t>ITA</t>
        </is>
      </c>
      <c r="C4995" t="n">
        <v>1988</v>
      </c>
      <c r="D4995" t="n">
        <v>5.05824747667119</v>
      </c>
    </row>
    <row r="4996">
      <c r="A4996" t="inlineStr">
        <is>
          <t>Italy</t>
        </is>
      </c>
      <c r="B4996" t="inlineStr">
        <is>
          <t>ITA</t>
        </is>
      </c>
      <c r="C4996" t="n">
        <v>1989</v>
      </c>
      <c r="D4996" t="n">
        <v>6.25983137956977</v>
      </c>
    </row>
    <row r="4997">
      <c r="A4997" t="inlineStr">
        <is>
          <t>Italy</t>
        </is>
      </c>
      <c r="B4997" t="inlineStr">
        <is>
          <t>ITA</t>
        </is>
      </c>
      <c r="C4997" t="n">
        <v>1990</v>
      </c>
      <c r="D4997" t="n">
        <v>6.456609061464</v>
      </c>
    </row>
    <row r="4998">
      <c r="A4998" t="inlineStr">
        <is>
          <t>Italy</t>
        </is>
      </c>
      <c r="B4998" t="inlineStr">
        <is>
          <t>ITA</t>
        </is>
      </c>
      <c r="C4998" t="n">
        <v>1991</v>
      </c>
      <c r="D4998" t="n">
        <v>6.24999929790291</v>
      </c>
    </row>
    <row r="4999">
      <c r="A4999" t="inlineStr">
        <is>
          <t>Italy</t>
        </is>
      </c>
      <c r="B4999" t="inlineStr">
        <is>
          <t>ITA</t>
        </is>
      </c>
      <c r="C4999" t="n">
        <v>1992</v>
      </c>
      <c r="D4999" t="n">
        <v>5.2705899859293</v>
      </c>
    </row>
    <row r="5000">
      <c r="A5000" t="inlineStr">
        <is>
          <t>Italy</t>
        </is>
      </c>
      <c r="B5000" t="inlineStr">
        <is>
          <t>ITA</t>
        </is>
      </c>
      <c r="C5000" t="n">
        <v>1993</v>
      </c>
      <c r="D5000" t="n">
        <v>4.62673468331298</v>
      </c>
    </row>
    <row r="5001">
      <c r="A5001" t="inlineStr">
        <is>
          <t>Italy</t>
        </is>
      </c>
      <c r="B5001" t="inlineStr">
        <is>
          <t>ITA</t>
        </is>
      </c>
      <c r="C5001" t="n">
        <v>1994</v>
      </c>
      <c r="D5001" t="n">
        <v>4.05184218065716</v>
      </c>
    </row>
    <row r="5002">
      <c r="A5002" t="inlineStr">
        <is>
          <t>Italy</t>
        </is>
      </c>
      <c r="B5002" t="inlineStr">
        <is>
          <t>ITA</t>
        </is>
      </c>
      <c r="C5002" t="n">
        <v>1995</v>
      </c>
      <c r="D5002" t="n">
        <v>5.23542258044301</v>
      </c>
    </row>
    <row r="5003">
      <c r="A5003" t="inlineStr">
        <is>
          <t>Italy</t>
        </is>
      </c>
      <c r="B5003" t="inlineStr">
        <is>
          <t>ITA</t>
        </is>
      </c>
      <c r="C5003" t="n">
        <v>1996</v>
      </c>
      <c r="D5003" t="n">
        <v>4.0069766898104</v>
      </c>
    </row>
    <row r="5004">
      <c r="A5004" t="inlineStr">
        <is>
          <t>Italy</t>
        </is>
      </c>
      <c r="B5004" t="inlineStr">
        <is>
          <t>ITA</t>
        </is>
      </c>
      <c r="C5004" t="n">
        <v>1997</v>
      </c>
      <c r="D5004" t="n">
        <v>2.04310779750136</v>
      </c>
    </row>
    <row r="5005">
      <c r="A5005" t="inlineStr">
        <is>
          <t>Italy</t>
        </is>
      </c>
      <c r="B5005" t="inlineStr">
        <is>
          <t>ITA</t>
        </is>
      </c>
      <c r="C5005" t="n">
        <v>1998</v>
      </c>
      <c r="D5005" t="n">
        <v>1.95508557719381</v>
      </c>
    </row>
    <row r="5006">
      <c r="A5006" t="inlineStr">
        <is>
          <t>Italy</t>
        </is>
      </c>
      <c r="B5006" t="inlineStr">
        <is>
          <t>ITA</t>
        </is>
      </c>
      <c r="C5006" t="n">
        <v>1999</v>
      </c>
      <c r="D5006" t="n">
        <v>1.66345995007714</v>
      </c>
    </row>
    <row r="5007">
      <c r="A5007" t="inlineStr">
        <is>
          <t>Italy</t>
        </is>
      </c>
      <c r="B5007" t="inlineStr">
        <is>
          <t>ITA</t>
        </is>
      </c>
      <c r="C5007" t="n">
        <v>2000</v>
      </c>
      <c r="D5007" t="n">
        <v>2.53768532095002</v>
      </c>
    </row>
    <row r="5008">
      <c r="A5008" t="inlineStr">
        <is>
          <t>Italy</t>
        </is>
      </c>
      <c r="B5008" t="inlineStr">
        <is>
          <t>ITA</t>
        </is>
      </c>
      <c r="C5008" t="n">
        <v>2001</v>
      </c>
      <c r="D5008" t="n">
        <v>2.78516542713554</v>
      </c>
    </row>
    <row r="5009">
      <c r="A5009" t="inlineStr">
        <is>
          <t>Italy</t>
        </is>
      </c>
      <c r="B5009" t="inlineStr">
        <is>
          <t>ITA</t>
        </is>
      </c>
      <c r="C5009" t="n">
        <v>2002</v>
      </c>
      <c r="D5009" t="n">
        <v>2.46532319171165</v>
      </c>
    </row>
    <row r="5010">
      <c r="A5010" t="inlineStr">
        <is>
          <t>Italy</t>
        </is>
      </c>
      <c r="B5010" t="inlineStr">
        <is>
          <t>ITA</t>
        </is>
      </c>
      <c r="C5010" t="n">
        <v>2003</v>
      </c>
      <c r="D5010" t="n">
        <v>2.6725555277285</v>
      </c>
    </row>
    <row r="5011">
      <c r="A5011" t="inlineStr">
        <is>
          <t>Italy</t>
        </is>
      </c>
      <c r="B5011" t="inlineStr">
        <is>
          <t>ITA</t>
        </is>
      </c>
      <c r="C5011" t="n">
        <v>2004</v>
      </c>
      <c r="D5011" t="n">
        <v>2.20673661423657</v>
      </c>
    </row>
    <row r="5012">
      <c r="A5012" t="inlineStr">
        <is>
          <t>Italy</t>
        </is>
      </c>
      <c r="B5012" t="inlineStr">
        <is>
          <t>ITA</t>
        </is>
      </c>
      <c r="C5012" t="n">
        <v>2005</v>
      </c>
      <c r="D5012" t="n">
        <v>1.9852929852798</v>
      </c>
    </row>
    <row r="5013">
      <c r="A5013" t="inlineStr">
        <is>
          <t>Italy</t>
        </is>
      </c>
      <c r="B5013" t="inlineStr">
        <is>
          <t>ITA</t>
        </is>
      </c>
      <c r="C5013" t="n">
        <v>2006</v>
      </c>
      <c r="D5013" t="n">
        <v>2.09084391012754</v>
      </c>
    </row>
    <row r="5014">
      <c r="A5014" t="inlineStr">
        <is>
          <t>Italy</t>
        </is>
      </c>
      <c r="B5014" t="inlineStr">
        <is>
          <t>ITA</t>
        </is>
      </c>
      <c r="C5014" t="n">
        <v>2007</v>
      </c>
      <c r="D5014" t="n">
        <v>1.82974112202403</v>
      </c>
    </row>
    <row r="5015">
      <c r="A5015" t="inlineStr">
        <is>
          <t>Italy</t>
        </is>
      </c>
      <c r="B5015" t="inlineStr">
        <is>
          <t>ITA</t>
        </is>
      </c>
      <c r="C5015" t="n">
        <v>2008</v>
      </c>
      <c r="D5015" t="n">
        <v>3.34783258401022</v>
      </c>
    </row>
    <row r="5016">
      <c r="A5016" t="inlineStr">
        <is>
          <t>Italy</t>
        </is>
      </c>
      <c r="B5016" t="inlineStr">
        <is>
          <t>ITA</t>
        </is>
      </c>
      <c r="C5016" t="n">
        <v>2009</v>
      </c>
      <c r="D5016" t="n">
        <v>0.774768131387381</v>
      </c>
    </row>
    <row r="5017">
      <c r="A5017" t="inlineStr">
        <is>
          <t>Italy</t>
        </is>
      </c>
      <c r="B5017" t="inlineStr">
        <is>
          <t>ITA</t>
        </is>
      </c>
      <c r="C5017" t="n">
        <v>2010</v>
      </c>
      <c r="D5017" t="n">
        <v>1.52551602118248</v>
      </c>
    </row>
    <row r="5018">
      <c r="A5018" t="inlineStr">
        <is>
          <t>Italy</t>
        </is>
      </c>
      <c r="B5018" t="inlineStr">
        <is>
          <t>ITA</t>
        </is>
      </c>
      <c r="C5018" t="n">
        <v>2011</v>
      </c>
      <c r="D5018" t="n">
        <v>2.78063272879323</v>
      </c>
    </row>
    <row r="5019">
      <c r="A5019" t="inlineStr">
        <is>
          <t>Italy</t>
        </is>
      </c>
      <c r="B5019" t="inlineStr">
        <is>
          <t>ITA</t>
        </is>
      </c>
      <c r="C5019" t="n">
        <v>2012</v>
      </c>
      <c r="D5019" t="n">
        <v>3.04136333226775</v>
      </c>
    </row>
    <row r="5020">
      <c r="A5020" t="inlineStr">
        <is>
          <t>Italy</t>
        </is>
      </c>
      <c r="B5020" t="inlineStr">
        <is>
          <t>ITA</t>
        </is>
      </c>
      <c r="C5020" t="n">
        <v>2013</v>
      </c>
      <c r="D5020" t="n">
        <v>1.21999342274306</v>
      </c>
    </row>
    <row r="5021">
      <c r="A5021" t="inlineStr">
        <is>
          <t>Italy</t>
        </is>
      </c>
      <c r="B5021" t="inlineStr">
        <is>
          <t>ITA</t>
        </is>
      </c>
      <c r="C5021" t="n">
        <v>2014</v>
      </c>
      <c r="D5021" t="n">
        <v>0.241047429826756</v>
      </c>
    </row>
    <row r="5022">
      <c r="A5022" t="inlineStr">
        <is>
          <t>Italy</t>
        </is>
      </c>
      <c r="B5022" t="inlineStr">
        <is>
          <t>ITA</t>
        </is>
      </c>
      <c r="C5022" t="n">
        <v>2015</v>
      </c>
      <c r="D5022" t="n">
        <v>0.0387903996579733</v>
      </c>
    </row>
    <row r="5023">
      <c r="A5023" t="inlineStr">
        <is>
          <t>Italy</t>
        </is>
      </c>
      <c r="B5023" t="inlineStr">
        <is>
          <t>ITA</t>
        </is>
      </c>
      <c r="C5023" t="n">
        <v>2016</v>
      </c>
      <c r="D5023" t="n">
        <v>-0.09401665691574999</v>
      </c>
    </row>
    <row r="5024">
      <c r="A5024" t="inlineStr">
        <is>
          <t>Italy</t>
        </is>
      </c>
      <c r="B5024" t="inlineStr">
        <is>
          <t>ITA</t>
        </is>
      </c>
      <c r="C5024" t="n">
        <v>2017</v>
      </c>
      <c r="D5024" t="n">
        <v>1.22653316645812</v>
      </c>
    </row>
    <row r="5025">
      <c r="A5025" t="inlineStr">
        <is>
          <t>Italy</t>
        </is>
      </c>
      <c r="B5025" t="inlineStr">
        <is>
          <t>ITA</t>
        </is>
      </c>
      <c r="C5025" t="n">
        <v>2018</v>
      </c>
      <c r="D5025" t="n">
        <v>1.13748763600391</v>
      </c>
    </row>
    <row r="5026">
      <c r="A5026" t="inlineStr">
        <is>
          <t>Italy</t>
        </is>
      </c>
      <c r="B5026" t="inlineStr">
        <is>
          <t>ITA</t>
        </is>
      </c>
      <c r="C5026" t="n">
        <v>2019</v>
      </c>
      <c r="D5026" t="n">
        <v>0.611246943765304</v>
      </c>
    </row>
    <row r="5027">
      <c r="A5027" t="inlineStr">
        <is>
          <t>Italy</t>
        </is>
      </c>
      <c r="B5027" t="inlineStr">
        <is>
          <t>ITA</t>
        </is>
      </c>
      <c r="C5027" t="n">
        <v>2020</v>
      </c>
      <c r="D5027" t="n">
        <v>-0.13770757391651</v>
      </c>
    </row>
    <row r="5028">
      <c r="A5028" t="inlineStr">
        <is>
          <t>Italy</t>
        </is>
      </c>
      <c r="B5028" t="inlineStr">
        <is>
          <t>ITA</t>
        </is>
      </c>
      <c r="C5028" t="n">
        <v>2021</v>
      </c>
      <c r="D5028" t="n">
        <v>1.87378325762481</v>
      </c>
    </row>
    <row r="5029">
      <c r="A5029" t="inlineStr">
        <is>
          <t>Italy</t>
        </is>
      </c>
      <c r="B5029" t="inlineStr">
        <is>
          <t>ITA</t>
        </is>
      </c>
      <c r="C5029" t="n">
        <v>2022</v>
      </c>
      <c r="D5029" t="n">
        <v>8.201289911617179</v>
      </c>
    </row>
    <row r="5030">
      <c r="A5030" t="inlineStr">
        <is>
          <t>Italy</t>
        </is>
      </c>
      <c r="B5030" t="inlineStr">
        <is>
          <t>ITA</t>
        </is>
      </c>
      <c r="C5030" t="n">
        <v>2023</v>
      </c>
      <c r="D5030" t="n">
        <v>5.62219442195901</v>
      </c>
    </row>
    <row r="5031">
      <c r="A5031" t="inlineStr">
        <is>
          <t>Italy</t>
        </is>
      </c>
      <c r="B5031" t="inlineStr">
        <is>
          <t>ITA</t>
        </is>
      </c>
      <c r="C5031" t="n">
        <v>2024</v>
      </c>
      <c r="D5031" t="n">
        <v>0.982373023061417</v>
      </c>
    </row>
    <row r="5032">
      <c r="A5032" t="inlineStr">
        <is>
          <t>Jamaica</t>
        </is>
      </c>
      <c r="B5032" t="inlineStr">
        <is>
          <t>JAM</t>
        </is>
      </c>
      <c r="C5032" t="n">
        <v>1960</v>
      </c>
      <c r="D5032" t="n">
        <v>3.27424913835588</v>
      </c>
    </row>
    <row r="5033">
      <c r="A5033" t="inlineStr">
        <is>
          <t>Jamaica</t>
        </is>
      </c>
      <c r="B5033" t="inlineStr">
        <is>
          <t>JAM</t>
        </is>
      </c>
      <c r="C5033" t="n">
        <v>1961</v>
      </c>
      <c r="D5033" t="n">
        <v>6.69845053635209</v>
      </c>
    </row>
    <row r="5034">
      <c r="A5034" t="inlineStr">
        <is>
          <t>Jamaica</t>
        </is>
      </c>
      <c r="B5034" t="inlineStr">
        <is>
          <t>JAM</t>
        </is>
      </c>
      <c r="C5034" t="n">
        <v>1962</v>
      </c>
      <c r="D5034" t="n">
        <v>1.40750670241315</v>
      </c>
    </row>
    <row r="5035">
      <c r="A5035" t="inlineStr">
        <is>
          <t>Jamaica</t>
        </is>
      </c>
      <c r="B5035" t="inlineStr">
        <is>
          <t>JAM</t>
        </is>
      </c>
      <c r="C5035" t="n">
        <v>1963</v>
      </c>
      <c r="D5035" t="n">
        <v>1.76250275391075</v>
      </c>
    </row>
    <row r="5036">
      <c r="A5036" t="inlineStr">
        <is>
          <t>Jamaica</t>
        </is>
      </c>
      <c r="B5036" t="inlineStr">
        <is>
          <t>JAM</t>
        </is>
      </c>
      <c r="C5036" t="n">
        <v>1964</v>
      </c>
      <c r="D5036" t="n">
        <v>2.01342281879186</v>
      </c>
    </row>
    <row r="5037">
      <c r="A5037" t="inlineStr">
        <is>
          <t>Jamaica</t>
        </is>
      </c>
      <c r="B5037" t="inlineStr">
        <is>
          <t>JAM</t>
        </is>
      </c>
      <c r="C5037" t="n">
        <v>1965</v>
      </c>
      <c r="D5037" t="n">
        <v>2.63157894736852</v>
      </c>
    </row>
    <row r="5038">
      <c r="A5038" t="inlineStr">
        <is>
          <t>Jamaica</t>
        </is>
      </c>
      <c r="B5038" t="inlineStr">
        <is>
          <t>JAM</t>
        </is>
      </c>
      <c r="C5038" t="n">
        <v>1966</v>
      </c>
      <c r="D5038" t="n">
        <v>1.90239867659225</v>
      </c>
    </row>
    <row r="5039">
      <c r="A5039" t="inlineStr">
        <is>
          <t>Jamaica</t>
        </is>
      </c>
      <c r="B5039" t="inlineStr">
        <is>
          <t>JAM</t>
        </is>
      </c>
      <c r="C5039" t="n">
        <v>1967</v>
      </c>
      <c r="D5039" t="n">
        <v>3.02353896103856</v>
      </c>
    </row>
    <row r="5040">
      <c r="A5040" t="inlineStr">
        <is>
          <t>Jamaica</t>
        </is>
      </c>
      <c r="B5040" t="inlineStr">
        <is>
          <t>JAM</t>
        </is>
      </c>
      <c r="C5040" t="n">
        <v>1968</v>
      </c>
      <c r="D5040" t="n">
        <v>5.92869805002995</v>
      </c>
    </row>
    <row r="5041">
      <c r="A5041" t="inlineStr">
        <is>
          <t>Jamaica</t>
        </is>
      </c>
      <c r="B5041" t="inlineStr">
        <is>
          <t>JAM</t>
        </is>
      </c>
      <c r="C5041" t="n">
        <v>1969</v>
      </c>
      <c r="D5041" t="n">
        <v>6.30345853477095</v>
      </c>
    </row>
    <row r="5042">
      <c r="A5042" t="inlineStr">
        <is>
          <t>Jamaica</t>
        </is>
      </c>
      <c r="B5042" t="inlineStr">
        <is>
          <t>JAM</t>
        </is>
      </c>
      <c r="C5042" t="n">
        <v>1970</v>
      </c>
      <c r="D5042" t="n">
        <v>14.7280041962567</v>
      </c>
    </row>
    <row r="5043">
      <c r="A5043" t="inlineStr">
        <is>
          <t>Jamaica</t>
        </is>
      </c>
      <c r="B5043" t="inlineStr">
        <is>
          <t>JAM</t>
        </is>
      </c>
      <c r="C5043" t="n">
        <v>1971</v>
      </c>
      <c r="D5043" t="n">
        <v>5.33617929585868</v>
      </c>
    </row>
    <row r="5044">
      <c r="A5044" t="inlineStr">
        <is>
          <t>Jamaica</t>
        </is>
      </c>
      <c r="B5044" t="inlineStr">
        <is>
          <t>JAM</t>
        </is>
      </c>
      <c r="C5044" t="n">
        <v>1972</v>
      </c>
      <c r="D5044" t="n">
        <v>5.42770299630751</v>
      </c>
    </row>
    <row r="5045">
      <c r="A5045" t="inlineStr">
        <is>
          <t>Jamaica</t>
        </is>
      </c>
      <c r="B5045" t="inlineStr">
        <is>
          <t>JAM</t>
        </is>
      </c>
      <c r="C5045" t="n">
        <v>1973</v>
      </c>
      <c r="D5045" t="n">
        <v>17.6825919824838</v>
      </c>
    </row>
    <row r="5046">
      <c r="A5046" t="inlineStr">
        <is>
          <t>Jamaica</t>
        </is>
      </c>
      <c r="B5046" t="inlineStr">
        <is>
          <t>JAM</t>
        </is>
      </c>
      <c r="C5046" t="n">
        <v>1974</v>
      </c>
      <c r="D5046" t="n">
        <v>27.1581894550216</v>
      </c>
    </row>
    <row r="5047">
      <c r="A5047" t="inlineStr">
        <is>
          <t>Jamaica</t>
        </is>
      </c>
      <c r="B5047" t="inlineStr">
        <is>
          <t>JAM</t>
        </is>
      </c>
      <c r="C5047" t="n">
        <v>1975</v>
      </c>
      <c r="D5047" t="n">
        <v>17.3761467885801</v>
      </c>
    </row>
    <row r="5048">
      <c r="A5048" t="inlineStr">
        <is>
          <t>Jamaica</t>
        </is>
      </c>
      <c r="B5048" t="inlineStr">
        <is>
          <t>JAM</t>
        </is>
      </c>
      <c r="C5048" t="n">
        <v>1976</v>
      </c>
      <c r="D5048" t="n">
        <v>9.793653275346511</v>
      </c>
    </row>
    <row r="5049">
      <c r="A5049" t="inlineStr">
        <is>
          <t>Jamaica</t>
        </is>
      </c>
      <c r="B5049" t="inlineStr">
        <is>
          <t>JAM</t>
        </is>
      </c>
      <c r="C5049" t="n">
        <v>1977</v>
      </c>
      <c r="D5049" t="n">
        <v>11.1910016370359</v>
      </c>
    </row>
    <row r="5050">
      <c r="A5050" t="inlineStr">
        <is>
          <t>Jamaica</t>
        </is>
      </c>
      <c r="B5050" t="inlineStr">
        <is>
          <t>JAM</t>
        </is>
      </c>
      <c r="C5050" t="n">
        <v>1978</v>
      </c>
      <c r="D5050" t="n">
        <v>34.8998015240508</v>
      </c>
    </row>
    <row r="5051">
      <c r="A5051" t="inlineStr">
        <is>
          <t>Jamaica</t>
        </is>
      </c>
      <c r="B5051" t="inlineStr">
        <is>
          <t>JAM</t>
        </is>
      </c>
      <c r="C5051" t="n">
        <v>1979</v>
      </c>
      <c r="D5051" t="n">
        <v>29.0792596109786</v>
      </c>
    </row>
    <row r="5052">
      <c r="A5052" t="inlineStr">
        <is>
          <t>Jamaica</t>
        </is>
      </c>
      <c r="B5052" t="inlineStr">
        <is>
          <t>JAM</t>
        </is>
      </c>
      <c r="C5052" t="n">
        <v>1980</v>
      </c>
      <c r="D5052" t="n">
        <v>27.3081589882307</v>
      </c>
    </row>
    <row r="5053">
      <c r="A5053" t="inlineStr">
        <is>
          <t>Jamaica</t>
        </is>
      </c>
      <c r="B5053" t="inlineStr">
        <is>
          <t>JAM</t>
        </is>
      </c>
      <c r="C5053" t="n">
        <v>1981</v>
      </c>
      <c r="D5053" t="n">
        <v>12.7397181145091</v>
      </c>
    </row>
    <row r="5054">
      <c r="A5054" t="inlineStr">
        <is>
          <t>Jamaica</t>
        </is>
      </c>
      <c r="B5054" t="inlineStr">
        <is>
          <t>JAM</t>
        </is>
      </c>
      <c r="C5054" t="n">
        <v>1982</v>
      </c>
      <c r="D5054" t="n">
        <v>6.54540796720066</v>
      </c>
    </row>
    <row r="5055">
      <c r="A5055" t="inlineStr">
        <is>
          <t>Jamaica</t>
        </is>
      </c>
      <c r="B5055" t="inlineStr">
        <is>
          <t>JAM</t>
        </is>
      </c>
      <c r="C5055" t="n">
        <v>1983</v>
      </c>
      <c r="D5055" t="n">
        <v>11.5821110844253</v>
      </c>
    </row>
    <row r="5056">
      <c r="A5056" t="inlineStr">
        <is>
          <t>Jamaica</t>
        </is>
      </c>
      <c r="B5056" t="inlineStr">
        <is>
          <t>JAM</t>
        </is>
      </c>
      <c r="C5056" t="n">
        <v>1984</v>
      </c>
      <c r="D5056" t="n">
        <v>27.8147693237453</v>
      </c>
    </row>
    <row r="5057">
      <c r="A5057" t="inlineStr">
        <is>
          <t>Jamaica</t>
        </is>
      </c>
      <c r="B5057" t="inlineStr">
        <is>
          <t>JAM</t>
        </is>
      </c>
      <c r="C5057" t="n">
        <v>1985</v>
      </c>
      <c r="D5057" t="n">
        <v>25.6731012391772</v>
      </c>
    </row>
    <row r="5058">
      <c r="A5058" t="inlineStr">
        <is>
          <t>Jamaica</t>
        </is>
      </c>
      <c r="B5058" t="inlineStr">
        <is>
          <t>JAM</t>
        </is>
      </c>
      <c r="C5058" t="n">
        <v>1986</v>
      </c>
      <c r="D5058" t="n">
        <v>15.1053754209796</v>
      </c>
    </row>
    <row r="5059">
      <c r="A5059" t="inlineStr">
        <is>
          <t>Jamaica</t>
        </is>
      </c>
      <c r="B5059" t="inlineStr">
        <is>
          <t>JAM</t>
        </is>
      </c>
      <c r="C5059" t="n">
        <v>1987</v>
      </c>
      <c r="D5059" t="n">
        <v>6.65244804962684</v>
      </c>
    </row>
    <row r="5060">
      <c r="A5060" t="inlineStr">
        <is>
          <t>Jamaica</t>
        </is>
      </c>
      <c r="B5060" t="inlineStr">
        <is>
          <t>JAM</t>
        </is>
      </c>
      <c r="C5060" t="n">
        <v>1988</v>
      </c>
      <c r="D5060" t="n">
        <v>8.26676574400908</v>
      </c>
    </row>
    <row r="5061">
      <c r="A5061" t="inlineStr">
        <is>
          <t>Jamaica</t>
        </is>
      </c>
      <c r="B5061" t="inlineStr">
        <is>
          <t>JAM</t>
        </is>
      </c>
      <c r="C5061" t="n">
        <v>1989</v>
      </c>
      <c r="D5061" t="n">
        <v>14.3295390328572</v>
      </c>
    </row>
    <row r="5062">
      <c r="A5062" t="inlineStr">
        <is>
          <t>Jamaica</t>
        </is>
      </c>
      <c r="B5062" t="inlineStr">
        <is>
          <t>JAM</t>
        </is>
      </c>
      <c r="C5062" t="n">
        <v>1990</v>
      </c>
      <c r="D5062" t="n">
        <v>21.9601751165083</v>
      </c>
    </row>
    <row r="5063">
      <c r="A5063" t="inlineStr">
        <is>
          <t>Jamaica</t>
        </is>
      </c>
      <c r="B5063" t="inlineStr">
        <is>
          <t>JAM</t>
        </is>
      </c>
      <c r="C5063" t="n">
        <v>1991</v>
      </c>
      <c r="D5063" t="n">
        <v>51.0710977304313</v>
      </c>
    </row>
    <row r="5064">
      <c r="A5064" t="inlineStr">
        <is>
          <t>Jamaica</t>
        </is>
      </c>
      <c r="B5064" t="inlineStr">
        <is>
          <t>JAM</t>
        </is>
      </c>
      <c r="C5064" t="n">
        <v>1992</v>
      </c>
      <c r="D5064" t="n">
        <v>77.2965929559651</v>
      </c>
    </row>
    <row r="5065">
      <c r="A5065" t="inlineStr">
        <is>
          <t>Jamaica</t>
        </is>
      </c>
      <c r="B5065" t="inlineStr">
        <is>
          <t>JAM</t>
        </is>
      </c>
      <c r="C5065" t="n">
        <v>1993</v>
      </c>
      <c r="D5065" t="n">
        <v>22.0699494185292</v>
      </c>
    </row>
    <row r="5066">
      <c r="A5066" t="inlineStr">
        <is>
          <t>Jamaica</t>
        </is>
      </c>
      <c r="B5066" t="inlineStr">
        <is>
          <t>JAM</t>
        </is>
      </c>
      <c r="C5066" t="n">
        <v>1994</v>
      </c>
      <c r="D5066" t="n">
        <v>35.0633942484772</v>
      </c>
    </row>
    <row r="5067">
      <c r="A5067" t="inlineStr">
        <is>
          <t>Jamaica</t>
        </is>
      </c>
      <c r="B5067" t="inlineStr">
        <is>
          <t>JAM</t>
        </is>
      </c>
      <c r="C5067" t="n">
        <v>1995</v>
      </c>
      <c r="D5067" t="n">
        <v>19.9087488364168</v>
      </c>
    </row>
    <row r="5068">
      <c r="A5068" t="inlineStr">
        <is>
          <t>Jamaica</t>
        </is>
      </c>
      <c r="B5068" t="inlineStr">
        <is>
          <t>JAM</t>
        </is>
      </c>
      <c r="C5068" t="n">
        <v>1996</v>
      </c>
      <c r="D5068" t="n">
        <v>26.4066566074043</v>
      </c>
    </row>
    <row r="5069">
      <c r="A5069" t="inlineStr">
        <is>
          <t>Jamaica</t>
        </is>
      </c>
      <c r="B5069" t="inlineStr">
        <is>
          <t>JAM</t>
        </is>
      </c>
      <c r="C5069" t="n">
        <v>1997</v>
      </c>
      <c r="D5069" t="n">
        <v>9.657552612685951</v>
      </c>
    </row>
    <row r="5070">
      <c r="A5070" t="inlineStr">
        <is>
          <t>Jamaica</t>
        </is>
      </c>
      <c r="B5070" t="inlineStr">
        <is>
          <t>JAM</t>
        </is>
      </c>
      <c r="C5070" t="n">
        <v>1998</v>
      </c>
      <c r="D5070" t="n">
        <v>8.63189613012144</v>
      </c>
    </row>
    <row r="5071">
      <c r="A5071" t="inlineStr">
        <is>
          <t>Jamaica</t>
        </is>
      </c>
      <c r="B5071" t="inlineStr">
        <is>
          <t>JAM</t>
        </is>
      </c>
      <c r="C5071" t="n">
        <v>1999</v>
      </c>
      <c r="D5071" t="n">
        <v>5.95423949113006</v>
      </c>
    </row>
    <row r="5072">
      <c r="A5072" t="inlineStr">
        <is>
          <t>Jamaica</t>
        </is>
      </c>
      <c r="B5072" t="inlineStr">
        <is>
          <t>JAM</t>
        </is>
      </c>
      <c r="C5072" t="n">
        <v>2000</v>
      </c>
      <c r="D5072" t="n">
        <v>8.17108356120225</v>
      </c>
    </row>
    <row r="5073">
      <c r="A5073" t="inlineStr">
        <is>
          <t>Jamaica</t>
        </is>
      </c>
      <c r="B5073" t="inlineStr">
        <is>
          <t>JAM</t>
        </is>
      </c>
      <c r="C5073" t="n">
        <v>2001</v>
      </c>
      <c r="D5073" t="n">
        <v>6.8019093078759</v>
      </c>
    </row>
    <row r="5074">
      <c r="A5074" t="inlineStr">
        <is>
          <t>Jamaica</t>
        </is>
      </c>
      <c r="B5074" t="inlineStr">
        <is>
          <t>JAM</t>
        </is>
      </c>
      <c r="C5074" t="n">
        <v>2002</v>
      </c>
      <c r="D5074" t="n">
        <v>7.07635009310985</v>
      </c>
    </row>
    <row r="5075">
      <c r="A5075" t="inlineStr">
        <is>
          <t>Jamaica</t>
        </is>
      </c>
      <c r="B5075" t="inlineStr">
        <is>
          <t>JAM</t>
        </is>
      </c>
      <c r="C5075" t="n">
        <v>2003</v>
      </c>
      <c r="D5075" t="n">
        <v>10.0869565217391</v>
      </c>
    </row>
    <row r="5076">
      <c r="A5076" t="inlineStr">
        <is>
          <t>Jamaica</t>
        </is>
      </c>
      <c r="B5076" t="inlineStr">
        <is>
          <t>JAM</t>
        </is>
      </c>
      <c r="C5076" t="n">
        <v>2004</v>
      </c>
      <c r="D5076" t="n">
        <v>13.5545023696682</v>
      </c>
    </row>
    <row r="5077">
      <c r="A5077" t="inlineStr">
        <is>
          <t>Jamaica</t>
        </is>
      </c>
      <c r="B5077" t="inlineStr">
        <is>
          <t>JAM</t>
        </is>
      </c>
      <c r="C5077" t="n">
        <v>2005</v>
      </c>
      <c r="D5077" t="n">
        <v>15.0528658875905</v>
      </c>
    </row>
    <row r="5078">
      <c r="A5078" t="inlineStr">
        <is>
          <t>Jamaica</t>
        </is>
      </c>
      <c r="B5078" t="inlineStr">
        <is>
          <t>JAM</t>
        </is>
      </c>
      <c r="C5078" t="n">
        <v>2006</v>
      </c>
      <c r="D5078" t="n">
        <v>8.56106408706157</v>
      </c>
    </row>
    <row r="5079">
      <c r="A5079" t="inlineStr">
        <is>
          <t>Jamaica</t>
        </is>
      </c>
      <c r="B5079" t="inlineStr">
        <is>
          <t>JAM</t>
        </is>
      </c>
      <c r="C5079" t="n">
        <v>2007</v>
      </c>
      <c r="D5079" t="n">
        <v>9.244820672755621</v>
      </c>
    </row>
    <row r="5080">
      <c r="A5080" t="inlineStr">
        <is>
          <t>Jamaica</t>
        </is>
      </c>
      <c r="B5080" t="inlineStr">
        <is>
          <t>JAM</t>
        </is>
      </c>
      <c r="C5080" t="n">
        <v>2008</v>
      </c>
      <c r="D5080" t="n">
        <v>22.0228384991843</v>
      </c>
    </row>
    <row r="5081">
      <c r="A5081" t="inlineStr">
        <is>
          <t>Jamaica</t>
        </is>
      </c>
      <c r="B5081" t="inlineStr">
        <is>
          <t>JAM</t>
        </is>
      </c>
      <c r="C5081" t="n">
        <v>2009</v>
      </c>
      <c r="D5081" t="n">
        <v>9.59224598930482</v>
      </c>
    </row>
    <row r="5082">
      <c r="A5082" t="inlineStr">
        <is>
          <t>Jamaica</t>
        </is>
      </c>
      <c r="B5082" t="inlineStr">
        <is>
          <t>JAM</t>
        </is>
      </c>
      <c r="C5082" t="n">
        <v>2010</v>
      </c>
      <c r="D5082" t="n">
        <v>12.6105519975603</v>
      </c>
    </row>
    <row r="5083">
      <c r="A5083" t="inlineStr">
        <is>
          <t>Jamaica</t>
        </is>
      </c>
      <c r="B5083" t="inlineStr">
        <is>
          <t>JAM</t>
        </is>
      </c>
      <c r="C5083" t="n">
        <v>2011</v>
      </c>
      <c r="D5083" t="n">
        <v>7.555856465809</v>
      </c>
    </row>
    <row r="5084">
      <c r="A5084" t="inlineStr">
        <is>
          <t>Jamaica</t>
        </is>
      </c>
      <c r="B5084" t="inlineStr">
        <is>
          <t>JAM</t>
        </is>
      </c>
      <c r="C5084" t="n">
        <v>2012</v>
      </c>
      <c r="D5084" t="n">
        <v>6.87397708674309</v>
      </c>
    </row>
    <row r="5085">
      <c r="A5085" t="inlineStr">
        <is>
          <t>Jamaica</t>
        </is>
      </c>
      <c r="B5085" t="inlineStr">
        <is>
          <t>JAM</t>
        </is>
      </c>
      <c r="C5085" t="n">
        <v>2013</v>
      </c>
      <c r="D5085" t="n">
        <v>9.341500765696731</v>
      </c>
    </row>
    <row r="5086">
      <c r="A5086" t="inlineStr">
        <is>
          <t>Jamaica</t>
        </is>
      </c>
      <c r="B5086" t="inlineStr">
        <is>
          <t>JAM</t>
        </is>
      </c>
      <c r="C5086" t="n">
        <v>2014</v>
      </c>
      <c r="D5086" t="n">
        <v>8.274078862314189</v>
      </c>
    </row>
    <row r="5087">
      <c r="A5087" t="inlineStr">
        <is>
          <t>Jamaica</t>
        </is>
      </c>
      <c r="B5087" t="inlineStr">
        <is>
          <t>JAM</t>
        </is>
      </c>
      <c r="C5087" t="n">
        <v>2015</v>
      </c>
      <c r="D5087" t="n">
        <v>3.69154228855725</v>
      </c>
    </row>
    <row r="5088">
      <c r="A5088" t="inlineStr">
        <is>
          <t>Jamaica</t>
        </is>
      </c>
      <c r="B5088" t="inlineStr">
        <is>
          <t>JAM</t>
        </is>
      </c>
      <c r="C5088" t="n">
        <v>2016</v>
      </c>
      <c r="D5088" t="n">
        <v>2.35102197485846</v>
      </c>
    </row>
    <row r="5089">
      <c r="A5089" t="inlineStr">
        <is>
          <t>Jamaica</t>
        </is>
      </c>
      <c r="B5089" t="inlineStr">
        <is>
          <t>JAM</t>
        </is>
      </c>
      <c r="C5089" t="n">
        <v>2017</v>
      </c>
      <c r="D5089" t="n">
        <v>4.37839864991561</v>
      </c>
    </row>
    <row r="5090">
      <c r="A5090" t="inlineStr">
        <is>
          <t>Jamaica</t>
        </is>
      </c>
      <c r="B5090" t="inlineStr">
        <is>
          <t>JAM</t>
        </is>
      </c>
      <c r="C5090" t="n">
        <v>2018</v>
      </c>
      <c r="D5090" t="n">
        <v>3.73663882152163</v>
      </c>
    </row>
    <row r="5091">
      <c r="A5091" t="inlineStr">
        <is>
          <t>Jamaica</t>
        </is>
      </c>
      <c r="B5091" t="inlineStr">
        <is>
          <t>JAM</t>
        </is>
      </c>
      <c r="C5091" t="n">
        <v>2019</v>
      </c>
      <c r="D5091" t="n">
        <v>3.90510000865872</v>
      </c>
    </row>
    <row r="5092">
      <c r="A5092" t="inlineStr">
        <is>
          <t>Jamaica</t>
        </is>
      </c>
      <c r="B5092" t="inlineStr">
        <is>
          <t>JAM</t>
        </is>
      </c>
      <c r="C5092" t="n">
        <v>2020</v>
      </c>
      <c r="D5092" t="n">
        <v>5.2267777929352</v>
      </c>
    </row>
    <row r="5093">
      <c r="A5093" t="inlineStr">
        <is>
          <t>Jamaica</t>
        </is>
      </c>
      <c r="B5093" t="inlineStr">
        <is>
          <t>JAM</t>
        </is>
      </c>
      <c r="C5093" t="n">
        <v>2021</v>
      </c>
      <c r="D5093" t="n">
        <v>5.86278242801063</v>
      </c>
    </row>
    <row r="5094">
      <c r="A5094" t="inlineStr">
        <is>
          <t>Jamaica</t>
        </is>
      </c>
      <c r="B5094" t="inlineStr">
        <is>
          <t>JAM</t>
        </is>
      </c>
      <c r="C5094" t="n">
        <v>2022</v>
      </c>
      <c r="D5094" t="n">
        <v>10.3495688391272</v>
      </c>
    </row>
    <row r="5095">
      <c r="A5095" t="inlineStr">
        <is>
          <t>Jamaica</t>
        </is>
      </c>
      <c r="B5095" t="inlineStr">
        <is>
          <t>JAM</t>
        </is>
      </c>
      <c r="C5095" t="n">
        <v>2023</v>
      </c>
      <c r="D5095" t="n">
        <v>6.47413734662063</v>
      </c>
    </row>
    <row r="5096">
      <c r="A5096" t="inlineStr">
        <is>
          <t>Jamaica</t>
        </is>
      </c>
      <c r="B5096" t="inlineStr">
        <is>
          <t>JAM</t>
        </is>
      </c>
      <c r="C5096" t="n">
        <v>2024</v>
      </c>
      <c r="D5096" t="n">
        <v>5.41194447981659</v>
      </c>
    </row>
    <row r="5097">
      <c r="A5097" t="inlineStr">
        <is>
          <t>Jordan</t>
        </is>
      </c>
      <c r="B5097" t="inlineStr">
        <is>
          <t>JOR</t>
        </is>
      </c>
      <c r="C5097" t="n">
        <v>1970</v>
      </c>
      <c r="D5097" t="n">
        <v>5.89999999899992</v>
      </c>
    </row>
    <row r="5098">
      <c r="A5098" t="inlineStr">
        <is>
          <t>Jordan</t>
        </is>
      </c>
      <c r="B5098" t="inlineStr">
        <is>
          <t>JOR</t>
        </is>
      </c>
      <c r="C5098" t="n">
        <v>1971</v>
      </c>
      <c r="D5098" t="n">
        <v>4.81586402365268</v>
      </c>
    </row>
    <row r="5099">
      <c r="A5099" t="inlineStr">
        <is>
          <t>Jordan</t>
        </is>
      </c>
      <c r="B5099" t="inlineStr">
        <is>
          <t>JOR</t>
        </is>
      </c>
      <c r="C5099" t="n">
        <v>1972</v>
      </c>
      <c r="D5099" t="n">
        <v>7.6576576576576</v>
      </c>
    </row>
    <row r="5100">
      <c r="A5100" t="inlineStr">
        <is>
          <t>Jordan</t>
        </is>
      </c>
      <c r="B5100" t="inlineStr">
        <is>
          <t>JOR</t>
        </is>
      </c>
      <c r="C5100" t="n">
        <v>1973</v>
      </c>
      <c r="D5100" t="n">
        <v>11.1297071121337</v>
      </c>
    </row>
    <row r="5101">
      <c r="A5101" t="inlineStr">
        <is>
          <t>Jordan</t>
        </is>
      </c>
      <c r="B5101" t="inlineStr">
        <is>
          <t>JOR</t>
        </is>
      </c>
      <c r="C5101" t="n">
        <v>1974</v>
      </c>
      <c r="D5101" t="n">
        <v>19.4277108435204</v>
      </c>
    </row>
    <row r="5102">
      <c r="A5102" t="inlineStr">
        <is>
          <t>Jordan</t>
        </is>
      </c>
      <c r="B5102" t="inlineStr">
        <is>
          <t>JOR</t>
        </is>
      </c>
      <c r="C5102" t="n">
        <v>1975</v>
      </c>
      <c r="D5102" t="n">
        <v>11.9798234553088</v>
      </c>
    </row>
    <row r="5103">
      <c r="A5103" t="inlineStr">
        <is>
          <t>Jordan</t>
        </is>
      </c>
      <c r="B5103" t="inlineStr">
        <is>
          <t>JOR</t>
        </is>
      </c>
      <c r="C5103" t="n">
        <v>1976</v>
      </c>
      <c r="D5103" t="n">
        <v>11.4999999999997</v>
      </c>
    </row>
    <row r="5104">
      <c r="A5104" t="inlineStr">
        <is>
          <t>Jordan</t>
        </is>
      </c>
      <c r="B5104" t="inlineStr">
        <is>
          <t>JOR</t>
        </is>
      </c>
      <c r="C5104" t="n">
        <v>1977</v>
      </c>
      <c r="D5104" t="n">
        <v>14.5665171893876</v>
      </c>
    </row>
    <row r="5105">
      <c r="A5105" t="inlineStr">
        <is>
          <t>Jordan</t>
        </is>
      </c>
      <c r="B5105" t="inlineStr">
        <is>
          <t>JOR</t>
        </is>
      </c>
      <c r="C5105" t="n">
        <v>1978</v>
      </c>
      <c r="D5105" t="n">
        <v>6.92152129952408</v>
      </c>
    </row>
    <row r="5106">
      <c r="A5106" t="inlineStr">
        <is>
          <t>Jordan</t>
        </is>
      </c>
      <c r="B5106" t="inlineStr">
        <is>
          <t>JOR</t>
        </is>
      </c>
      <c r="C5106" t="n">
        <v>1979</v>
      </c>
      <c r="D5106" t="n">
        <v>14.2464917630784</v>
      </c>
    </row>
    <row r="5107">
      <c r="A5107" t="inlineStr">
        <is>
          <t>Jordan</t>
        </is>
      </c>
      <c r="B5107" t="inlineStr">
        <is>
          <t>JOR</t>
        </is>
      </c>
      <c r="C5107" t="n">
        <v>1980</v>
      </c>
      <c r="D5107" t="n">
        <v>11.1111111111113</v>
      </c>
    </row>
    <row r="5108">
      <c r="A5108" t="inlineStr">
        <is>
          <t>Jordan</t>
        </is>
      </c>
      <c r="B5108" t="inlineStr">
        <is>
          <t>JOR</t>
        </is>
      </c>
      <c r="C5108" t="n">
        <v>1981</v>
      </c>
      <c r="D5108" t="n">
        <v>7.69999999999975</v>
      </c>
    </row>
    <row r="5109">
      <c r="A5109" t="inlineStr">
        <is>
          <t>Jordan</t>
        </is>
      </c>
      <c r="B5109" t="inlineStr">
        <is>
          <t>JOR</t>
        </is>
      </c>
      <c r="C5109" t="n">
        <v>1982</v>
      </c>
      <c r="D5109" t="n">
        <v>7.42804085422491</v>
      </c>
    </row>
    <row r="5110">
      <c r="A5110" t="inlineStr">
        <is>
          <t>Jordan</t>
        </is>
      </c>
      <c r="B5110" t="inlineStr">
        <is>
          <t>JOR</t>
        </is>
      </c>
      <c r="C5110" t="n">
        <v>1983</v>
      </c>
      <c r="D5110" t="n">
        <v>5.02016709831461</v>
      </c>
    </row>
    <row r="5111">
      <c r="A5111" t="inlineStr">
        <is>
          <t>Jordan</t>
        </is>
      </c>
      <c r="B5111" t="inlineStr">
        <is>
          <t>JOR</t>
        </is>
      </c>
      <c r="C5111" t="n">
        <v>1984</v>
      </c>
      <c r="D5111" t="n">
        <v>3.84747273837611</v>
      </c>
    </row>
    <row r="5112">
      <c r="A5112" t="inlineStr">
        <is>
          <t>Jordan</t>
        </is>
      </c>
      <c r="B5112" t="inlineStr">
        <is>
          <t>JOR</t>
        </is>
      </c>
      <c r="C5112" t="n">
        <v>1985</v>
      </c>
      <c r="D5112" t="n">
        <v>2.98507462714756</v>
      </c>
    </row>
    <row r="5113">
      <c r="A5113" t="inlineStr">
        <is>
          <t>Jordan</t>
        </is>
      </c>
      <c r="B5113" t="inlineStr">
        <is>
          <t>JOR</t>
        </is>
      </c>
      <c r="C5113" t="n">
        <v>1986</v>
      </c>
      <c r="D5113" t="n">
        <v>0</v>
      </c>
    </row>
    <row r="5114">
      <c r="A5114" t="inlineStr">
        <is>
          <t>Jordan</t>
        </is>
      </c>
      <c r="B5114" t="inlineStr">
        <is>
          <t>JOR</t>
        </is>
      </c>
      <c r="C5114" t="n">
        <v>1987</v>
      </c>
      <c r="D5114" t="n">
        <v>-0.199999999999908</v>
      </c>
    </row>
    <row r="5115">
      <c r="A5115" t="inlineStr">
        <is>
          <t>Jordan</t>
        </is>
      </c>
      <c r="B5115" t="inlineStr">
        <is>
          <t>JOR</t>
        </is>
      </c>
      <c r="C5115" t="n">
        <v>1988</v>
      </c>
      <c r="D5115" t="n">
        <v>6.61322645290578</v>
      </c>
    </row>
    <row r="5116">
      <c r="A5116" t="inlineStr">
        <is>
          <t>Jordan</t>
        </is>
      </c>
      <c r="B5116" t="inlineStr">
        <is>
          <t>JOR</t>
        </is>
      </c>
      <c r="C5116" t="n">
        <v>1989</v>
      </c>
      <c r="D5116" t="n">
        <v>25.7127192982454</v>
      </c>
    </row>
    <row r="5117">
      <c r="A5117" t="inlineStr">
        <is>
          <t>Jordan</t>
        </is>
      </c>
      <c r="B5117" t="inlineStr">
        <is>
          <t>JOR</t>
        </is>
      </c>
      <c r="C5117" t="n">
        <v>1990</v>
      </c>
      <c r="D5117" t="n">
        <v>16.1921375615233</v>
      </c>
    </row>
    <row r="5118">
      <c r="A5118" t="inlineStr">
        <is>
          <t>Jordan</t>
        </is>
      </c>
      <c r="B5118" t="inlineStr">
        <is>
          <t>JOR</t>
        </is>
      </c>
      <c r="C5118" t="n">
        <v>1991</v>
      </c>
      <c r="D5118" t="n">
        <v>8.155495978552119</v>
      </c>
    </row>
    <row r="5119">
      <c r="A5119" t="inlineStr">
        <is>
          <t>Jordan</t>
        </is>
      </c>
      <c r="B5119" t="inlineStr">
        <is>
          <t>JOR</t>
        </is>
      </c>
      <c r="C5119" t="n">
        <v>1992</v>
      </c>
      <c r="D5119" t="n">
        <v>3.9958356055719</v>
      </c>
    </row>
    <row r="5120">
      <c r="A5120" t="inlineStr">
        <is>
          <t>Jordan</t>
        </is>
      </c>
      <c r="B5120" t="inlineStr">
        <is>
          <t>JOR</t>
        </is>
      </c>
      <c r="C5120" t="n">
        <v>1993</v>
      </c>
      <c r="D5120" t="n">
        <v>3.31666666666706</v>
      </c>
    </row>
    <row r="5121">
      <c r="A5121" t="inlineStr">
        <is>
          <t>Jordan</t>
        </is>
      </c>
      <c r="B5121" t="inlineStr">
        <is>
          <t>JOR</t>
        </is>
      </c>
      <c r="C5121" t="n">
        <v>1994</v>
      </c>
      <c r="D5121" t="n">
        <v>3.51669624132886</v>
      </c>
    </row>
    <row r="5122">
      <c r="A5122" t="inlineStr">
        <is>
          <t>Jordan</t>
        </is>
      </c>
      <c r="B5122" t="inlineStr">
        <is>
          <t>JOR</t>
        </is>
      </c>
      <c r="C5122" t="n">
        <v>1995</v>
      </c>
      <c r="D5122" t="n">
        <v>2.35312451301273</v>
      </c>
    </row>
    <row r="5123">
      <c r="A5123" t="inlineStr">
        <is>
          <t>Jordan</t>
        </is>
      </c>
      <c r="B5123" t="inlineStr">
        <is>
          <t>JOR</t>
        </is>
      </c>
      <c r="C5123" t="n">
        <v>1996</v>
      </c>
      <c r="D5123" t="n">
        <v>6.50121802679586</v>
      </c>
    </row>
    <row r="5124">
      <c r="A5124" t="inlineStr">
        <is>
          <t>Jordan</t>
        </is>
      </c>
      <c r="B5124" t="inlineStr">
        <is>
          <t>JOR</t>
        </is>
      </c>
      <c r="C5124" t="n">
        <v>1997</v>
      </c>
      <c r="D5124" t="n">
        <v>3.0378842030025</v>
      </c>
    </row>
    <row r="5125">
      <c r="A5125" t="inlineStr">
        <is>
          <t>Jordan</t>
        </is>
      </c>
      <c r="B5125" t="inlineStr">
        <is>
          <t>JOR</t>
        </is>
      </c>
      <c r="C5125" t="n">
        <v>1998</v>
      </c>
      <c r="D5125" t="n">
        <v>3.09166666666703</v>
      </c>
    </row>
    <row r="5126">
      <c r="A5126" t="inlineStr">
        <is>
          <t>Jordan</t>
        </is>
      </c>
      <c r="B5126" t="inlineStr">
        <is>
          <t>JOR</t>
        </is>
      </c>
      <c r="C5126" t="n">
        <v>1999</v>
      </c>
      <c r="D5126" t="n">
        <v>0.606256567779427</v>
      </c>
    </row>
    <row r="5127">
      <c r="A5127" t="inlineStr">
        <is>
          <t>Jordan</t>
        </is>
      </c>
      <c r="B5127" t="inlineStr">
        <is>
          <t>JOR</t>
        </is>
      </c>
      <c r="C5127" t="n">
        <v>2000</v>
      </c>
      <c r="D5127" t="n">
        <v>0.66688092559796</v>
      </c>
    </row>
    <row r="5128">
      <c r="A5128" t="inlineStr">
        <is>
          <t>Jordan</t>
        </is>
      </c>
      <c r="B5128" t="inlineStr">
        <is>
          <t>JOR</t>
        </is>
      </c>
      <c r="C5128" t="n">
        <v>2001</v>
      </c>
      <c r="D5128" t="n">
        <v>1.77220437351017</v>
      </c>
    </row>
    <row r="5129">
      <c r="A5129" t="inlineStr">
        <is>
          <t>Jordan</t>
        </is>
      </c>
      <c r="B5129" t="inlineStr">
        <is>
          <t>JOR</t>
        </is>
      </c>
      <c r="C5129" t="n">
        <v>2002</v>
      </c>
      <c r="D5129" t="n">
        <v>1.83299389002049</v>
      </c>
    </row>
    <row r="5130">
      <c r="A5130" t="inlineStr">
        <is>
          <t>Jordan</t>
        </is>
      </c>
      <c r="B5130" t="inlineStr">
        <is>
          <t>JOR</t>
        </is>
      </c>
      <c r="C5130" t="n">
        <v>2003</v>
      </c>
      <c r="D5130" t="n">
        <v>1.62999999999998</v>
      </c>
    </row>
    <row r="5131">
      <c r="A5131" t="inlineStr">
        <is>
          <t>Jordan</t>
        </is>
      </c>
      <c r="B5131" t="inlineStr">
        <is>
          <t>JOR</t>
        </is>
      </c>
      <c r="C5131" t="n">
        <v>2004</v>
      </c>
      <c r="D5131" t="n">
        <v>3.36186821476601</v>
      </c>
    </row>
    <row r="5132">
      <c r="A5132" t="inlineStr">
        <is>
          <t>Jordan</t>
        </is>
      </c>
      <c r="B5132" t="inlineStr">
        <is>
          <t>JOR</t>
        </is>
      </c>
      <c r="C5132" t="n">
        <v>2005</v>
      </c>
      <c r="D5132" t="n">
        <v>3.49368534619531</v>
      </c>
    </row>
    <row r="5133">
      <c r="A5133" t="inlineStr">
        <is>
          <t>Jordan</t>
        </is>
      </c>
      <c r="B5133" t="inlineStr">
        <is>
          <t>JOR</t>
        </is>
      </c>
      <c r="C5133" t="n">
        <v>2006</v>
      </c>
      <c r="D5133" t="n">
        <v>6.25172466656443</v>
      </c>
    </row>
    <row r="5134">
      <c r="A5134" t="inlineStr">
        <is>
          <t>Jordan</t>
        </is>
      </c>
      <c r="B5134" t="inlineStr">
        <is>
          <t>JOR</t>
        </is>
      </c>
      <c r="C5134" t="n">
        <v>2007</v>
      </c>
      <c r="D5134" t="n">
        <v>4.74390639021648</v>
      </c>
    </row>
    <row r="5135">
      <c r="A5135" t="inlineStr">
        <is>
          <t>Jordan</t>
        </is>
      </c>
      <c r="B5135" t="inlineStr">
        <is>
          <t>JOR</t>
        </is>
      </c>
      <c r="C5135" t="n">
        <v>2008</v>
      </c>
      <c r="D5135" t="n">
        <v>13.9712310012729</v>
      </c>
    </row>
    <row r="5136">
      <c r="A5136" t="inlineStr">
        <is>
          <t>Jordan</t>
        </is>
      </c>
      <c r="B5136" t="inlineStr">
        <is>
          <t>JOR</t>
        </is>
      </c>
      <c r="C5136" t="n">
        <v>2009</v>
      </c>
      <c r="D5136" t="n">
        <v>-0.739069743144777</v>
      </c>
    </row>
    <row r="5137">
      <c r="A5137" t="inlineStr">
        <is>
          <t>Jordan</t>
        </is>
      </c>
      <c r="B5137" t="inlineStr">
        <is>
          <t>JOR</t>
        </is>
      </c>
      <c r="C5137" t="n">
        <v>2010</v>
      </c>
      <c r="D5137" t="n">
        <v>4.84551875852116</v>
      </c>
    </row>
    <row r="5138">
      <c r="A5138" t="inlineStr">
        <is>
          <t>Jordan</t>
        </is>
      </c>
      <c r="B5138" t="inlineStr">
        <is>
          <t>JOR</t>
        </is>
      </c>
      <c r="C5138" t="n">
        <v>2011</v>
      </c>
      <c r="D5138" t="n">
        <v>4.1624416292779</v>
      </c>
    </row>
    <row r="5139">
      <c r="A5139" t="inlineStr">
        <is>
          <t>Jordan</t>
        </is>
      </c>
      <c r="B5139" t="inlineStr">
        <is>
          <t>JOR</t>
        </is>
      </c>
      <c r="C5139" t="n">
        <v>2012</v>
      </c>
      <c r="D5139" t="n">
        <v>4.5152295667099</v>
      </c>
    </row>
    <row r="5140">
      <c r="A5140" t="inlineStr">
        <is>
          <t>Jordan</t>
        </is>
      </c>
      <c r="B5140" t="inlineStr">
        <is>
          <t>JOR</t>
        </is>
      </c>
      <c r="C5140" t="n">
        <v>2013</v>
      </c>
      <c r="D5140" t="n">
        <v>4.82462314269537</v>
      </c>
    </row>
    <row r="5141">
      <c r="A5141" t="inlineStr">
        <is>
          <t>Jordan</t>
        </is>
      </c>
      <c r="B5141" t="inlineStr">
        <is>
          <t>JOR</t>
        </is>
      </c>
      <c r="C5141" t="n">
        <v>2014</v>
      </c>
      <c r="D5141" t="n">
        <v>2.89947905006057</v>
      </c>
    </row>
    <row r="5142">
      <c r="A5142" t="inlineStr">
        <is>
          <t>Jordan</t>
        </is>
      </c>
      <c r="B5142" t="inlineStr">
        <is>
          <t>JOR</t>
        </is>
      </c>
      <c r="C5142" t="n">
        <v>2015</v>
      </c>
      <c r="D5142" t="n">
        <v>-0.876851359704049</v>
      </c>
    </row>
    <row r="5143">
      <c r="A5143" t="inlineStr">
        <is>
          <t>Jordan</t>
        </is>
      </c>
      <c r="B5143" t="inlineStr">
        <is>
          <t>JOR</t>
        </is>
      </c>
      <c r="C5143" t="n">
        <v>2016</v>
      </c>
      <c r="D5143" t="n">
        <v>-0.778430463054142</v>
      </c>
    </row>
    <row r="5144">
      <c r="A5144" t="inlineStr">
        <is>
          <t>Jordan</t>
        </is>
      </c>
      <c r="B5144" t="inlineStr">
        <is>
          <t>JOR</t>
        </is>
      </c>
      <c r="C5144" t="n">
        <v>2017</v>
      </c>
      <c r="D5144" t="n">
        <v>3.32389447576097</v>
      </c>
    </row>
    <row r="5145">
      <c r="A5145" t="inlineStr">
        <is>
          <t>Jordan</t>
        </is>
      </c>
      <c r="B5145" t="inlineStr">
        <is>
          <t>JOR</t>
        </is>
      </c>
      <c r="C5145" t="n">
        <v>2018</v>
      </c>
      <c r="D5145" t="n">
        <v>4.46231108475481</v>
      </c>
    </row>
    <row r="5146">
      <c r="A5146" t="inlineStr">
        <is>
          <t>Jordan</t>
        </is>
      </c>
      <c r="B5146" t="inlineStr">
        <is>
          <t>JOR</t>
        </is>
      </c>
      <c r="C5146" t="n">
        <v>2019</v>
      </c>
      <c r="D5146" t="n">
        <v>0.761514047265601</v>
      </c>
    </row>
    <row r="5147">
      <c r="A5147" t="inlineStr">
        <is>
          <t>Jordan</t>
        </is>
      </c>
      <c r="B5147" t="inlineStr">
        <is>
          <t>JOR</t>
        </is>
      </c>
      <c r="C5147" t="n">
        <v>2020</v>
      </c>
      <c r="D5147" t="n">
        <v>0.333294350628378</v>
      </c>
    </row>
    <row r="5148">
      <c r="A5148" t="inlineStr">
        <is>
          <t>Jordan</t>
        </is>
      </c>
      <c r="B5148" t="inlineStr">
        <is>
          <t>JOR</t>
        </is>
      </c>
      <c r="C5148" t="n">
        <v>2021</v>
      </c>
      <c r="D5148" t="n">
        <v>1.34609377243118</v>
      </c>
    </row>
    <row r="5149">
      <c r="A5149" t="inlineStr">
        <is>
          <t>Jordan</t>
        </is>
      </c>
      <c r="B5149" t="inlineStr">
        <is>
          <t>JOR</t>
        </is>
      </c>
      <c r="C5149" t="n">
        <v>2022</v>
      </c>
      <c r="D5149" t="n">
        <v>4.22915568897117</v>
      </c>
    </row>
    <row r="5150">
      <c r="A5150" t="inlineStr">
        <is>
          <t>Jordan</t>
        </is>
      </c>
      <c r="B5150" t="inlineStr">
        <is>
          <t>JOR</t>
        </is>
      </c>
      <c r="C5150" t="n">
        <v>2023</v>
      </c>
      <c r="D5150" t="n">
        <v>2.08486986327134</v>
      </c>
    </row>
    <row r="5151">
      <c r="A5151" t="inlineStr">
        <is>
          <t>Japan</t>
        </is>
      </c>
      <c r="B5151" t="inlineStr">
        <is>
          <t>JPN</t>
        </is>
      </c>
      <c r="C5151" t="n">
        <v>1960</v>
      </c>
      <c r="D5151" t="n">
        <v>3.5745115253591</v>
      </c>
    </row>
    <row r="5152">
      <c r="A5152" t="inlineStr">
        <is>
          <t>Japan</t>
        </is>
      </c>
      <c r="B5152" t="inlineStr">
        <is>
          <t>JPN</t>
        </is>
      </c>
      <c r="C5152" t="n">
        <v>1961</v>
      </c>
      <c r="D5152" t="n">
        <v>5.36846178480055</v>
      </c>
    </row>
    <row r="5153">
      <c r="A5153" t="inlineStr">
        <is>
          <t>Japan</t>
        </is>
      </c>
      <c r="B5153" t="inlineStr">
        <is>
          <t>JPN</t>
        </is>
      </c>
      <c r="C5153" t="n">
        <v>1962</v>
      </c>
      <c r="D5153" t="n">
        <v>6.8354403481973</v>
      </c>
    </row>
    <row r="5154">
      <c r="A5154" t="inlineStr">
        <is>
          <t>Japan</t>
        </is>
      </c>
      <c r="B5154" t="inlineStr">
        <is>
          <t>JPN</t>
        </is>
      </c>
      <c r="C5154" t="n">
        <v>1963</v>
      </c>
      <c r="D5154" t="n">
        <v>6.7069055639799</v>
      </c>
    </row>
    <row r="5155">
      <c r="A5155" t="inlineStr">
        <is>
          <t>Japan</t>
        </is>
      </c>
      <c r="B5155" t="inlineStr">
        <is>
          <t>JPN</t>
        </is>
      </c>
      <c r="C5155" t="n">
        <v>1964</v>
      </c>
      <c r="D5155" t="n">
        <v>3.80038945305753</v>
      </c>
    </row>
    <row r="5156">
      <c r="A5156" t="inlineStr">
        <is>
          <t>Japan</t>
        </is>
      </c>
      <c r="B5156" t="inlineStr">
        <is>
          <t>JPN</t>
        </is>
      </c>
      <c r="C5156" t="n">
        <v>1965</v>
      </c>
      <c r="D5156" t="n">
        <v>6.65599094260621</v>
      </c>
    </row>
    <row r="5157">
      <c r="A5157" t="inlineStr">
        <is>
          <t>Japan</t>
        </is>
      </c>
      <c r="B5157" t="inlineStr">
        <is>
          <t>JPN</t>
        </is>
      </c>
      <c r="C5157" t="n">
        <v>1966</v>
      </c>
      <c r="D5157" t="n">
        <v>5.04083205887676</v>
      </c>
    </row>
    <row r="5158">
      <c r="A5158" t="inlineStr">
        <is>
          <t>Japan</t>
        </is>
      </c>
      <c r="B5158" t="inlineStr">
        <is>
          <t>JPN</t>
        </is>
      </c>
      <c r="C5158" t="n">
        <v>1967</v>
      </c>
      <c r="D5158" t="n">
        <v>3.98984808881518</v>
      </c>
    </row>
    <row r="5159">
      <c r="A5159" t="inlineStr">
        <is>
          <t>Japan</t>
        </is>
      </c>
      <c r="B5159" t="inlineStr">
        <is>
          <t>JPN</t>
        </is>
      </c>
      <c r="C5159" t="n">
        <v>1968</v>
      </c>
      <c r="D5159" t="n">
        <v>5.33943295739344</v>
      </c>
    </row>
    <row r="5160">
      <c r="A5160" t="inlineStr">
        <is>
          <t>Japan</t>
        </is>
      </c>
      <c r="B5160" t="inlineStr">
        <is>
          <t>JPN</t>
        </is>
      </c>
      <c r="C5160" t="n">
        <v>1969</v>
      </c>
      <c r="D5160" t="n">
        <v>5.24982091102027</v>
      </c>
    </row>
    <row r="5161">
      <c r="A5161" t="inlineStr">
        <is>
          <t>Japan</t>
        </is>
      </c>
      <c r="B5161" t="inlineStr">
        <is>
          <t>JPN</t>
        </is>
      </c>
      <c r="C5161" t="n">
        <v>1970</v>
      </c>
      <c r="D5161" t="n">
        <v>6.92417383485781</v>
      </c>
    </row>
    <row r="5162">
      <c r="A5162" t="inlineStr">
        <is>
          <t>Japan</t>
        </is>
      </c>
      <c r="B5162" t="inlineStr">
        <is>
          <t>JPN</t>
        </is>
      </c>
      <c r="C5162" t="n">
        <v>1971</v>
      </c>
      <c r="D5162" t="n">
        <v>6.39534883720926</v>
      </c>
    </row>
    <row r="5163">
      <c r="A5163" t="inlineStr">
        <is>
          <t>Japan</t>
        </is>
      </c>
      <c r="B5163" t="inlineStr">
        <is>
          <t>JPN</t>
        </is>
      </c>
      <c r="C5163" t="n">
        <v>1972</v>
      </c>
      <c r="D5163" t="n">
        <v>4.84351713859905</v>
      </c>
    </row>
    <row r="5164">
      <c r="A5164" t="inlineStr">
        <is>
          <t>Japan</t>
        </is>
      </c>
      <c r="B5164" t="inlineStr">
        <is>
          <t>JPN</t>
        </is>
      </c>
      <c r="C5164" t="n">
        <v>1973</v>
      </c>
      <c r="D5164" t="n">
        <v>11.6086235489221</v>
      </c>
    </row>
    <row r="5165">
      <c r="A5165" t="inlineStr">
        <is>
          <t>Japan</t>
        </is>
      </c>
      <c r="B5165" t="inlineStr">
        <is>
          <t>JPN</t>
        </is>
      </c>
      <c r="C5165" t="n">
        <v>1974</v>
      </c>
      <c r="D5165" t="n">
        <v>23.2222458076842</v>
      </c>
    </row>
    <row r="5166">
      <c r="A5166" t="inlineStr">
        <is>
          <t>Japan</t>
        </is>
      </c>
      <c r="B5166" t="inlineStr">
        <is>
          <t>JPN</t>
        </is>
      </c>
      <c r="C5166" t="n">
        <v>1975</v>
      </c>
      <c r="D5166" t="n">
        <v>11.7312661498708</v>
      </c>
    </row>
    <row r="5167">
      <c r="A5167" t="inlineStr">
        <is>
          <t>Japan</t>
        </is>
      </c>
      <c r="B5167" t="inlineStr">
        <is>
          <t>JPN</t>
        </is>
      </c>
      <c r="C5167" t="n">
        <v>1976</v>
      </c>
      <c r="D5167" t="n">
        <v>9.37403638606234</v>
      </c>
    </row>
    <row r="5168">
      <c r="A5168" t="inlineStr">
        <is>
          <t>Japan</t>
        </is>
      </c>
      <c r="B5168" t="inlineStr">
        <is>
          <t>JPN</t>
        </is>
      </c>
      <c r="C5168" t="n">
        <v>1977</v>
      </c>
      <c r="D5168" t="n">
        <v>8.161826895968421</v>
      </c>
    </row>
    <row r="5169">
      <c r="A5169" t="inlineStr">
        <is>
          <t>Japan</t>
        </is>
      </c>
      <c r="B5169" t="inlineStr">
        <is>
          <t>JPN</t>
        </is>
      </c>
      <c r="C5169" t="n">
        <v>1978</v>
      </c>
      <c r="D5169" t="n">
        <v>4.20956601068681</v>
      </c>
    </row>
    <row r="5170">
      <c r="A5170" t="inlineStr">
        <is>
          <t>Japan</t>
        </is>
      </c>
      <c r="B5170" t="inlineStr">
        <is>
          <t>JPN</t>
        </is>
      </c>
      <c r="C5170" t="n">
        <v>1979</v>
      </c>
      <c r="D5170" t="n">
        <v>3.70185092546269</v>
      </c>
    </row>
    <row r="5171">
      <c r="A5171" t="inlineStr">
        <is>
          <t>Japan</t>
        </is>
      </c>
      <c r="B5171" t="inlineStr">
        <is>
          <t>JPN</t>
        </is>
      </c>
      <c r="C5171" t="n">
        <v>1980</v>
      </c>
      <c r="D5171" t="n">
        <v>7.77858176555718</v>
      </c>
    </row>
    <row r="5172">
      <c r="A5172" t="inlineStr">
        <is>
          <t>Japan</t>
        </is>
      </c>
      <c r="B5172" t="inlineStr">
        <is>
          <t>JPN</t>
        </is>
      </c>
      <c r="C5172" t="n">
        <v>1981</v>
      </c>
      <c r="D5172" t="n">
        <v>4.91216291820523</v>
      </c>
    </row>
    <row r="5173">
      <c r="A5173" t="inlineStr">
        <is>
          <t>Japan</t>
        </is>
      </c>
      <c r="B5173" t="inlineStr">
        <is>
          <t>JPN</t>
        </is>
      </c>
      <c r="C5173" t="n">
        <v>1982</v>
      </c>
      <c r="D5173" t="n">
        <v>2.7410409556314</v>
      </c>
    </row>
    <row r="5174">
      <c r="A5174" t="inlineStr">
        <is>
          <t>Japan</t>
        </is>
      </c>
      <c r="B5174" t="inlineStr">
        <is>
          <t>JPN</t>
        </is>
      </c>
      <c r="C5174" t="n">
        <v>1983</v>
      </c>
      <c r="D5174" t="n">
        <v>1.89971971348485</v>
      </c>
    </row>
    <row r="5175">
      <c r="A5175" t="inlineStr">
        <is>
          <t>Japan</t>
        </is>
      </c>
      <c r="B5175" t="inlineStr">
        <is>
          <t>JPN</t>
        </is>
      </c>
      <c r="C5175" t="n">
        <v>1984</v>
      </c>
      <c r="D5175" t="n">
        <v>2.26161369193155</v>
      </c>
    </row>
    <row r="5176">
      <c r="A5176" t="inlineStr">
        <is>
          <t>Japan</t>
        </is>
      </c>
      <c r="B5176" t="inlineStr">
        <is>
          <t>JPN</t>
        </is>
      </c>
      <c r="C5176" t="n">
        <v>1985</v>
      </c>
      <c r="D5176" t="n">
        <v>2.0322773460849</v>
      </c>
    </row>
    <row r="5177">
      <c r="A5177" t="inlineStr">
        <is>
          <t>Japan</t>
        </is>
      </c>
      <c r="B5177" t="inlineStr">
        <is>
          <t>JPN</t>
        </is>
      </c>
      <c r="C5177" t="n">
        <v>1986</v>
      </c>
      <c r="D5177" t="n">
        <v>0.595586799453249</v>
      </c>
    </row>
    <row r="5178">
      <c r="A5178" t="inlineStr">
        <is>
          <t>Japan</t>
        </is>
      </c>
      <c r="B5178" t="inlineStr">
        <is>
          <t>JPN</t>
        </is>
      </c>
      <c r="C5178" t="n">
        <v>1987</v>
      </c>
      <c r="D5178" t="n">
        <v>0.126176841696583</v>
      </c>
    </row>
    <row r="5179">
      <c r="A5179" t="inlineStr">
        <is>
          <t>Japan</t>
        </is>
      </c>
      <c r="B5179" t="inlineStr">
        <is>
          <t>JPN</t>
        </is>
      </c>
      <c r="C5179" t="n">
        <v>1988</v>
      </c>
      <c r="D5179" t="n">
        <v>0.678557580457558</v>
      </c>
    </row>
    <row r="5180">
      <c r="A5180" t="inlineStr">
        <is>
          <t>Japan</t>
        </is>
      </c>
      <c r="B5180" t="inlineStr">
        <is>
          <t>JPN</t>
        </is>
      </c>
      <c r="C5180" t="n">
        <v>1989</v>
      </c>
      <c r="D5180" t="n">
        <v>2.27228962064317</v>
      </c>
    </row>
    <row r="5181">
      <c r="A5181" t="inlineStr">
        <is>
          <t>Japan</t>
        </is>
      </c>
      <c r="B5181" t="inlineStr">
        <is>
          <t>JPN</t>
        </is>
      </c>
      <c r="C5181" t="n">
        <v>1990</v>
      </c>
      <c r="D5181" t="n">
        <v>3.0785162869516</v>
      </c>
    </row>
    <row r="5182">
      <c r="A5182" t="inlineStr">
        <is>
          <t>Japan</t>
        </is>
      </c>
      <c r="B5182" t="inlineStr">
        <is>
          <t>JPN</t>
        </is>
      </c>
      <c r="C5182" t="n">
        <v>1991</v>
      </c>
      <c r="D5182" t="n">
        <v>3.25143848753308</v>
      </c>
    </row>
    <row r="5183">
      <c r="A5183" t="inlineStr">
        <is>
          <t>Japan</t>
        </is>
      </c>
      <c r="B5183" t="inlineStr">
        <is>
          <t>JPN</t>
        </is>
      </c>
      <c r="C5183" t="n">
        <v>1992</v>
      </c>
      <c r="D5183" t="n">
        <v>1.7602830605927</v>
      </c>
    </row>
    <row r="5184">
      <c r="A5184" t="inlineStr">
        <is>
          <t>Japan</t>
        </is>
      </c>
      <c r="B5184" t="inlineStr">
        <is>
          <t>JPN</t>
        </is>
      </c>
      <c r="C5184" t="n">
        <v>1993</v>
      </c>
      <c r="D5184" t="n">
        <v>1.24304589707924</v>
      </c>
    </row>
    <row r="5185">
      <c r="A5185" t="inlineStr">
        <is>
          <t>Japan</t>
        </is>
      </c>
      <c r="B5185" t="inlineStr">
        <is>
          <t>JPN</t>
        </is>
      </c>
      <c r="C5185" t="n">
        <v>1994</v>
      </c>
      <c r="D5185" t="n">
        <v>0.6954580578690041</v>
      </c>
    </row>
    <row r="5186">
      <c r="A5186" t="inlineStr">
        <is>
          <t>Japan</t>
        </is>
      </c>
      <c r="B5186" t="inlineStr">
        <is>
          <t>JPN</t>
        </is>
      </c>
      <c r="C5186" t="n">
        <v>1995</v>
      </c>
      <c r="D5186" t="n">
        <v>-0.127899045020446</v>
      </c>
    </row>
    <row r="5187">
      <c r="A5187" t="inlineStr">
        <is>
          <t>Japan</t>
        </is>
      </c>
      <c r="B5187" t="inlineStr">
        <is>
          <t>JPN</t>
        </is>
      </c>
      <c r="C5187" t="n">
        <v>1996</v>
      </c>
      <c r="D5187" t="n">
        <v>0.136600358575909</v>
      </c>
    </row>
    <row r="5188">
      <c r="A5188" t="inlineStr">
        <is>
          <t>Japan</t>
        </is>
      </c>
      <c r="B5188" t="inlineStr">
        <is>
          <t>JPN</t>
        </is>
      </c>
      <c r="C5188" t="n">
        <v>1997</v>
      </c>
      <c r="D5188" t="n">
        <v>1.74780458692133</v>
      </c>
    </row>
    <row r="5189">
      <c r="A5189" t="inlineStr">
        <is>
          <t>Japan</t>
        </is>
      </c>
      <c r="B5189" t="inlineStr">
        <is>
          <t>JPN</t>
        </is>
      </c>
      <c r="C5189" t="n">
        <v>1998</v>
      </c>
      <c r="D5189" t="n">
        <v>0.661974191385911</v>
      </c>
    </row>
    <row r="5190">
      <c r="A5190" t="inlineStr">
        <is>
          <t>Japan</t>
        </is>
      </c>
      <c r="B5190" t="inlineStr">
        <is>
          <t>JPN</t>
        </is>
      </c>
      <c r="C5190" t="n">
        <v>1999</v>
      </c>
      <c r="D5190" t="n">
        <v>-0.341296928327554</v>
      </c>
    </row>
    <row r="5191">
      <c r="A5191" t="inlineStr">
        <is>
          <t>Japan</t>
        </is>
      </c>
      <c r="B5191" t="inlineStr">
        <is>
          <t>JPN</t>
        </is>
      </c>
      <c r="C5191" t="n">
        <v>2000</v>
      </c>
      <c r="D5191" t="n">
        <v>-0.676578683595175</v>
      </c>
    </row>
    <row r="5192">
      <c r="A5192" t="inlineStr">
        <is>
          <t>Japan</t>
        </is>
      </c>
      <c r="B5192" t="inlineStr">
        <is>
          <t>JPN</t>
        </is>
      </c>
      <c r="C5192" t="n">
        <v>2001</v>
      </c>
      <c r="D5192" t="n">
        <v>-0.740055504162738</v>
      </c>
    </row>
    <row r="5193">
      <c r="A5193" t="inlineStr">
        <is>
          <t>Japan</t>
        </is>
      </c>
      <c r="B5193" t="inlineStr">
        <is>
          <t>JPN</t>
        </is>
      </c>
      <c r="C5193" t="n">
        <v>2002</v>
      </c>
      <c r="D5193" t="n">
        <v>-0.923494026942321</v>
      </c>
    </row>
    <row r="5194">
      <c r="A5194" t="inlineStr">
        <is>
          <t>Japan</t>
        </is>
      </c>
      <c r="B5194" t="inlineStr">
        <is>
          <t>JPN</t>
        </is>
      </c>
      <c r="C5194" t="n">
        <v>2003</v>
      </c>
      <c r="D5194" t="n">
        <v>-0.256541816316025</v>
      </c>
    </row>
    <row r="5195">
      <c r="A5195" t="inlineStr">
        <is>
          <t>Japan</t>
        </is>
      </c>
      <c r="B5195" t="inlineStr">
        <is>
          <t>JPN</t>
        </is>
      </c>
      <c r="C5195" t="n">
        <v>2004</v>
      </c>
      <c r="D5195" t="n">
        <v>-0.00857338820310272</v>
      </c>
    </row>
    <row r="5196">
      <c r="A5196" t="inlineStr">
        <is>
          <t>Japan</t>
        </is>
      </c>
      <c r="B5196" t="inlineStr">
        <is>
          <t>JPN</t>
        </is>
      </c>
      <c r="C5196" t="n">
        <v>2005</v>
      </c>
      <c r="D5196" t="n">
        <v>-0.282946068764391</v>
      </c>
    </row>
    <row r="5197">
      <c r="A5197" t="inlineStr">
        <is>
          <t>Japan</t>
        </is>
      </c>
      <c r="B5197" t="inlineStr">
        <is>
          <t>JPN</t>
        </is>
      </c>
      <c r="C5197" t="n">
        <v>2006</v>
      </c>
      <c r="D5197" t="n">
        <v>0.249355116079085</v>
      </c>
    </row>
    <row r="5198">
      <c r="A5198" t="inlineStr">
        <is>
          <t>Japan</t>
        </is>
      </c>
      <c r="B5198" t="inlineStr">
        <is>
          <t>JPN</t>
        </is>
      </c>
      <c r="C5198" t="n">
        <v>2007</v>
      </c>
      <c r="D5198" t="n">
        <v>0.060039454498669</v>
      </c>
    </row>
    <row r="5199">
      <c r="A5199" t="inlineStr">
        <is>
          <t>Japan</t>
        </is>
      </c>
      <c r="B5199" t="inlineStr">
        <is>
          <t>JPN</t>
        </is>
      </c>
      <c r="C5199" t="n">
        <v>2008</v>
      </c>
      <c r="D5199" t="n">
        <v>1.3800788616492</v>
      </c>
    </row>
    <row r="5200">
      <c r="A5200" t="inlineStr">
        <is>
          <t>Japan</t>
        </is>
      </c>
      <c r="B5200" t="inlineStr">
        <is>
          <t>JPN</t>
        </is>
      </c>
      <c r="C5200" t="n">
        <v>2009</v>
      </c>
      <c r="D5200" t="n">
        <v>-1.35283672951719</v>
      </c>
    </row>
    <row r="5201">
      <c r="A5201" t="inlineStr">
        <is>
          <t>Japan</t>
        </is>
      </c>
      <c r="B5201" t="inlineStr">
        <is>
          <t>JPN</t>
        </is>
      </c>
      <c r="C5201" t="n">
        <v>2010</v>
      </c>
      <c r="D5201" t="n">
        <v>-0.728243207517779</v>
      </c>
    </row>
    <row r="5202">
      <c r="A5202" t="inlineStr">
        <is>
          <t>Japan</t>
        </is>
      </c>
      <c r="B5202" t="inlineStr">
        <is>
          <t>JPN</t>
        </is>
      </c>
      <c r="C5202" t="n">
        <v>2011</v>
      </c>
      <c r="D5202" t="n">
        <v>-0.27245561610124</v>
      </c>
    </row>
    <row r="5203">
      <c r="A5203" t="inlineStr">
        <is>
          <t>Japan</t>
        </is>
      </c>
      <c r="B5203" t="inlineStr">
        <is>
          <t>JPN</t>
        </is>
      </c>
      <c r="C5203" t="n">
        <v>2012</v>
      </c>
      <c r="D5203" t="n">
        <v>-0.0440645104432602</v>
      </c>
    </row>
    <row r="5204">
      <c r="A5204" t="inlineStr">
        <is>
          <t>Japan</t>
        </is>
      </c>
      <c r="B5204" t="inlineStr">
        <is>
          <t>JPN</t>
        </is>
      </c>
      <c r="C5204" t="n">
        <v>2013</v>
      </c>
      <c r="D5204" t="n">
        <v>0.335037912184741</v>
      </c>
    </row>
    <row r="5205">
      <c r="A5205" t="inlineStr">
        <is>
          <t>Japan</t>
        </is>
      </c>
      <c r="B5205" t="inlineStr">
        <is>
          <t>JPN</t>
        </is>
      </c>
      <c r="C5205" t="n">
        <v>2014</v>
      </c>
      <c r="D5205" t="n">
        <v>2.75922671353253</v>
      </c>
    </row>
    <row r="5206">
      <c r="A5206" t="inlineStr">
        <is>
          <t>Japan</t>
        </is>
      </c>
      <c r="B5206" t="inlineStr">
        <is>
          <t>JPN</t>
        </is>
      </c>
      <c r="C5206" t="n">
        <v>2015</v>
      </c>
      <c r="D5206" t="n">
        <v>0.795279630579839</v>
      </c>
    </row>
    <row r="5207">
      <c r="A5207" t="inlineStr">
        <is>
          <t>Japan</t>
        </is>
      </c>
      <c r="B5207" t="inlineStr">
        <is>
          <t>JPN</t>
        </is>
      </c>
      <c r="C5207" t="n">
        <v>2016</v>
      </c>
      <c r="D5207" t="n">
        <v>-0.127258844489754</v>
      </c>
    </row>
    <row r="5208">
      <c r="A5208" t="inlineStr">
        <is>
          <t>Japan</t>
        </is>
      </c>
      <c r="B5208" t="inlineStr">
        <is>
          <t>JPN</t>
        </is>
      </c>
      <c r="C5208" t="n">
        <v>2017</v>
      </c>
      <c r="D5208" t="n">
        <v>0.484199796126385</v>
      </c>
    </row>
    <row r="5209">
      <c r="A5209" t="inlineStr">
        <is>
          <t>Japan</t>
        </is>
      </c>
      <c r="B5209" t="inlineStr">
        <is>
          <t>JPN</t>
        </is>
      </c>
      <c r="C5209" t="n">
        <v>2018</v>
      </c>
      <c r="D5209" t="n">
        <v>0.989094598021848</v>
      </c>
    </row>
    <row r="5210">
      <c r="A5210" t="inlineStr">
        <is>
          <t>Japan</t>
        </is>
      </c>
      <c r="B5210" t="inlineStr">
        <is>
          <t>JPN</t>
        </is>
      </c>
      <c r="C5210" t="n">
        <v>2019</v>
      </c>
      <c r="D5210" t="n">
        <v>0.46877615938395</v>
      </c>
    </row>
    <row r="5211">
      <c r="A5211" t="inlineStr">
        <is>
          <t>Japan</t>
        </is>
      </c>
      <c r="B5211" t="inlineStr">
        <is>
          <t>JPN</t>
        </is>
      </c>
      <c r="C5211" t="n">
        <v>2020</v>
      </c>
      <c r="D5211" t="n">
        <v>-0.024995834027731</v>
      </c>
    </row>
    <row r="5212">
      <c r="A5212" t="inlineStr">
        <is>
          <t>Japan</t>
        </is>
      </c>
      <c r="B5212" t="inlineStr">
        <is>
          <t>JPN</t>
        </is>
      </c>
      <c r="C5212" t="n">
        <v>2021</v>
      </c>
      <c r="D5212" t="n">
        <v>-0.233352779398264</v>
      </c>
    </row>
    <row r="5213">
      <c r="A5213" t="inlineStr">
        <is>
          <t>Japan</t>
        </is>
      </c>
      <c r="B5213" t="inlineStr">
        <is>
          <t>JPN</t>
        </is>
      </c>
      <c r="C5213" t="n">
        <v>2022</v>
      </c>
      <c r="D5213" t="n">
        <v>2.49770278172255</v>
      </c>
    </row>
    <row r="5214">
      <c r="A5214" t="inlineStr">
        <is>
          <t>Japan</t>
        </is>
      </c>
      <c r="B5214" t="inlineStr">
        <is>
          <t>JPN</t>
        </is>
      </c>
      <c r="C5214" t="n">
        <v>2023</v>
      </c>
      <c r="D5214" t="n">
        <v>3.26813365933163</v>
      </c>
    </row>
    <row r="5215">
      <c r="A5215" t="inlineStr">
        <is>
          <t>Japan</t>
        </is>
      </c>
      <c r="B5215" t="inlineStr">
        <is>
          <t>JPN</t>
        </is>
      </c>
      <c r="C5215" t="n">
        <v>2024</v>
      </c>
      <c r="D5215" t="n">
        <v>2.73853681635241</v>
      </c>
    </row>
    <row r="5216">
      <c r="A5216" t="inlineStr">
        <is>
          <t>Kazakhstan</t>
        </is>
      </c>
      <c r="B5216" t="inlineStr">
        <is>
          <t>KAZ</t>
        </is>
      </c>
      <c r="C5216" t="n">
        <v>1994</v>
      </c>
      <c r="D5216" t="n">
        <v>1877.37239517571</v>
      </c>
    </row>
    <row r="5217">
      <c r="A5217" t="inlineStr">
        <is>
          <t>Kazakhstan</t>
        </is>
      </c>
      <c r="B5217" t="inlineStr">
        <is>
          <t>KAZ</t>
        </is>
      </c>
      <c r="C5217" t="n">
        <v>1995</v>
      </c>
      <c r="D5217" t="n">
        <v>176.15529894237</v>
      </c>
    </row>
    <row r="5218">
      <c r="A5218" t="inlineStr">
        <is>
          <t>Kazakhstan</t>
        </is>
      </c>
      <c r="B5218" t="inlineStr">
        <is>
          <t>KAZ</t>
        </is>
      </c>
      <c r="C5218" t="n">
        <v>1996</v>
      </c>
      <c r="D5218" t="n">
        <v>39.1825423654111</v>
      </c>
    </row>
    <row r="5219">
      <c r="A5219" t="inlineStr">
        <is>
          <t>Kazakhstan</t>
        </is>
      </c>
      <c r="B5219" t="inlineStr">
        <is>
          <t>KAZ</t>
        </is>
      </c>
      <c r="C5219" t="n">
        <v>1997</v>
      </c>
      <c r="D5219" t="n">
        <v>17.4080410607357</v>
      </c>
    </row>
    <row r="5220">
      <c r="A5220" t="inlineStr">
        <is>
          <t>Kazakhstan</t>
        </is>
      </c>
      <c r="B5220" t="inlineStr">
        <is>
          <t>KAZ</t>
        </is>
      </c>
      <c r="C5220" t="n">
        <v>1998</v>
      </c>
      <c r="D5220" t="n">
        <v>7.14632665452335</v>
      </c>
    </row>
    <row r="5221">
      <c r="A5221" t="inlineStr">
        <is>
          <t>Kazakhstan</t>
        </is>
      </c>
      <c r="B5221" t="inlineStr">
        <is>
          <t>KAZ</t>
        </is>
      </c>
      <c r="C5221" t="n">
        <v>1999</v>
      </c>
      <c r="D5221" t="n">
        <v>8.29602765342565</v>
      </c>
    </row>
    <row r="5222">
      <c r="A5222" t="inlineStr">
        <is>
          <t>Kazakhstan</t>
        </is>
      </c>
      <c r="B5222" t="inlineStr">
        <is>
          <t>KAZ</t>
        </is>
      </c>
      <c r="C5222" t="n">
        <v>2000</v>
      </c>
      <c r="D5222" t="n">
        <v>13.1808905865732</v>
      </c>
    </row>
    <row r="5223">
      <c r="A5223" t="inlineStr">
        <is>
          <t>Kazakhstan</t>
        </is>
      </c>
      <c r="B5223" t="inlineStr">
        <is>
          <t>KAZ</t>
        </is>
      </c>
      <c r="C5223" t="n">
        <v>2001</v>
      </c>
      <c r="D5223" t="n">
        <v>8.354137771613379</v>
      </c>
    </row>
    <row r="5224">
      <c r="A5224" t="inlineStr">
        <is>
          <t>Kazakhstan</t>
        </is>
      </c>
      <c r="B5224" t="inlineStr">
        <is>
          <t>KAZ</t>
        </is>
      </c>
      <c r="C5224" t="n">
        <v>2002</v>
      </c>
      <c r="D5224" t="n">
        <v>5.83692452105644</v>
      </c>
    </row>
    <row r="5225">
      <c r="A5225" t="inlineStr">
        <is>
          <t>Kazakhstan</t>
        </is>
      </c>
      <c r="B5225" t="inlineStr">
        <is>
          <t>KAZ</t>
        </is>
      </c>
      <c r="C5225" t="n">
        <v>2003</v>
      </c>
      <c r="D5225" t="n">
        <v>6.43821810118941</v>
      </c>
    </row>
    <row r="5226">
      <c r="A5226" t="inlineStr">
        <is>
          <t>Kazakhstan</t>
        </is>
      </c>
      <c r="B5226" t="inlineStr">
        <is>
          <t>KAZ</t>
        </is>
      </c>
      <c r="C5226" t="n">
        <v>2004</v>
      </c>
      <c r="D5226" t="n">
        <v>6.882054389819</v>
      </c>
    </row>
    <row r="5227">
      <c r="A5227" t="inlineStr">
        <is>
          <t>Kazakhstan</t>
        </is>
      </c>
      <c r="B5227" t="inlineStr">
        <is>
          <t>KAZ</t>
        </is>
      </c>
      <c r="C5227" t="n">
        <v>2005</v>
      </c>
      <c r="D5227" t="n">
        <v>7.57999929125768</v>
      </c>
    </row>
    <row r="5228">
      <c r="A5228" t="inlineStr">
        <is>
          <t>Kazakhstan</t>
        </is>
      </c>
      <c r="B5228" t="inlineStr">
        <is>
          <t>KAZ</t>
        </is>
      </c>
      <c r="C5228" t="n">
        <v>2006</v>
      </c>
      <c r="D5228" t="n">
        <v>8.72169386091733</v>
      </c>
    </row>
    <row r="5229">
      <c r="A5229" t="inlineStr">
        <is>
          <t>Kazakhstan</t>
        </is>
      </c>
      <c r="B5229" t="inlineStr">
        <is>
          <t>KAZ</t>
        </is>
      </c>
      <c r="C5229" t="n">
        <v>2007</v>
      </c>
      <c r="D5229" t="n">
        <v>10.8468362075557</v>
      </c>
    </row>
    <row r="5230">
      <c r="A5230" t="inlineStr">
        <is>
          <t>Kazakhstan</t>
        </is>
      </c>
      <c r="B5230" t="inlineStr">
        <is>
          <t>KAZ</t>
        </is>
      </c>
      <c r="C5230" t="n">
        <v>2008</v>
      </c>
      <c r="D5230" t="n">
        <v>17.139899777207</v>
      </c>
    </row>
    <row r="5231">
      <c r="A5231" t="inlineStr">
        <is>
          <t>Kazakhstan</t>
        </is>
      </c>
      <c r="B5231" t="inlineStr">
        <is>
          <t>KAZ</t>
        </is>
      </c>
      <c r="C5231" t="n">
        <v>2009</v>
      </c>
      <c r="D5231" t="n">
        <v>7.31607858288579</v>
      </c>
    </row>
    <row r="5232">
      <c r="A5232" t="inlineStr">
        <is>
          <t>Kazakhstan</t>
        </is>
      </c>
      <c r="B5232" t="inlineStr">
        <is>
          <t>KAZ</t>
        </is>
      </c>
      <c r="C5232" t="n">
        <v>2010</v>
      </c>
      <c r="D5232" t="n">
        <v>7.40046356341398</v>
      </c>
    </row>
    <row r="5233">
      <c r="A5233" t="inlineStr">
        <is>
          <t>Kazakhstan</t>
        </is>
      </c>
      <c r="B5233" t="inlineStr">
        <is>
          <t>KAZ</t>
        </is>
      </c>
      <c r="C5233" t="n">
        <v>2011</v>
      </c>
      <c r="D5233" t="n">
        <v>8.452904661768001</v>
      </c>
    </row>
    <row r="5234">
      <c r="A5234" t="inlineStr">
        <is>
          <t>Kazakhstan</t>
        </is>
      </c>
      <c r="B5234" t="inlineStr">
        <is>
          <t>KAZ</t>
        </is>
      </c>
      <c r="C5234" t="n">
        <v>2012</v>
      </c>
      <c r="D5234" t="n">
        <v>5.19568369035072</v>
      </c>
    </row>
    <row r="5235">
      <c r="A5235" t="inlineStr">
        <is>
          <t>Kazakhstan</t>
        </is>
      </c>
      <c r="B5235" t="inlineStr">
        <is>
          <t>KAZ</t>
        </is>
      </c>
      <c r="C5235" t="n">
        <v>2013</v>
      </c>
      <c r="D5235" t="n">
        <v>5.94283871648418</v>
      </c>
    </row>
    <row r="5236">
      <c r="A5236" t="inlineStr">
        <is>
          <t>Kazakhstan</t>
        </is>
      </c>
      <c r="B5236" t="inlineStr">
        <is>
          <t>KAZ</t>
        </is>
      </c>
      <c r="C5236" t="n">
        <v>2014</v>
      </c>
      <c r="D5236" t="n">
        <v>6.84944977003349</v>
      </c>
    </row>
    <row r="5237">
      <c r="A5237" t="inlineStr">
        <is>
          <t>Kazakhstan</t>
        </is>
      </c>
      <c r="B5237" t="inlineStr">
        <is>
          <t>KAZ</t>
        </is>
      </c>
      <c r="C5237" t="n">
        <v>2015</v>
      </c>
      <c r="D5237" t="n">
        <v>6.67828585615244</v>
      </c>
    </row>
    <row r="5238">
      <c r="A5238" t="inlineStr">
        <is>
          <t>Kazakhstan</t>
        </is>
      </c>
      <c r="B5238" t="inlineStr">
        <is>
          <t>KAZ</t>
        </is>
      </c>
      <c r="C5238" t="n">
        <v>2016</v>
      </c>
      <c r="D5238" t="n">
        <v>14.3610942386247</v>
      </c>
    </row>
    <row r="5239">
      <c r="A5239" t="inlineStr">
        <is>
          <t>Kazakhstan</t>
        </is>
      </c>
      <c r="B5239" t="inlineStr">
        <is>
          <t>KAZ</t>
        </is>
      </c>
      <c r="C5239" t="n">
        <v>2017</v>
      </c>
      <c r="D5239" t="n">
        <v>7.44266321306792</v>
      </c>
    </row>
    <row r="5240">
      <c r="A5240" t="inlineStr">
        <is>
          <t>Kazakhstan</t>
        </is>
      </c>
      <c r="B5240" t="inlineStr">
        <is>
          <t>KAZ</t>
        </is>
      </c>
      <c r="C5240" t="n">
        <v>2018</v>
      </c>
      <c r="D5240" t="n">
        <v>6.16366247577751</v>
      </c>
    </row>
    <row r="5241">
      <c r="A5241" t="inlineStr">
        <is>
          <t>Kazakhstan</t>
        </is>
      </c>
      <c r="B5241" t="inlineStr">
        <is>
          <t>KAZ</t>
        </is>
      </c>
      <c r="C5241" t="n">
        <v>2019</v>
      </c>
      <c r="D5241" t="n">
        <v>5.33356098916669</v>
      </c>
    </row>
    <row r="5242">
      <c r="A5242" t="inlineStr">
        <is>
          <t>Kazakhstan</t>
        </is>
      </c>
      <c r="B5242" t="inlineStr">
        <is>
          <t>KAZ</t>
        </is>
      </c>
      <c r="C5242" t="n">
        <v>2020</v>
      </c>
      <c r="D5242" t="n">
        <v>6.71815454861464</v>
      </c>
    </row>
    <row r="5243">
      <c r="A5243" t="inlineStr">
        <is>
          <t>Kazakhstan</t>
        </is>
      </c>
      <c r="B5243" t="inlineStr">
        <is>
          <t>KAZ</t>
        </is>
      </c>
      <c r="C5243" t="n">
        <v>2021</v>
      </c>
      <c r="D5243" t="n">
        <v>8.041471340283961</v>
      </c>
    </row>
    <row r="5244">
      <c r="A5244" t="inlineStr">
        <is>
          <t>Kazakhstan</t>
        </is>
      </c>
      <c r="B5244" t="inlineStr">
        <is>
          <t>KAZ</t>
        </is>
      </c>
      <c r="C5244" t="n">
        <v>2022</v>
      </c>
      <c r="D5244" t="n">
        <v>15.0278644440851</v>
      </c>
    </row>
    <row r="5245">
      <c r="A5245" t="inlineStr">
        <is>
          <t>Kazakhstan</t>
        </is>
      </c>
      <c r="B5245" t="inlineStr">
        <is>
          <t>KAZ</t>
        </is>
      </c>
      <c r="C5245" t="n">
        <v>2023</v>
      </c>
      <c r="D5245" t="n">
        <v>14.7249900200331</v>
      </c>
    </row>
    <row r="5246">
      <c r="A5246" t="inlineStr">
        <is>
          <t>Kazakhstan</t>
        </is>
      </c>
      <c r="B5246" t="inlineStr">
        <is>
          <t>KAZ</t>
        </is>
      </c>
      <c r="C5246" t="n">
        <v>2024</v>
      </c>
      <c r="D5246" t="n">
        <v>4.85655589318192</v>
      </c>
    </row>
    <row r="5247">
      <c r="A5247" t="inlineStr">
        <is>
          <t>Kenya</t>
        </is>
      </c>
      <c r="B5247" t="inlineStr">
        <is>
          <t>KEN</t>
        </is>
      </c>
      <c r="C5247" t="n">
        <v>1960</v>
      </c>
      <c r="D5247" t="n">
        <v>1.24378109452731</v>
      </c>
    </row>
    <row r="5248">
      <c r="A5248" t="inlineStr">
        <is>
          <t>Kenya</t>
        </is>
      </c>
      <c r="B5248" t="inlineStr">
        <is>
          <t>KEN</t>
        </is>
      </c>
      <c r="C5248" t="n">
        <v>1961</v>
      </c>
      <c r="D5248" t="n">
        <v>2.45700245700254</v>
      </c>
    </row>
    <row r="5249">
      <c r="A5249" t="inlineStr">
        <is>
          <t>Kenya</t>
        </is>
      </c>
      <c r="B5249" t="inlineStr">
        <is>
          <t>KEN</t>
        </is>
      </c>
      <c r="C5249" t="n">
        <v>1962</v>
      </c>
      <c r="D5249" t="n">
        <v>3.11750599520378</v>
      </c>
    </row>
    <row r="5250">
      <c r="A5250" t="inlineStr">
        <is>
          <t>Kenya</t>
        </is>
      </c>
      <c r="B5250" t="inlineStr">
        <is>
          <t>KEN</t>
        </is>
      </c>
      <c r="C5250" t="n">
        <v>1963</v>
      </c>
      <c r="D5250" t="n">
        <v>0.697674418604589</v>
      </c>
    </row>
    <row r="5251">
      <c r="A5251" t="inlineStr">
        <is>
          <t>Kenya</t>
        </is>
      </c>
      <c r="B5251" t="inlineStr">
        <is>
          <t>KEN</t>
        </is>
      </c>
      <c r="C5251" t="n">
        <v>1964</v>
      </c>
      <c r="D5251" t="n">
        <v>-0.0993048669314341</v>
      </c>
    </row>
    <row r="5252">
      <c r="A5252" t="inlineStr">
        <is>
          <t>Kenya</t>
        </is>
      </c>
      <c r="B5252" t="inlineStr">
        <is>
          <t>KEN</t>
        </is>
      </c>
      <c r="C5252" t="n">
        <v>1965</v>
      </c>
      <c r="D5252" t="n">
        <v>3.57852882806742</v>
      </c>
    </row>
    <row r="5253">
      <c r="A5253" t="inlineStr">
        <is>
          <t>Kenya</t>
        </is>
      </c>
      <c r="B5253" t="inlineStr">
        <is>
          <t>KEN</t>
        </is>
      </c>
      <c r="C5253" t="n">
        <v>1966</v>
      </c>
      <c r="D5253" t="n">
        <v>5.01439539323414</v>
      </c>
    </row>
    <row r="5254">
      <c r="A5254" t="inlineStr">
        <is>
          <t>Kenya</t>
        </is>
      </c>
      <c r="B5254" t="inlineStr">
        <is>
          <t>KEN</t>
        </is>
      </c>
      <c r="C5254" t="n">
        <v>1967</v>
      </c>
      <c r="D5254" t="n">
        <v>1.75919579598299</v>
      </c>
    </row>
    <row r="5255">
      <c r="A5255" t="inlineStr">
        <is>
          <t>Kenya</t>
        </is>
      </c>
      <c r="B5255" t="inlineStr">
        <is>
          <t>KEN</t>
        </is>
      </c>
      <c r="C5255" t="n">
        <v>1968</v>
      </c>
      <c r="D5255" t="n">
        <v>0.366711570051019</v>
      </c>
    </row>
    <row r="5256">
      <c r="A5256" t="inlineStr">
        <is>
          <t>Kenya</t>
        </is>
      </c>
      <c r="B5256" t="inlineStr">
        <is>
          <t>KEN</t>
        </is>
      </c>
      <c r="C5256" t="n">
        <v>1969</v>
      </c>
      <c r="D5256" t="n">
        <v>-0.17150100656233</v>
      </c>
    </row>
    <row r="5257">
      <c r="A5257" t="inlineStr">
        <is>
          <t>Kenya</t>
        </is>
      </c>
      <c r="B5257" t="inlineStr">
        <is>
          <t>KEN</t>
        </is>
      </c>
      <c r="C5257" t="n">
        <v>1970</v>
      </c>
      <c r="D5257" t="n">
        <v>2.18852703907439</v>
      </c>
    </row>
    <row r="5258">
      <c r="A5258" t="inlineStr">
        <is>
          <t>Kenya</t>
        </is>
      </c>
      <c r="B5258" t="inlineStr">
        <is>
          <t>KEN</t>
        </is>
      </c>
      <c r="C5258" t="n">
        <v>1971</v>
      </c>
      <c r="D5258" t="n">
        <v>3.78020612544907</v>
      </c>
    </row>
    <row r="5259">
      <c r="A5259" t="inlineStr">
        <is>
          <t>Kenya</t>
        </is>
      </c>
      <c r="B5259" t="inlineStr">
        <is>
          <t>KEN</t>
        </is>
      </c>
      <c r="C5259" t="n">
        <v>1972</v>
      </c>
      <c r="D5259" t="n">
        <v>5.83164474311005</v>
      </c>
    </row>
    <row r="5260">
      <c r="A5260" t="inlineStr">
        <is>
          <t>Kenya</t>
        </is>
      </c>
      <c r="B5260" t="inlineStr">
        <is>
          <t>KEN</t>
        </is>
      </c>
      <c r="C5260" t="n">
        <v>1973</v>
      </c>
      <c r="D5260" t="n">
        <v>9.28119422332106</v>
      </c>
    </row>
    <row r="5261">
      <c r="A5261" t="inlineStr">
        <is>
          <t>Kenya</t>
        </is>
      </c>
      <c r="B5261" t="inlineStr">
        <is>
          <t>KEN</t>
        </is>
      </c>
      <c r="C5261" t="n">
        <v>1974</v>
      </c>
      <c r="D5261" t="n">
        <v>17.8099480331818</v>
      </c>
    </row>
    <row r="5262">
      <c r="A5262" t="inlineStr">
        <is>
          <t>Kenya</t>
        </is>
      </c>
      <c r="B5262" t="inlineStr">
        <is>
          <t>KEN</t>
        </is>
      </c>
      <c r="C5262" t="n">
        <v>1975</v>
      </c>
      <c r="D5262" t="n">
        <v>19.1201840136051</v>
      </c>
    </row>
    <row r="5263">
      <c r="A5263" t="inlineStr">
        <is>
          <t>Kenya</t>
        </is>
      </c>
      <c r="B5263" t="inlineStr">
        <is>
          <t>KEN</t>
        </is>
      </c>
      <c r="C5263" t="n">
        <v>1976</v>
      </c>
      <c r="D5263" t="n">
        <v>11.4490304932756</v>
      </c>
    </row>
    <row r="5264">
      <c r="A5264" t="inlineStr">
        <is>
          <t>Kenya</t>
        </is>
      </c>
      <c r="B5264" t="inlineStr">
        <is>
          <t>KEN</t>
        </is>
      </c>
      <c r="C5264" t="n">
        <v>1977</v>
      </c>
      <c r="D5264" t="n">
        <v>14.8209644818935</v>
      </c>
    </row>
    <row r="5265">
      <c r="A5265" t="inlineStr">
        <is>
          <t>Kenya</t>
        </is>
      </c>
      <c r="B5265" t="inlineStr">
        <is>
          <t>KEN</t>
        </is>
      </c>
      <c r="C5265" t="n">
        <v>1978</v>
      </c>
      <c r="D5265" t="n">
        <v>16.9317824582842</v>
      </c>
    </row>
    <row r="5266">
      <c r="A5266" t="inlineStr">
        <is>
          <t>Kenya</t>
        </is>
      </c>
      <c r="B5266" t="inlineStr">
        <is>
          <t>KEN</t>
        </is>
      </c>
      <c r="C5266" t="n">
        <v>1979</v>
      </c>
      <c r="D5266" t="n">
        <v>7.97935261848786</v>
      </c>
    </row>
    <row r="5267">
      <c r="A5267" t="inlineStr">
        <is>
          <t>Kenya</t>
        </is>
      </c>
      <c r="B5267" t="inlineStr">
        <is>
          <t>KEN</t>
        </is>
      </c>
      <c r="C5267" t="n">
        <v>1980</v>
      </c>
      <c r="D5267" t="n">
        <v>13.8581814562484</v>
      </c>
    </row>
    <row r="5268">
      <c r="A5268" t="inlineStr">
        <is>
          <t>Kenya</t>
        </is>
      </c>
      <c r="B5268" t="inlineStr">
        <is>
          <t>KEN</t>
        </is>
      </c>
      <c r="C5268" t="n">
        <v>1981</v>
      </c>
      <c r="D5268" t="n">
        <v>11.6030534351142</v>
      </c>
    </row>
    <row r="5269">
      <c r="A5269" t="inlineStr">
        <is>
          <t>Kenya</t>
        </is>
      </c>
      <c r="B5269" t="inlineStr">
        <is>
          <t>KEN</t>
        </is>
      </c>
      <c r="C5269" t="n">
        <v>1982</v>
      </c>
      <c r="D5269" t="n">
        <v>20.6667146662827</v>
      </c>
    </row>
    <row r="5270">
      <c r="A5270" t="inlineStr">
        <is>
          <t>Kenya</t>
        </is>
      </c>
      <c r="B5270" t="inlineStr">
        <is>
          <t>KEN</t>
        </is>
      </c>
      <c r="C5270" t="n">
        <v>1983</v>
      </c>
      <c r="D5270" t="n">
        <v>11.3977827368523</v>
      </c>
    </row>
    <row r="5271">
      <c r="A5271" t="inlineStr">
        <is>
          <t>Kenya</t>
        </is>
      </c>
      <c r="B5271" t="inlineStr">
        <is>
          <t>KEN</t>
        </is>
      </c>
      <c r="C5271" t="n">
        <v>1984</v>
      </c>
      <c r="D5271" t="n">
        <v>10.284098213138</v>
      </c>
    </row>
    <row r="5272">
      <c r="A5272" t="inlineStr">
        <is>
          <t>Kenya</t>
        </is>
      </c>
      <c r="B5272" t="inlineStr">
        <is>
          <t>KEN</t>
        </is>
      </c>
      <c r="C5272" t="n">
        <v>1985</v>
      </c>
      <c r="D5272" t="n">
        <v>13.0065664218827</v>
      </c>
    </row>
    <row r="5273">
      <c r="A5273" t="inlineStr">
        <is>
          <t>Kenya</t>
        </is>
      </c>
      <c r="B5273" t="inlineStr">
        <is>
          <t>KEN</t>
        </is>
      </c>
      <c r="C5273" t="n">
        <v>1986</v>
      </c>
      <c r="D5273" t="n">
        <v>2.53427598892888</v>
      </c>
    </row>
    <row r="5274">
      <c r="A5274" t="inlineStr">
        <is>
          <t>Kenya</t>
        </is>
      </c>
      <c r="B5274" t="inlineStr">
        <is>
          <t>KEN</t>
        </is>
      </c>
      <c r="C5274" t="n">
        <v>1987</v>
      </c>
      <c r="D5274" t="n">
        <v>8.637673189800839</v>
      </c>
    </row>
    <row r="5275">
      <c r="A5275" t="inlineStr">
        <is>
          <t>Kenya</t>
        </is>
      </c>
      <c r="B5275" t="inlineStr">
        <is>
          <t>KEN</t>
        </is>
      </c>
      <c r="C5275" t="n">
        <v>1988</v>
      </c>
      <c r="D5275" t="n">
        <v>12.2649630481582</v>
      </c>
    </row>
    <row r="5276">
      <c r="A5276" t="inlineStr">
        <is>
          <t>Kenya</t>
        </is>
      </c>
      <c r="B5276" t="inlineStr">
        <is>
          <t>KEN</t>
        </is>
      </c>
      <c r="C5276" t="n">
        <v>1989</v>
      </c>
      <c r="D5276" t="n">
        <v>13.7893172763883</v>
      </c>
    </row>
    <row r="5277">
      <c r="A5277" t="inlineStr">
        <is>
          <t>Kenya</t>
        </is>
      </c>
      <c r="B5277" t="inlineStr">
        <is>
          <t>KEN</t>
        </is>
      </c>
      <c r="C5277" t="n">
        <v>1990</v>
      </c>
      <c r="D5277" t="n">
        <v>17.78181442992</v>
      </c>
    </row>
    <row r="5278">
      <c r="A5278" t="inlineStr">
        <is>
          <t>Kenya</t>
        </is>
      </c>
      <c r="B5278" t="inlineStr">
        <is>
          <t>KEN</t>
        </is>
      </c>
      <c r="C5278" t="n">
        <v>1991</v>
      </c>
      <c r="D5278" t="n">
        <v>20.0844955754632</v>
      </c>
    </row>
    <row r="5279">
      <c r="A5279" t="inlineStr">
        <is>
          <t>Kenya</t>
        </is>
      </c>
      <c r="B5279" t="inlineStr">
        <is>
          <t>KEN</t>
        </is>
      </c>
      <c r="C5279" t="n">
        <v>1992</v>
      </c>
      <c r="D5279" t="n">
        <v>27.3323644475784</v>
      </c>
    </row>
    <row r="5280">
      <c r="A5280" t="inlineStr">
        <is>
          <t>Kenya</t>
        </is>
      </c>
      <c r="B5280" t="inlineStr">
        <is>
          <t>KEN</t>
        </is>
      </c>
      <c r="C5280" t="n">
        <v>1993</v>
      </c>
      <c r="D5280" t="n">
        <v>45.9788813036218</v>
      </c>
    </row>
    <row r="5281">
      <c r="A5281" t="inlineStr">
        <is>
          <t>Kenya</t>
        </is>
      </c>
      <c r="B5281" t="inlineStr">
        <is>
          <t>KEN</t>
        </is>
      </c>
      <c r="C5281" t="n">
        <v>1994</v>
      </c>
      <c r="D5281" t="n">
        <v>28.8143894306731</v>
      </c>
    </row>
    <row r="5282">
      <c r="A5282" t="inlineStr">
        <is>
          <t>Kenya</t>
        </is>
      </c>
      <c r="B5282" t="inlineStr">
        <is>
          <t>KEN</t>
        </is>
      </c>
      <c r="C5282" t="n">
        <v>1995</v>
      </c>
      <c r="D5282" t="n">
        <v>1.55432816055009</v>
      </c>
    </row>
    <row r="5283">
      <c r="A5283" t="inlineStr">
        <is>
          <t>Kenya</t>
        </is>
      </c>
      <c r="B5283" t="inlineStr">
        <is>
          <t>KEN</t>
        </is>
      </c>
      <c r="C5283" t="n">
        <v>1996</v>
      </c>
      <c r="D5283" t="n">
        <v>8.86408741577522</v>
      </c>
    </row>
    <row r="5284">
      <c r="A5284" t="inlineStr">
        <is>
          <t>Kenya</t>
        </is>
      </c>
      <c r="B5284" t="inlineStr">
        <is>
          <t>KEN</t>
        </is>
      </c>
      <c r="C5284" t="n">
        <v>1997</v>
      </c>
      <c r="D5284" t="n">
        <v>11.3618450505783</v>
      </c>
    </row>
    <row r="5285">
      <c r="A5285" t="inlineStr">
        <is>
          <t>Kenya</t>
        </is>
      </c>
      <c r="B5285" t="inlineStr">
        <is>
          <t>KEN</t>
        </is>
      </c>
      <c r="C5285" t="n">
        <v>1998</v>
      </c>
      <c r="D5285" t="n">
        <v>6.72243650753928</v>
      </c>
    </row>
    <row r="5286">
      <c r="A5286" t="inlineStr">
        <is>
          <t>Kenya</t>
        </is>
      </c>
      <c r="B5286" t="inlineStr">
        <is>
          <t>KEN</t>
        </is>
      </c>
      <c r="C5286" t="n">
        <v>1999</v>
      </c>
      <c r="D5286" t="n">
        <v>5.74200109520484</v>
      </c>
    </row>
    <row r="5287">
      <c r="A5287" t="inlineStr">
        <is>
          <t>Kenya</t>
        </is>
      </c>
      <c r="B5287" t="inlineStr">
        <is>
          <t>KEN</t>
        </is>
      </c>
      <c r="C5287" t="n">
        <v>2000</v>
      </c>
      <c r="D5287" t="n">
        <v>9.980025153509789</v>
      </c>
    </row>
    <row r="5288">
      <c r="A5288" t="inlineStr">
        <is>
          <t>Kenya</t>
        </is>
      </c>
      <c r="B5288" t="inlineStr">
        <is>
          <t>KEN</t>
        </is>
      </c>
      <c r="C5288" t="n">
        <v>2001</v>
      </c>
      <c r="D5288" t="n">
        <v>5.73859814341467</v>
      </c>
    </row>
    <row r="5289">
      <c r="A5289" t="inlineStr">
        <is>
          <t>Kenya</t>
        </is>
      </c>
      <c r="B5289" t="inlineStr">
        <is>
          <t>KEN</t>
        </is>
      </c>
      <c r="C5289" t="n">
        <v>2002</v>
      </c>
      <c r="D5289" t="n">
        <v>1.96130821739162</v>
      </c>
    </row>
    <row r="5290">
      <c r="A5290" t="inlineStr">
        <is>
          <t>Kenya</t>
        </is>
      </c>
      <c r="B5290" t="inlineStr">
        <is>
          <t>KEN</t>
        </is>
      </c>
      <c r="C5290" t="n">
        <v>2003</v>
      </c>
      <c r="D5290" t="n">
        <v>9.81569062979654</v>
      </c>
    </row>
    <row r="5291">
      <c r="A5291" t="inlineStr">
        <is>
          <t>Kenya</t>
        </is>
      </c>
      <c r="B5291" t="inlineStr">
        <is>
          <t>KEN</t>
        </is>
      </c>
      <c r="C5291" t="n">
        <v>2004</v>
      </c>
      <c r="D5291" t="n">
        <v>11.6240355442426</v>
      </c>
    </row>
    <row r="5292">
      <c r="A5292" t="inlineStr">
        <is>
          <t>Kenya</t>
        </is>
      </c>
      <c r="B5292" t="inlineStr">
        <is>
          <t>KEN</t>
        </is>
      </c>
      <c r="C5292" t="n">
        <v>2005</v>
      </c>
      <c r="D5292" t="n">
        <v>10.3127783574683</v>
      </c>
    </row>
    <row r="5293">
      <c r="A5293" t="inlineStr">
        <is>
          <t>Kenya</t>
        </is>
      </c>
      <c r="B5293" t="inlineStr">
        <is>
          <t>KEN</t>
        </is>
      </c>
      <c r="C5293" t="n">
        <v>2006</v>
      </c>
      <c r="D5293" t="n">
        <v>14.4537342081708</v>
      </c>
    </row>
    <row r="5294">
      <c r="A5294" t="inlineStr">
        <is>
          <t>Kenya</t>
        </is>
      </c>
      <c r="B5294" t="inlineStr">
        <is>
          <t>KEN</t>
        </is>
      </c>
      <c r="C5294" t="n">
        <v>2007</v>
      </c>
      <c r="D5294" t="n">
        <v>9.75888023027529</v>
      </c>
    </row>
    <row r="5295">
      <c r="A5295" t="inlineStr">
        <is>
          <t>Kenya</t>
        </is>
      </c>
      <c r="B5295" t="inlineStr">
        <is>
          <t>KEN</t>
        </is>
      </c>
      <c r="C5295" t="n">
        <v>2008</v>
      </c>
      <c r="D5295" t="n">
        <v>26.2398166445063</v>
      </c>
    </row>
    <row r="5296">
      <c r="A5296" t="inlineStr">
        <is>
          <t>Kenya</t>
        </is>
      </c>
      <c r="B5296" t="inlineStr">
        <is>
          <t>KEN</t>
        </is>
      </c>
      <c r="C5296" t="n">
        <v>2009</v>
      </c>
      <c r="D5296" t="n">
        <v>9.23412592394652</v>
      </c>
    </row>
    <row r="5297">
      <c r="A5297" t="inlineStr">
        <is>
          <t>Kenya</t>
        </is>
      </c>
      <c r="B5297" t="inlineStr">
        <is>
          <t>KEN</t>
        </is>
      </c>
      <c r="C5297" t="n">
        <v>2010</v>
      </c>
      <c r="D5297" t="n">
        <v>3.96138889115385</v>
      </c>
    </row>
    <row r="5298">
      <c r="A5298" t="inlineStr">
        <is>
          <t>Kenya</t>
        </is>
      </c>
      <c r="B5298" t="inlineStr">
        <is>
          <t>KEN</t>
        </is>
      </c>
      <c r="C5298" t="n">
        <v>2011</v>
      </c>
      <c r="D5298" t="n">
        <v>14.0224913014704</v>
      </c>
    </row>
    <row r="5299">
      <c r="A5299" t="inlineStr">
        <is>
          <t>Kenya</t>
        </is>
      </c>
      <c r="B5299" t="inlineStr">
        <is>
          <t>KEN</t>
        </is>
      </c>
      <c r="C5299" t="n">
        <v>2012</v>
      </c>
      <c r="D5299" t="n">
        <v>9.377770035475979</v>
      </c>
    </row>
    <row r="5300">
      <c r="A5300" t="inlineStr">
        <is>
          <t>Kenya</t>
        </is>
      </c>
      <c r="B5300" t="inlineStr">
        <is>
          <t>KEN</t>
        </is>
      </c>
      <c r="C5300" t="n">
        <v>2013</v>
      </c>
      <c r="D5300" t="n">
        <v>5.71749357037733</v>
      </c>
    </row>
    <row r="5301">
      <c r="A5301" t="inlineStr">
        <is>
          <t>Kenya</t>
        </is>
      </c>
      <c r="B5301" t="inlineStr">
        <is>
          <t>KEN</t>
        </is>
      </c>
      <c r="C5301" t="n">
        <v>2014</v>
      </c>
      <c r="D5301" t="n">
        <v>6.87815499275949</v>
      </c>
    </row>
    <row r="5302">
      <c r="A5302" t="inlineStr">
        <is>
          <t>Kenya</t>
        </is>
      </c>
      <c r="B5302" t="inlineStr">
        <is>
          <t>KEN</t>
        </is>
      </c>
      <c r="C5302" t="n">
        <v>2015</v>
      </c>
      <c r="D5302" t="n">
        <v>6.58215429284779</v>
      </c>
    </row>
    <row r="5303">
      <c r="A5303" t="inlineStr">
        <is>
          <t>Kenya</t>
        </is>
      </c>
      <c r="B5303" t="inlineStr">
        <is>
          <t>KEN</t>
        </is>
      </c>
      <c r="C5303" t="n">
        <v>2016</v>
      </c>
      <c r="D5303" t="n">
        <v>6.29724953814625</v>
      </c>
    </row>
    <row r="5304">
      <c r="A5304" t="inlineStr">
        <is>
          <t>Kenya</t>
        </is>
      </c>
      <c r="B5304" t="inlineStr">
        <is>
          <t>KEN</t>
        </is>
      </c>
      <c r="C5304" t="n">
        <v>2017</v>
      </c>
      <c r="D5304" t="n">
        <v>8.00564967709945</v>
      </c>
    </row>
    <row r="5305">
      <c r="A5305" t="inlineStr">
        <is>
          <t>Kenya</t>
        </is>
      </c>
      <c r="B5305" t="inlineStr">
        <is>
          <t>KEN</t>
        </is>
      </c>
      <c r="C5305" t="n">
        <v>2018</v>
      </c>
      <c r="D5305" t="n">
        <v>4.6898064677633</v>
      </c>
    </row>
    <row r="5306">
      <c r="A5306" t="inlineStr">
        <is>
          <t>Kenya</t>
        </is>
      </c>
      <c r="B5306" t="inlineStr">
        <is>
          <t>KEN</t>
        </is>
      </c>
      <c r="C5306" t="n">
        <v>2019</v>
      </c>
      <c r="D5306" t="n">
        <v>5.23963795764792</v>
      </c>
    </row>
    <row r="5307">
      <c r="A5307" t="inlineStr">
        <is>
          <t>Kenya</t>
        </is>
      </c>
      <c r="B5307" t="inlineStr">
        <is>
          <t>KEN</t>
        </is>
      </c>
      <c r="C5307" t="n">
        <v>2020</v>
      </c>
      <c r="D5307" t="n">
        <v>5.40516207933392</v>
      </c>
    </row>
    <row r="5308">
      <c r="A5308" t="inlineStr">
        <is>
          <t>Kenya</t>
        </is>
      </c>
      <c r="B5308" t="inlineStr">
        <is>
          <t>KEN</t>
        </is>
      </c>
      <c r="C5308" t="n">
        <v>2021</v>
      </c>
      <c r="D5308" t="n">
        <v>6.10793603659176</v>
      </c>
    </row>
    <row r="5309">
      <c r="A5309" t="inlineStr">
        <is>
          <t>Kenya</t>
        </is>
      </c>
      <c r="B5309" t="inlineStr">
        <is>
          <t>KEN</t>
        </is>
      </c>
      <c r="C5309" t="n">
        <v>2022</v>
      </c>
      <c r="D5309" t="n">
        <v>7.65986268272224</v>
      </c>
    </row>
    <row r="5310">
      <c r="A5310" t="inlineStr">
        <is>
          <t>Kenya</t>
        </is>
      </c>
      <c r="B5310" t="inlineStr">
        <is>
          <t>KEN</t>
        </is>
      </c>
      <c r="C5310" t="n">
        <v>2023</v>
      </c>
      <c r="D5310" t="n">
        <v>7.67139634029402</v>
      </c>
    </row>
    <row r="5311">
      <c r="A5311" t="inlineStr">
        <is>
          <t>Kenya</t>
        </is>
      </c>
      <c r="B5311" t="inlineStr">
        <is>
          <t>KEN</t>
        </is>
      </c>
      <c r="C5311" t="n">
        <v>2024</v>
      </c>
      <c r="D5311" t="n">
        <v>4.48978854243448</v>
      </c>
    </row>
    <row r="5312">
      <c r="A5312" t="inlineStr">
        <is>
          <t>Kyrgyz Republic</t>
        </is>
      </c>
      <c r="B5312" t="inlineStr">
        <is>
          <t>KGZ</t>
        </is>
      </c>
      <c r="C5312" t="n">
        <v>1996</v>
      </c>
      <c r="D5312" t="n">
        <v>31.9473377218567</v>
      </c>
    </row>
    <row r="5313">
      <c r="A5313" t="inlineStr">
        <is>
          <t>Kyrgyz Republic</t>
        </is>
      </c>
      <c r="B5313" t="inlineStr">
        <is>
          <t>KGZ</t>
        </is>
      </c>
      <c r="C5313" t="n">
        <v>1997</v>
      </c>
      <c r="D5313" t="n">
        <v>23.4354278497005</v>
      </c>
    </row>
    <row r="5314">
      <c r="A5314" t="inlineStr">
        <is>
          <t>Kyrgyz Republic</t>
        </is>
      </c>
      <c r="B5314" t="inlineStr">
        <is>
          <t>KGZ</t>
        </is>
      </c>
      <c r="C5314" t="n">
        <v>1998</v>
      </c>
      <c r="D5314" t="n">
        <v>10.4573825846721</v>
      </c>
    </row>
    <row r="5315">
      <c r="A5315" t="inlineStr">
        <is>
          <t>Kyrgyz Republic</t>
        </is>
      </c>
      <c r="B5315" t="inlineStr">
        <is>
          <t>KGZ</t>
        </is>
      </c>
      <c r="C5315" t="n">
        <v>1999</v>
      </c>
      <c r="D5315" t="n">
        <v>37.0309258369344</v>
      </c>
    </row>
    <row r="5316">
      <c r="A5316" t="inlineStr">
        <is>
          <t>Kyrgyz Republic</t>
        </is>
      </c>
      <c r="B5316" t="inlineStr">
        <is>
          <t>KGZ</t>
        </is>
      </c>
      <c r="C5316" t="n">
        <v>2000</v>
      </c>
      <c r="D5316" t="n">
        <v>18.7007342838023</v>
      </c>
    </row>
    <row r="5317">
      <c r="A5317" t="inlineStr">
        <is>
          <t>Kyrgyz Republic</t>
        </is>
      </c>
      <c r="B5317" t="inlineStr">
        <is>
          <t>KGZ</t>
        </is>
      </c>
      <c r="C5317" t="n">
        <v>2001</v>
      </c>
      <c r="D5317" t="n">
        <v>6.9196798942304</v>
      </c>
    </row>
    <row r="5318">
      <c r="A5318" t="inlineStr">
        <is>
          <t>Kyrgyz Republic</t>
        </is>
      </c>
      <c r="B5318" t="inlineStr">
        <is>
          <t>KGZ</t>
        </is>
      </c>
      <c r="C5318" t="n">
        <v>2002</v>
      </c>
      <c r="D5318" t="n">
        <v>2.13420986310243</v>
      </c>
    </row>
    <row r="5319">
      <c r="A5319" t="inlineStr">
        <is>
          <t>Kyrgyz Republic</t>
        </is>
      </c>
      <c r="B5319" t="inlineStr">
        <is>
          <t>KGZ</t>
        </is>
      </c>
      <c r="C5319" t="n">
        <v>2003</v>
      </c>
      <c r="D5319" t="n">
        <v>2.97461295184355</v>
      </c>
    </row>
    <row r="5320">
      <c r="A5320" t="inlineStr">
        <is>
          <t>Kyrgyz Republic</t>
        </is>
      </c>
      <c r="B5320" t="inlineStr">
        <is>
          <t>KGZ</t>
        </is>
      </c>
      <c r="C5320" t="n">
        <v>2004</v>
      </c>
      <c r="D5320" t="n">
        <v>4.11065084723381</v>
      </c>
    </row>
    <row r="5321">
      <c r="A5321" t="inlineStr">
        <is>
          <t>Kyrgyz Republic</t>
        </is>
      </c>
      <c r="B5321" t="inlineStr">
        <is>
          <t>KGZ</t>
        </is>
      </c>
      <c r="C5321" t="n">
        <v>2005</v>
      </c>
      <c r="D5321" t="n">
        <v>4.3386739184431</v>
      </c>
    </row>
    <row r="5322">
      <c r="A5322" t="inlineStr">
        <is>
          <t>Kyrgyz Republic</t>
        </is>
      </c>
      <c r="B5322" t="inlineStr">
        <is>
          <t>KGZ</t>
        </is>
      </c>
      <c r="C5322" t="n">
        <v>2006</v>
      </c>
      <c r="D5322" t="n">
        <v>5.55212333162542</v>
      </c>
    </row>
    <row r="5323">
      <c r="A5323" t="inlineStr">
        <is>
          <t>Kyrgyz Republic</t>
        </is>
      </c>
      <c r="B5323" t="inlineStr">
        <is>
          <t>KGZ</t>
        </is>
      </c>
      <c r="C5323" t="n">
        <v>2007</v>
      </c>
      <c r="D5323" t="n">
        <v>10.2301032660484</v>
      </c>
    </row>
    <row r="5324">
      <c r="A5324" t="inlineStr">
        <is>
          <t>Kyrgyz Republic</t>
        </is>
      </c>
      <c r="B5324" t="inlineStr">
        <is>
          <t>KGZ</t>
        </is>
      </c>
      <c r="C5324" t="n">
        <v>2008</v>
      </c>
      <c r="D5324" t="n">
        <v>24.5201024234102</v>
      </c>
    </row>
    <row r="5325">
      <c r="A5325" t="inlineStr">
        <is>
          <t>Kyrgyz Republic</t>
        </is>
      </c>
      <c r="B5325" t="inlineStr">
        <is>
          <t>KGZ</t>
        </is>
      </c>
      <c r="C5325" t="n">
        <v>2009</v>
      </c>
      <c r="D5325" t="n">
        <v>6.83656248105368</v>
      </c>
    </row>
    <row r="5326">
      <c r="A5326" t="inlineStr">
        <is>
          <t>Kyrgyz Republic</t>
        </is>
      </c>
      <c r="B5326" t="inlineStr">
        <is>
          <t>KGZ</t>
        </is>
      </c>
      <c r="C5326" t="n">
        <v>2010</v>
      </c>
      <c r="D5326" t="n">
        <v>7.96772225579684</v>
      </c>
    </row>
    <row r="5327">
      <c r="A5327" t="inlineStr">
        <is>
          <t>Kyrgyz Republic</t>
        </is>
      </c>
      <c r="B5327" t="inlineStr">
        <is>
          <t>KGZ</t>
        </is>
      </c>
      <c r="C5327" t="n">
        <v>2011</v>
      </c>
      <c r="D5327" t="n">
        <v>16.6363262731495</v>
      </c>
    </row>
    <row r="5328">
      <c r="A5328" t="inlineStr">
        <is>
          <t>Kyrgyz Republic</t>
        </is>
      </c>
      <c r="B5328" t="inlineStr">
        <is>
          <t>KGZ</t>
        </is>
      </c>
      <c r="C5328" t="n">
        <v>2012</v>
      </c>
      <c r="D5328" t="n">
        <v>2.76844236540957</v>
      </c>
    </row>
    <row r="5329">
      <c r="A5329" t="inlineStr">
        <is>
          <t>Kyrgyz Republic</t>
        </is>
      </c>
      <c r="B5329" t="inlineStr">
        <is>
          <t>KGZ</t>
        </is>
      </c>
      <c r="C5329" t="n">
        <v>2013</v>
      </c>
      <c r="D5329" t="n">
        <v>6.61375202358082</v>
      </c>
    </row>
    <row r="5330">
      <c r="A5330" t="inlineStr">
        <is>
          <t>Kyrgyz Republic</t>
        </is>
      </c>
      <c r="B5330" t="inlineStr">
        <is>
          <t>KGZ</t>
        </is>
      </c>
      <c r="C5330" t="n">
        <v>2014</v>
      </c>
      <c r="D5330" t="n">
        <v>7.5342472977589</v>
      </c>
    </row>
    <row r="5331">
      <c r="A5331" t="inlineStr">
        <is>
          <t>Kyrgyz Republic</t>
        </is>
      </c>
      <c r="B5331" t="inlineStr">
        <is>
          <t>KGZ</t>
        </is>
      </c>
      <c r="C5331" t="n">
        <v>2015</v>
      </c>
      <c r="D5331" t="n">
        <v>6.50331838993384</v>
      </c>
    </row>
    <row r="5332">
      <c r="A5332" t="inlineStr">
        <is>
          <t>Kyrgyz Republic</t>
        </is>
      </c>
      <c r="B5332" t="inlineStr">
        <is>
          <t>KGZ</t>
        </is>
      </c>
      <c r="C5332" t="n">
        <v>2016</v>
      </c>
      <c r="D5332" t="n">
        <v>0.388838296895799</v>
      </c>
    </row>
    <row r="5333">
      <c r="A5333" t="inlineStr">
        <is>
          <t>Kyrgyz Republic</t>
        </is>
      </c>
      <c r="B5333" t="inlineStr">
        <is>
          <t>KGZ</t>
        </is>
      </c>
      <c r="C5333" t="n">
        <v>2017</v>
      </c>
      <c r="D5333" t="n">
        <v>3.1753098637994</v>
      </c>
    </row>
    <row r="5334">
      <c r="A5334" t="inlineStr">
        <is>
          <t>Kyrgyz Republic</t>
        </is>
      </c>
      <c r="B5334" t="inlineStr">
        <is>
          <t>KGZ</t>
        </is>
      </c>
      <c r="C5334" t="n">
        <v>2018</v>
      </c>
      <c r="D5334" t="n">
        <v>1.54266145238436</v>
      </c>
    </row>
    <row r="5335">
      <c r="A5335" t="inlineStr">
        <is>
          <t>Kyrgyz Republic</t>
        </is>
      </c>
      <c r="B5335" t="inlineStr">
        <is>
          <t>KGZ</t>
        </is>
      </c>
      <c r="C5335" t="n">
        <v>2019</v>
      </c>
      <c r="D5335" t="n">
        <v>1.13362257718804</v>
      </c>
    </row>
    <row r="5336">
      <c r="A5336" t="inlineStr">
        <is>
          <t>Kyrgyz Republic</t>
        </is>
      </c>
      <c r="B5336" t="inlineStr">
        <is>
          <t>KGZ</t>
        </is>
      </c>
      <c r="C5336" t="n">
        <v>2020</v>
      </c>
      <c r="D5336" t="n">
        <v>6.32542296338078</v>
      </c>
    </row>
    <row r="5337">
      <c r="A5337" t="inlineStr">
        <is>
          <t>Kyrgyz Republic</t>
        </is>
      </c>
      <c r="B5337" t="inlineStr">
        <is>
          <t>KGZ</t>
        </is>
      </c>
      <c r="C5337" t="n">
        <v>2021</v>
      </c>
      <c r="D5337" t="n">
        <v>11.9050398185147</v>
      </c>
    </row>
    <row r="5338">
      <c r="A5338" t="inlineStr">
        <is>
          <t>Kyrgyz Republic</t>
        </is>
      </c>
      <c r="B5338" t="inlineStr">
        <is>
          <t>KGZ</t>
        </is>
      </c>
      <c r="C5338" t="n">
        <v>2022</v>
      </c>
      <c r="D5338" t="n">
        <v>13.9229093174176</v>
      </c>
    </row>
    <row r="5339">
      <c r="A5339" t="inlineStr">
        <is>
          <t>Kyrgyz Republic</t>
        </is>
      </c>
      <c r="B5339" t="inlineStr">
        <is>
          <t>KGZ</t>
        </is>
      </c>
      <c r="C5339" t="n">
        <v>2023</v>
      </c>
      <c r="D5339" t="n">
        <v>10.7532770416742</v>
      </c>
    </row>
    <row r="5340">
      <c r="A5340" t="inlineStr">
        <is>
          <t>Cambodia</t>
        </is>
      </c>
      <c r="B5340" t="inlineStr">
        <is>
          <t>KHM</t>
        </is>
      </c>
      <c r="C5340" t="n">
        <v>1995</v>
      </c>
      <c r="D5340" t="n">
        <v>-0.798944337811878</v>
      </c>
    </row>
    <row r="5341">
      <c r="A5341" t="inlineStr">
        <is>
          <t>Cambodia</t>
        </is>
      </c>
      <c r="B5341" t="inlineStr">
        <is>
          <t>KHM</t>
        </is>
      </c>
      <c r="C5341" t="n">
        <v>1996</v>
      </c>
      <c r="D5341" t="n">
        <v>7.15086140872796</v>
      </c>
    </row>
    <row r="5342">
      <c r="A5342" t="inlineStr">
        <is>
          <t>Cambodia</t>
        </is>
      </c>
      <c r="B5342" t="inlineStr">
        <is>
          <t>KHM</t>
        </is>
      </c>
      <c r="C5342" t="n">
        <v>1997</v>
      </c>
      <c r="D5342" t="n">
        <v>7.96021397777456</v>
      </c>
    </row>
    <row r="5343">
      <c r="A5343" t="inlineStr">
        <is>
          <t>Cambodia</t>
        </is>
      </c>
      <c r="B5343" t="inlineStr">
        <is>
          <t>KHM</t>
        </is>
      </c>
      <c r="C5343" t="n">
        <v>1998</v>
      </c>
      <c r="D5343" t="n">
        <v>14.8065035437763</v>
      </c>
    </row>
    <row r="5344">
      <c r="A5344" t="inlineStr">
        <is>
          <t>Cambodia</t>
        </is>
      </c>
      <c r="B5344" t="inlineStr">
        <is>
          <t>KHM</t>
        </is>
      </c>
      <c r="C5344" t="n">
        <v>1999</v>
      </c>
      <c r="D5344" t="n">
        <v>4.00820702088782</v>
      </c>
    </row>
    <row r="5345">
      <c r="A5345" t="inlineStr">
        <is>
          <t>Cambodia</t>
        </is>
      </c>
      <c r="B5345" t="inlineStr">
        <is>
          <t>KHM</t>
        </is>
      </c>
      <c r="C5345" t="n">
        <v>2000</v>
      </c>
      <c r="D5345" t="n">
        <v>-0.791992529473567</v>
      </c>
    </row>
    <row r="5346">
      <c r="A5346" t="inlineStr">
        <is>
          <t>Cambodia</t>
        </is>
      </c>
      <c r="B5346" t="inlineStr">
        <is>
          <t>KHM</t>
        </is>
      </c>
      <c r="C5346" t="n">
        <v>2001</v>
      </c>
      <c r="D5346" t="n">
        <v>-0.600648300123686</v>
      </c>
    </row>
    <row r="5347">
      <c r="A5347" t="inlineStr">
        <is>
          <t>Cambodia</t>
        </is>
      </c>
      <c r="B5347" t="inlineStr">
        <is>
          <t>KHM</t>
        </is>
      </c>
      <c r="C5347" t="n">
        <v>2002</v>
      </c>
      <c r="D5347" t="n">
        <v>0.211466568022607</v>
      </c>
    </row>
    <row r="5348">
      <c r="A5348" t="inlineStr">
        <is>
          <t>Cambodia</t>
        </is>
      </c>
      <c r="B5348" t="inlineStr">
        <is>
          <t>KHM</t>
        </is>
      </c>
      <c r="C5348" t="n">
        <v>2003</v>
      </c>
      <c r="D5348" t="n">
        <v>0.94174611779921</v>
      </c>
    </row>
    <row r="5349">
      <c r="A5349" t="inlineStr">
        <is>
          <t>Cambodia</t>
        </is>
      </c>
      <c r="B5349" t="inlineStr">
        <is>
          <t>KHM</t>
        </is>
      </c>
      <c r="C5349" t="n">
        <v>2004</v>
      </c>
      <c r="D5349" t="n">
        <v>4.31933677434786</v>
      </c>
    </row>
    <row r="5350">
      <c r="A5350" t="inlineStr">
        <is>
          <t>Cambodia</t>
        </is>
      </c>
      <c r="B5350" t="inlineStr">
        <is>
          <t>KHM</t>
        </is>
      </c>
      <c r="C5350" t="n">
        <v>2005</v>
      </c>
      <c r="D5350" t="n">
        <v>6.61525912001587</v>
      </c>
    </row>
    <row r="5351">
      <c r="A5351" t="inlineStr">
        <is>
          <t>Cambodia</t>
        </is>
      </c>
      <c r="B5351" t="inlineStr">
        <is>
          <t>KHM</t>
        </is>
      </c>
      <c r="C5351" t="n">
        <v>2006</v>
      </c>
      <c r="D5351" t="n">
        <v>5.81068550464306</v>
      </c>
    </row>
    <row r="5352">
      <c r="A5352" t="inlineStr">
        <is>
          <t>Cambodia</t>
        </is>
      </c>
      <c r="B5352" t="inlineStr">
        <is>
          <t>KHM</t>
        </is>
      </c>
      <c r="C5352" t="n">
        <v>2007</v>
      </c>
      <c r="D5352" t="n">
        <v>8.708827705680489</v>
      </c>
    </row>
    <row r="5353">
      <c r="A5353" t="inlineStr">
        <is>
          <t>Cambodia</t>
        </is>
      </c>
      <c r="B5353" t="inlineStr">
        <is>
          <t>KHM</t>
        </is>
      </c>
      <c r="C5353" t="n">
        <v>2008</v>
      </c>
      <c r="D5353" t="n">
        <v>24.096851930605</v>
      </c>
    </row>
    <row r="5354">
      <c r="A5354" t="inlineStr">
        <is>
          <t>Cambodia</t>
        </is>
      </c>
      <c r="B5354" t="inlineStr">
        <is>
          <t>KHM</t>
        </is>
      </c>
      <c r="C5354" t="n">
        <v>2009</v>
      </c>
      <c r="D5354" t="n">
        <v>-1.24171754189637</v>
      </c>
    </row>
    <row r="5355">
      <c r="A5355" t="inlineStr">
        <is>
          <t>Cambodia</t>
        </is>
      </c>
      <c r="B5355" t="inlineStr">
        <is>
          <t>KHM</t>
        </is>
      </c>
      <c r="C5355" t="n">
        <v>2010</v>
      </c>
      <c r="D5355" t="n">
        <v>3.99639528107218</v>
      </c>
    </row>
    <row r="5356">
      <c r="A5356" t="inlineStr">
        <is>
          <t>Cambodia</t>
        </is>
      </c>
      <c r="B5356" t="inlineStr">
        <is>
          <t>KHM</t>
        </is>
      </c>
      <c r="C5356" t="n">
        <v>2011</v>
      </c>
      <c r="D5356" t="n">
        <v>5.4784474961745</v>
      </c>
    </row>
    <row r="5357">
      <c r="A5357" t="inlineStr">
        <is>
          <t>Cambodia</t>
        </is>
      </c>
      <c r="B5357" t="inlineStr">
        <is>
          <t>KHM</t>
        </is>
      </c>
      <c r="C5357" t="n">
        <v>2012</v>
      </c>
      <c r="D5357" t="n">
        <v>2.93431609293951</v>
      </c>
    </row>
    <row r="5358">
      <c r="A5358" t="inlineStr">
        <is>
          <t>Cambodia</t>
        </is>
      </c>
      <c r="B5358" t="inlineStr">
        <is>
          <t>KHM</t>
        </is>
      </c>
      <c r="C5358" t="n">
        <v>2013</v>
      </c>
      <c r="D5358" t="n">
        <v>2.94162509547349</v>
      </c>
    </row>
    <row r="5359">
      <c r="A5359" t="inlineStr">
        <is>
          <t>Cambodia</t>
        </is>
      </c>
      <c r="B5359" t="inlineStr">
        <is>
          <t>KHM</t>
        </is>
      </c>
      <c r="C5359" t="n">
        <v>2014</v>
      </c>
      <c r="D5359" t="n">
        <v>3.85568861424207</v>
      </c>
    </row>
    <row r="5360">
      <c r="A5360" t="inlineStr">
        <is>
          <t>Cambodia</t>
        </is>
      </c>
      <c r="B5360" t="inlineStr">
        <is>
          <t>KHM</t>
        </is>
      </c>
      <c r="C5360" t="n">
        <v>2015</v>
      </c>
      <c r="D5360" t="n">
        <v>1.22393195511119</v>
      </c>
    </row>
    <row r="5361">
      <c r="A5361" t="inlineStr">
        <is>
          <t>Cambodia</t>
        </is>
      </c>
      <c r="B5361" t="inlineStr">
        <is>
          <t>KHM</t>
        </is>
      </c>
      <c r="C5361" t="n">
        <v>2016</v>
      </c>
      <c r="D5361" t="n">
        <v>3.01913975139128</v>
      </c>
    </row>
    <row r="5362">
      <c r="A5362" t="inlineStr">
        <is>
          <t>Cambodia</t>
        </is>
      </c>
      <c r="B5362" t="inlineStr">
        <is>
          <t>KHM</t>
        </is>
      </c>
      <c r="C5362" t="n">
        <v>2017</v>
      </c>
      <c r="D5362" t="n">
        <v>2.91263557371478</v>
      </c>
    </row>
    <row r="5363">
      <c r="A5363" t="inlineStr">
        <is>
          <t>Cambodia</t>
        </is>
      </c>
      <c r="B5363" t="inlineStr">
        <is>
          <t>KHM</t>
        </is>
      </c>
      <c r="C5363" t="n">
        <v>2018</v>
      </c>
      <c r="D5363" t="n">
        <v>2.45908515380146</v>
      </c>
    </row>
    <row r="5364">
      <c r="A5364" t="inlineStr">
        <is>
          <t>Cambodia</t>
        </is>
      </c>
      <c r="B5364" t="inlineStr">
        <is>
          <t>KHM</t>
        </is>
      </c>
      <c r="C5364" t="n">
        <v>2019</v>
      </c>
      <c r="D5364" t="n">
        <v>1.94257500833107</v>
      </c>
    </row>
    <row r="5365">
      <c r="A5365" t="inlineStr">
        <is>
          <t>Cambodia</t>
        </is>
      </c>
      <c r="B5365" t="inlineStr">
        <is>
          <t>KHM</t>
        </is>
      </c>
      <c r="C5365" t="n">
        <v>2020</v>
      </c>
      <c r="D5365" t="n">
        <v>2.9402951426397</v>
      </c>
    </row>
    <row r="5366">
      <c r="A5366" t="inlineStr">
        <is>
          <t>Cambodia</t>
        </is>
      </c>
      <c r="B5366" t="inlineStr">
        <is>
          <t>KHM</t>
        </is>
      </c>
      <c r="C5366" t="n">
        <v>2021</v>
      </c>
      <c r="D5366" t="n">
        <v>2.92073477592949</v>
      </c>
    </row>
    <row r="5367">
      <c r="A5367" t="inlineStr">
        <is>
          <t>Cambodia</t>
        </is>
      </c>
      <c r="B5367" t="inlineStr">
        <is>
          <t>KHM</t>
        </is>
      </c>
      <c r="C5367" t="n">
        <v>2022</v>
      </c>
      <c r="D5367" t="n">
        <v>5.34370264895437</v>
      </c>
    </row>
    <row r="5368">
      <c r="A5368" t="inlineStr">
        <is>
          <t>Cambodia</t>
        </is>
      </c>
      <c r="B5368" t="inlineStr">
        <is>
          <t>KHM</t>
        </is>
      </c>
      <c r="C5368" t="n">
        <v>2023</v>
      </c>
      <c r="D5368" t="n">
        <v>2.12746796594194</v>
      </c>
    </row>
    <row r="5369">
      <c r="A5369" t="inlineStr">
        <is>
          <t>Kiribati</t>
        </is>
      </c>
      <c r="B5369" t="inlineStr">
        <is>
          <t>KIR</t>
        </is>
      </c>
      <c r="C5369" t="n">
        <v>2007</v>
      </c>
      <c r="D5369" t="n">
        <v>3.59252131266417</v>
      </c>
    </row>
    <row r="5370">
      <c r="A5370" t="inlineStr">
        <is>
          <t>Kiribati</t>
        </is>
      </c>
      <c r="B5370" t="inlineStr">
        <is>
          <t>KIR</t>
        </is>
      </c>
      <c r="C5370" t="n">
        <v>2008</v>
      </c>
      <c r="D5370" t="n">
        <v>13.6653995252441</v>
      </c>
    </row>
    <row r="5371">
      <c r="A5371" t="inlineStr">
        <is>
          <t>Kiribati</t>
        </is>
      </c>
      <c r="B5371" t="inlineStr">
        <is>
          <t>KIR</t>
        </is>
      </c>
      <c r="C5371" t="n">
        <v>2009</v>
      </c>
      <c r="D5371" t="n">
        <v>9.816438845086569</v>
      </c>
    </row>
    <row r="5372">
      <c r="A5372" t="inlineStr">
        <is>
          <t>Kiribati</t>
        </is>
      </c>
      <c r="B5372" t="inlineStr">
        <is>
          <t>KIR</t>
        </is>
      </c>
      <c r="C5372" t="n">
        <v>2010</v>
      </c>
      <c r="D5372" t="n">
        <v>-3.89955040651649</v>
      </c>
    </row>
    <row r="5373">
      <c r="A5373" t="inlineStr">
        <is>
          <t>Kiribati</t>
        </is>
      </c>
      <c r="B5373" t="inlineStr">
        <is>
          <t>KIR</t>
        </is>
      </c>
      <c r="C5373" t="n">
        <v>2011</v>
      </c>
      <c r="D5373" t="n">
        <v>1.4974097987597</v>
      </c>
    </row>
    <row r="5374">
      <c r="A5374" t="inlineStr">
        <is>
          <t>Kiribati</t>
        </is>
      </c>
      <c r="B5374" t="inlineStr">
        <is>
          <t>KIR</t>
        </is>
      </c>
      <c r="C5374" t="n">
        <v>2012</v>
      </c>
      <c r="D5374" t="n">
        <v>-3.04586292775571</v>
      </c>
    </row>
    <row r="5375">
      <c r="A5375" t="inlineStr">
        <is>
          <t>Kiribati</t>
        </is>
      </c>
      <c r="B5375" t="inlineStr">
        <is>
          <t>KIR</t>
        </is>
      </c>
      <c r="C5375" t="n">
        <v>2013</v>
      </c>
      <c r="D5375" t="n">
        <v>-1.488059084681</v>
      </c>
    </row>
    <row r="5376">
      <c r="A5376" t="inlineStr">
        <is>
          <t>Kiribati</t>
        </is>
      </c>
      <c r="B5376" t="inlineStr">
        <is>
          <t>KIR</t>
        </is>
      </c>
      <c r="C5376" t="n">
        <v>2014</v>
      </c>
      <c r="D5376" t="n">
        <v>2.10398520925043</v>
      </c>
    </row>
    <row r="5377">
      <c r="A5377" t="inlineStr">
        <is>
          <t>Kiribati</t>
        </is>
      </c>
      <c r="B5377" t="inlineStr">
        <is>
          <t>KIR</t>
        </is>
      </c>
      <c r="C5377" t="n">
        <v>2015</v>
      </c>
      <c r="D5377" t="n">
        <v>0.572015743634256</v>
      </c>
    </row>
    <row r="5378">
      <c r="A5378" t="inlineStr">
        <is>
          <t>Kiribati</t>
        </is>
      </c>
      <c r="B5378" t="inlineStr">
        <is>
          <t>KIR</t>
        </is>
      </c>
      <c r="C5378" t="n">
        <v>2016</v>
      </c>
      <c r="D5378" t="n">
        <v>1.91731090233378</v>
      </c>
    </row>
    <row r="5379">
      <c r="A5379" t="inlineStr">
        <is>
          <t>Kiribati</t>
        </is>
      </c>
      <c r="B5379" t="inlineStr">
        <is>
          <t>KIR</t>
        </is>
      </c>
      <c r="C5379" t="n">
        <v>2017</v>
      </c>
      <c r="D5379" t="n">
        <v>0.355520888546828</v>
      </c>
    </row>
    <row r="5380">
      <c r="A5380" t="inlineStr">
        <is>
          <t>Kiribati</t>
        </is>
      </c>
      <c r="B5380" t="inlineStr">
        <is>
          <t>KIR</t>
        </is>
      </c>
      <c r="C5380" t="n">
        <v>2018</v>
      </c>
      <c r="D5380" t="n">
        <v>0.5640304914934759</v>
      </c>
    </row>
    <row r="5381">
      <c r="A5381" t="inlineStr">
        <is>
          <t>Kiribati</t>
        </is>
      </c>
      <c r="B5381" t="inlineStr">
        <is>
          <t>KIR</t>
        </is>
      </c>
      <c r="C5381" t="n">
        <v>2019</v>
      </c>
      <c r="D5381" t="n">
        <v>-1.81307995302947</v>
      </c>
    </row>
    <row r="5382">
      <c r="A5382" t="inlineStr">
        <is>
          <t>Kiribati</t>
        </is>
      </c>
      <c r="B5382" t="inlineStr">
        <is>
          <t>KIR</t>
        </is>
      </c>
      <c r="C5382" t="n">
        <v>2020</v>
      </c>
      <c r="D5382" t="n">
        <v>2.5532455441463</v>
      </c>
    </row>
    <row r="5383">
      <c r="A5383" t="inlineStr">
        <is>
          <t>Kiribati</t>
        </is>
      </c>
      <c r="B5383" t="inlineStr">
        <is>
          <t>KIR</t>
        </is>
      </c>
      <c r="C5383" t="n">
        <v>2021</v>
      </c>
      <c r="D5383" t="n">
        <v>2.05361676773907</v>
      </c>
    </row>
    <row r="5384">
      <c r="A5384" t="inlineStr">
        <is>
          <t>Kiribati</t>
        </is>
      </c>
      <c r="B5384" t="inlineStr">
        <is>
          <t>KIR</t>
        </is>
      </c>
      <c r="C5384" t="n">
        <v>2022</v>
      </c>
      <c r="D5384" t="n">
        <v>5.34595440908904</v>
      </c>
    </row>
    <row r="5385">
      <c r="A5385" t="inlineStr">
        <is>
          <t>Kiribati</t>
        </is>
      </c>
      <c r="B5385" t="inlineStr">
        <is>
          <t>KIR</t>
        </is>
      </c>
      <c r="C5385" t="n">
        <v>2023</v>
      </c>
      <c r="D5385" t="n">
        <v>9.283073745177211</v>
      </c>
    </row>
    <row r="5386">
      <c r="A5386" t="inlineStr">
        <is>
          <t>St. Kitts and Nevis</t>
        </is>
      </c>
      <c r="B5386" t="inlineStr">
        <is>
          <t>KNA</t>
        </is>
      </c>
      <c r="C5386" t="n">
        <v>1980</v>
      </c>
      <c r="D5386" t="n">
        <v>17.7366548046812</v>
      </c>
    </row>
    <row r="5387">
      <c r="A5387" t="inlineStr">
        <is>
          <t>St. Kitts and Nevis</t>
        </is>
      </c>
      <c r="B5387" t="inlineStr">
        <is>
          <t>KNA</t>
        </is>
      </c>
      <c r="C5387" t="n">
        <v>1981</v>
      </c>
      <c r="D5387" t="n">
        <v>10.476363196689</v>
      </c>
    </row>
    <row r="5388">
      <c r="A5388" t="inlineStr">
        <is>
          <t>St. Kitts and Nevis</t>
        </is>
      </c>
      <c r="B5388" t="inlineStr">
        <is>
          <t>KNA</t>
        </is>
      </c>
      <c r="C5388" t="n">
        <v>1982</v>
      </c>
      <c r="D5388" t="n">
        <v>5.92722298201993</v>
      </c>
    </row>
    <row r="5389">
      <c r="A5389" t="inlineStr">
        <is>
          <t>St. Kitts and Nevis</t>
        </is>
      </c>
      <c r="B5389" t="inlineStr">
        <is>
          <t>KNA</t>
        </is>
      </c>
      <c r="C5389" t="n">
        <v>1983</v>
      </c>
      <c r="D5389" t="n">
        <v>2.29153537034707</v>
      </c>
    </row>
    <row r="5390">
      <c r="A5390" t="inlineStr">
        <is>
          <t>St. Kitts and Nevis</t>
        </is>
      </c>
      <c r="B5390" t="inlineStr">
        <is>
          <t>KNA</t>
        </is>
      </c>
      <c r="C5390" t="n">
        <v>1984</v>
      </c>
      <c r="D5390" t="n">
        <v>2.71490470548818</v>
      </c>
    </row>
    <row r="5391">
      <c r="A5391" t="inlineStr">
        <is>
          <t>St. Kitts and Nevis</t>
        </is>
      </c>
      <c r="B5391" t="inlineStr">
        <is>
          <t>KNA</t>
        </is>
      </c>
      <c r="C5391" t="n">
        <v>1985</v>
      </c>
      <c r="D5391" t="n">
        <v>2.61954629955699</v>
      </c>
    </row>
    <row r="5392">
      <c r="A5392" t="inlineStr">
        <is>
          <t>St. Kitts and Nevis</t>
        </is>
      </c>
      <c r="B5392" t="inlineStr">
        <is>
          <t>KNA</t>
        </is>
      </c>
      <c r="C5392" t="n">
        <v>1986</v>
      </c>
      <c r="D5392" t="n">
        <v>-0.00668553372426752</v>
      </c>
    </row>
    <row r="5393">
      <c r="A5393" t="inlineStr">
        <is>
          <t>St. Kitts and Nevis</t>
        </is>
      </c>
      <c r="B5393" t="inlineStr">
        <is>
          <t>KNA</t>
        </is>
      </c>
      <c r="C5393" t="n">
        <v>1987</v>
      </c>
      <c r="D5393" t="n">
        <v>0.96301264865157</v>
      </c>
    </row>
    <row r="5394">
      <c r="A5394" t="inlineStr">
        <is>
          <t>St. Kitts and Nevis</t>
        </is>
      </c>
      <c r="B5394" t="inlineStr">
        <is>
          <t>KNA</t>
        </is>
      </c>
      <c r="C5394" t="n">
        <v>1988</v>
      </c>
      <c r="D5394" t="n">
        <v>0.232525033997813</v>
      </c>
    </row>
    <row r="5395">
      <c r="A5395" t="inlineStr">
        <is>
          <t>St. Kitts and Nevis</t>
        </is>
      </c>
      <c r="B5395" t="inlineStr">
        <is>
          <t>KNA</t>
        </is>
      </c>
      <c r="C5395" t="n">
        <v>1989</v>
      </c>
      <c r="D5395" t="n">
        <v>5.16996495562573</v>
      </c>
    </row>
    <row r="5396">
      <c r="A5396" t="inlineStr">
        <is>
          <t>St. Kitts and Nevis</t>
        </is>
      </c>
      <c r="B5396" t="inlineStr">
        <is>
          <t>KNA</t>
        </is>
      </c>
      <c r="C5396" t="n">
        <v>1990</v>
      </c>
      <c r="D5396" t="n">
        <v>4.01098407755617</v>
      </c>
    </row>
    <row r="5397">
      <c r="A5397" t="inlineStr">
        <is>
          <t>St. Kitts and Nevis</t>
        </is>
      </c>
      <c r="B5397" t="inlineStr">
        <is>
          <t>KNA</t>
        </is>
      </c>
      <c r="C5397" t="n">
        <v>1991</v>
      </c>
      <c r="D5397" t="n">
        <v>4.3237394435542</v>
      </c>
    </row>
    <row r="5398">
      <c r="A5398" t="inlineStr">
        <is>
          <t>St. Kitts and Nevis</t>
        </is>
      </c>
      <c r="B5398" t="inlineStr">
        <is>
          <t>KNA</t>
        </is>
      </c>
      <c r="C5398" t="n">
        <v>1992</v>
      </c>
      <c r="D5398" t="n">
        <v>2.85844672514458</v>
      </c>
    </row>
    <row r="5399">
      <c r="A5399" t="inlineStr">
        <is>
          <t>St. Kitts and Nevis</t>
        </is>
      </c>
      <c r="B5399" t="inlineStr">
        <is>
          <t>KNA</t>
        </is>
      </c>
      <c r="C5399" t="n">
        <v>1993</v>
      </c>
      <c r="D5399" t="n">
        <v>1.79486146433782</v>
      </c>
    </row>
    <row r="5400">
      <c r="A5400" t="inlineStr">
        <is>
          <t>St. Kitts and Nevis</t>
        </is>
      </c>
      <c r="B5400" t="inlineStr">
        <is>
          <t>KNA</t>
        </is>
      </c>
      <c r="C5400" t="n">
        <v>1994</v>
      </c>
      <c r="D5400" t="n">
        <v>1.44226958804943</v>
      </c>
    </row>
    <row r="5401">
      <c r="A5401" t="inlineStr">
        <is>
          <t>St. Kitts and Nevis</t>
        </is>
      </c>
      <c r="B5401" t="inlineStr">
        <is>
          <t>KNA</t>
        </is>
      </c>
      <c r="C5401" t="n">
        <v>1995</v>
      </c>
      <c r="D5401" t="n">
        <v>2.9568002509262</v>
      </c>
    </row>
    <row r="5402">
      <c r="A5402" t="inlineStr">
        <is>
          <t>St. Kitts and Nevis</t>
        </is>
      </c>
      <c r="B5402" t="inlineStr">
        <is>
          <t>KNA</t>
        </is>
      </c>
      <c r="C5402" t="n">
        <v>1996</v>
      </c>
      <c r="D5402" t="n">
        <v>2.08657385169121</v>
      </c>
    </row>
    <row r="5403">
      <c r="A5403" t="inlineStr">
        <is>
          <t>St. Kitts and Nevis</t>
        </is>
      </c>
      <c r="B5403" t="inlineStr">
        <is>
          <t>KNA</t>
        </is>
      </c>
      <c r="C5403" t="n">
        <v>1997</v>
      </c>
      <c r="D5403" t="n">
        <v>8.905183391160159</v>
      </c>
    </row>
    <row r="5404">
      <c r="A5404" t="inlineStr">
        <is>
          <t>St. Kitts and Nevis</t>
        </is>
      </c>
      <c r="B5404" t="inlineStr">
        <is>
          <t>KNA</t>
        </is>
      </c>
      <c r="C5404" t="n">
        <v>1998</v>
      </c>
      <c r="D5404" t="n">
        <v>3.44635865955273</v>
      </c>
    </row>
    <row r="5405">
      <c r="A5405" t="inlineStr">
        <is>
          <t>St. Kitts and Nevis</t>
        </is>
      </c>
      <c r="B5405" t="inlineStr">
        <is>
          <t>KNA</t>
        </is>
      </c>
      <c r="C5405" t="n">
        <v>1999</v>
      </c>
      <c r="D5405" t="n">
        <v>3.36303630363045</v>
      </c>
    </row>
    <row r="5406">
      <c r="A5406" t="inlineStr">
        <is>
          <t>St. Kitts and Nevis</t>
        </is>
      </c>
      <c r="B5406" t="inlineStr">
        <is>
          <t>KNA</t>
        </is>
      </c>
      <c r="C5406" t="n">
        <v>2000</v>
      </c>
      <c r="D5406" t="n">
        <v>2.14885532743696</v>
      </c>
    </row>
    <row r="5407">
      <c r="A5407" t="inlineStr">
        <is>
          <t>St. Kitts and Nevis</t>
        </is>
      </c>
      <c r="B5407" t="inlineStr">
        <is>
          <t>KNA</t>
        </is>
      </c>
      <c r="C5407" t="n">
        <v>2001</v>
      </c>
      <c r="D5407" t="n">
        <v>2.30344748349255</v>
      </c>
    </row>
    <row r="5408">
      <c r="A5408" t="inlineStr">
        <is>
          <t>St. Kitts and Nevis</t>
        </is>
      </c>
      <c r="B5408" t="inlineStr">
        <is>
          <t>KNA</t>
        </is>
      </c>
      <c r="C5408" t="n">
        <v>2002</v>
      </c>
      <c r="D5408" t="n">
        <v>2.04109102620208</v>
      </c>
    </row>
    <row r="5409">
      <c r="A5409" t="inlineStr">
        <is>
          <t>St. Kitts and Nevis</t>
        </is>
      </c>
      <c r="B5409" t="inlineStr">
        <is>
          <t>KNA</t>
        </is>
      </c>
      <c r="C5409" t="n">
        <v>2003</v>
      </c>
      <c r="D5409" t="n">
        <v>2.23543664374553</v>
      </c>
    </row>
    <row r="5410">
      <c r="A5410" t="inlineStr">
        <is>
          <t>St. Kitts and Nevis</t>
        </is>
      </c>
      <c r="B5410" t="inlineStr">
        <is>
          <t>KNA</t>
        </is>
      </c>
      <c r="C5410" t="n">
        <v>2004</v>
      </c>
      <c r="D5410" t="n">
        <v>2.31455462238093</v>
      </c>
    </row>
    <row r="5411">
      <c r="A5411" t="inlineStr">
        <is>
          <t>St. Kitts and Nevis</t>
        </is>
      </c>
      <c r="B5411" t="inlineStr">
        <is>
          <t>KNA</t>
        </is>
      </c>
      <c r="C5411" t="n">
        <v>2005</v>
      </c>
      <c r="D5411" t="n">
        <v>3.37781903988238</v>
      </c>
    </row>
    <row r="5412">
      <c r="A5412" t="inlineStr">
        <is>
          <t>St. Kitts and Nevis</t>
        </is>
      </c>
      <c r="B5412" t="inlineStr">
        <is>
          <t>KNA</t>
        </is>
      </c>
      <c r="C5412" t="n">
        <v>2006</v>
      </c>
      <c r="D5412" t="n">
        <v>8.48748575845879</v>
      </c>
    </row>
    <row r="5413">
      <c r="A5413" t="inlineStr">
        <is>
          <t>St. Kitts and Nevis</t>
        </is>
      </c>
      <c r="B5413" t="inlineStr">
        <is>
          <t>KNA</t>
        </is>
      </c>
      <c r="C5413" t="n">
        <v>2007</v>
      </c>
      <c r="D5413" t="n">
        <v>4.48088608614726</v>
      </c>
    </row>
    <row r="5414">
      <c r="A5414" t="inlineStr">
        <is>
          <t>St. Kitts and Nevis</t>
        </is>
      </c>
      <c r="B5414" t="inlineStr">
        <is>
          <t>KNA</t>
        </is>
      </c>
      <c r="C5414" t="n">
        <v>2008</v>
      </c>
      <c r="D5414" t="n">
        <v>5.30029675072584</v>
      </c>
    </row>
    <row r="5415">
      <c r="A5415" t="inlineStr">
        <is>
          <t>St. Kitts and Nevis</t>
        </is>
      </c>
      <c r="B5415" t="inlineStr">
        <is>
          <t>KNA</t>
        </is>
      </c>
      <c r="C5415" t="n">
        <v>2009</v>
      </c>
      <c r="D5415" t="n">
        <v>2.05793709041836</v>
      </c>
    </row>
    <row r="5416">
      <c r="A5416" t="inlineStr">
        <is>
          <t>St. Kitts and Nevis</t>
        </is>
      </c>
      <c r="B5416" t="inlineStr">
        <is>
          <t>KNA</t>
        </is>
      </c>
      <c r="C5416" t="n">
        <v>2010</v>
      </c>
      <c r="D5416" t="n">
        <v>0.850878649795844</v>
      </c>
    </row>
    <row r="5417">
      <c r="A5417" t="inlineStr">
        <is>
          <t>St. Kitts and Nevis</t>
        </is>
      </c>
      <c r="B5417" t="inlineStr">
        <is>
          <t>KNA</t>
        </is>
      </c>
      <c r="C5417" t="n">
        <v>2011</v>
      </c>
      <c r="D5417" t="n">
        <v>5.8351651957086</v>
      </c>
    </row>
    <row r="5418">
      <c r="A5418" t="inlineStr">
        <is>
          <t>St. Kitts and Nevis</t>
        </is>
      </c>
      <c r="B5418" t="inlineStr">
        <is>
          <t>KNA</t>
        </is>
      </c>
      <c r="C5418" t="n">
        <v>2012</v>
      </c>
      <c r="D5418" t="n">
        <v>0.816089281562459</v>
      </c>
    </row>
    <row r="5419">
      <c r="A5419" t="inlineStr">
        <is>
          <t>St. Kitts and Nevis</t>
        </is>
      </c>
      <c r="B5419" t="inlineStr">
        <is>
          <t>KNA</t>
        </is>
      </c>
      <c r="C5419" t="n">
        <v>2013</v>
      </c>
      <c r="D5419" t="n">
        <v>1.10698554000129</v>
      </c>
    </row>
    <row r="5420">
      <c r="A5420" t="inlineStr">
        <is>
          <t>St. Kitts and Nevis</t>
        </is>
      </c>
      <c r="B5420" t="inlineStr">
        <is>
          <t>KNA</t>
        </is>
      </c>
      <c r="C5420" t="n">
        <v>2014</v>
      </c>
      <c r="D5420" t="n">
        <v>0.247865392364942</v>
      </c>
    </row>
    <row r="5421">
      <c r="A5421" t="inlineStr">
        <is>
          <t>St. Kitts and Nevis</t>
        </is>
      </c>
      <c r="B5421" t="inlineStr">
        <is>
          <t>KNA</t>
        </is>
      </c>
      <c r="C5421" t="n">
        <v>2015</v>
      </c>
      <c r="D5421" t="n">
        <v>-2.30187563045616</v>
      </c>
    </row>
    <row r="5422">
      <c r="A5422" t="inlineStr">
        <is>
          <t>St. Kitts and Nevis</t>
        </is>
      </c>
      <c r="B5422" t="inlineStr">
        <is>
          <t>KNA</t>
        </is>
      </c>
      <c r="C5422" t="n">
        <v>2016</v>
      </c>
      <c r="D5422" t="n">
        <v>-0.687037123294039</v>
      </c>
    </row>
    <row r="5423">
      <c r="A5423" t="inlineStr">
        <is>
          <t>St. Kitts and Nevis</t>
        </is>
      </c>
      <c r="B5423" t="inlineStr">
        <is>
          <t>KNA</t>
        </is>
      </c>
      <c r="C5423" t="n">
        <v>2017</v>
      </c>
      <c r="D5423" t="n">
        <v>0.694916711613604</v>
      </c>
    </row>
    <row r="5424">
      <c r="A5424" t="inlineStr">
        <is>
          <t>St. Kitts and Nevis</t>
        </is>
      </c>
      <c r="B5424" t="inlineStr">
        <is>
          <t>KNA</t>
        </is>
      </c>
      <c r="C5424" t="n">
        <v>2018</v>
      </c>
      <c r="D5424" t="n">
        <v>-1.03712214131572</v>
      </c>
    </row>
    <row r="5425">
      <c r="A5425" t="inlineStr">
        <is>
          <t>St. Kitts and Nevis</t>
        </is>
      </c>
      <c r="B5425" t="inlineStr">
        <is>
          <t>KNA</t>
        </is>
      </c>
      <c r="C5425" t="n">
        <v>2019</v>
      </c>
      <c r="D5425" t="n">
        <v>-0.329562063663977</v>
      </c>
    </row>
    <row r="5426">
      <c r="A5426" t="inlineStr">
        <is>
          <t>St. Kitts and Nevis</t>
        </is>
      </c>
      <c r="B5426" t="inlineStr">
        <is>
          <t>KNA</t>
        </is>
      </c>
      <c r="C5426" t="n">
        <v>2020</v>
      </c>
      <c r="D5426" t="n">
        <v>-1.16724501769353</v>
      </c>
    </row>
    <row r="5427">
      <c r="A5427" t="inlineStr">
        <is>
          <t>St. Kitts and Nevis</t>
        </is>
      </c>
      <c r="B5427" t="inlineStr">
        <is>
          <t>KNA</t>
        </is>
      </c>
      <c r="C5427" t="n">
        <v>2021</v>
      </c>
      <c r="D5427" t="n">
        <v>1.195688870384</v>
      </c>
    </row>
    <row r="5428">
      <c r="A5428" t="inlineStr">
        <is>
          <t>St. Kitts and Nevis</t>
        </is>
      </c>
      <c r="B5428" t="inlineStr">
        <is>
          <t>KNA</t>
        </is>
      </c>
      <c r="C5428" t="n">
        <v>2022</v>
      </c>
      <c r="D5428" t="n">
        <v>2.66817533111249</v>
      </c>
    </row>
    <row r="5429">
      <c r="A5429" t="inlineStr">
        <is>
          <t>St. Kitts and Nevis</t>
        </is>
      </c>
      <c r="B5429" t="inlineStr">
        <is>
          <t>KNA</t>
        </is>
      </c>
      <c r="C5429" t="n">
        <v>2023</v>
      </c>
      <c r="D5429" t="n">
        <v>3.55711230848243</v>
      </c>
    </row>
    <row r="5430">
      <c r="A5430" t="inlineStr">
        <is>
          <t>Korea, Rep.</t>
        </is>
      </c>
      <c r="B5430" t="inlineStr">
        <is>
          <t>KOR</t>
        </is>
      </c>
      <c r="C5430" t="n">
        <v>1960</v>
      </c>
      <c r="D5430" t="n">
        <v>7.96556575482592</v>
      </c>
    </row>
    <row r="5431">
      <c r="A5431" t="inlineStr">
        <is>
          <t>Korea, Rep.</t>
        </is>
      </c>
      <c r="B5431" t="inlineStr">
        <is>
          <t>KOR</t>
        </is>
      </c>
      <c r="C5431" t="n">
        <v>1961</v>
      </c>
      <c r="D5431" t="n">
        <v>8.195652882540919</v>
      </c>
    </row>
    <row r="5432">
      <c r="A5432" t="inlineStr">
        <is>
          <t>Korea, Rep.</t>
        </is>
      </c>
      <c r="B5432" t="inlineStr">
        <is>
          <t>KOR</t>
        </is>
      </c>
      <c r="C5432" t="n">
        <v>1962</v>
      </c>
      <c r="D5432" t="n">
        <v>6.61831097492391</v>
      </c>
    </row>
    <row r="5433">
      <c r="A5433" t="inlineStr">
        <is>
          <t>Korea, Rep.</t>
        </is>
      </c>
      <c r="B5433" t="inlineStr">
        <is>
          <t>KOR</t>
        </is>
      </c>
      <c r="C5433" t="n">
        <v>1963</v>
      </c>
      <c r="D5433" t="n">
        <v>20.6916473186476</v>
      </c>
    </row>
    <row r="5434">
      <c r="A5434" t="inlineStr">
        <is>
          <t>Korea, Rep.</t>
        </is>
      </c>
      <c r="B5434" t="inlineStr">
        <is>
          <t>KOR</t>
        </is>
      </c>
      <c r="C5434" t="n">
        <v>1964</v>
      </c>
      <c r="D5434" t="n">
        <v>29.4628314500798</v>
      </c>
    </row>
    <row r="5435">
      <c r="A5435" t="inlineStr">
        <is>
          <t>Korea, Rep.</t>
        </is>
      </c>
      <c r="B5435" t="inlineStr">
        <is>
          <t>KOR</t>
        </is>
      </c>
      <c r="C5435" t="n">
        <v>1965</v>
      </c>
      <c r="D5435" t="n">
        <v>13.5481947104654</v>
      </c>
    </row>
    <row r="5436">
      <c r="A5436" t="inlineStr">
        <is>
          <t>Korea, Rep.</t>
        </is>
      </c>
      <c r="B5436" t="inlineStr">
        <is>
          <t>KOR</t>
        </is>
      </c>
      <c r="C5436" t="n">
        <v>1966</v>
      </c>
      <c r="D5436" t="n">
        <v>11.261384877581</v>
      </c>
    </row>
    <row r="5437">
      <c r="A5437" t="inlineStr">
        <is>
          <t>Korea, Rep.</t>
        </is>
      </c>
      <c r="B5437" t="inlineStr">
        <is>
          <t>KOR</t>
        </is>
      </c>
      <c r="C5437" t="n">
        <v>1967</v>
      </c>
      <c r="D5437" t="n">
        <v>10.8824400571964</v>
      </c>
    </row>
    <row r="5438">
      <c r="A5438" t="inlineStr">
        <is>
          <t>Korea, Rep.</t>
        </is>
      </c>
      <c r="B5438" t="inlineStr">
        <is>
          <t>KOR</t>
        </is>
      </c>
      <c r="C5438" t="n">
        <v>1968</v>
      </c>
      <c r="D5438" t="n">
        <v>10.7718213969351</v>
      </c>
    </row>
    <row r="5439">
      <c r="A5439" t="inlineStr">
        <is>
          <t>Korea, Rep.</t>
        </is>
      </c>
      <c r="B5439" t="inlineStr">
        <is>
          <t>KOR</t>
        </is>
      </c>
      <c r="C5439" t="n">
        <v>1969</v>
      </c>
      <c r="D5439" t="n">
        <v>12.3895647111187</v>
      </c>
    </row>
    <row r="5440">
      <c r="A5440" t="inlineStr">
        <is>
          <t>Korea, Rep.</t>
        </is>
      </c>
      <c r="B5440" t="inlineStr">
        <is>
          <t>KOR</t>
        </is>
      </c>
      <c r="C5440" t="n">
        <v>1970</v>
      </c>
      <c r="D5440" t="n">
        <v>15.9503423646945</v>
      </c>
    </row>
    <row r="5441">
      <c r="A5441" t="inlineStr">
        <is>
          <t>Korea, Rep.</t>
        </is>
      </c>
      <c r="B5441" t="inlineStr">
        <is>
          <t>KOR</t>
        </is>
      </c>
      <c r="C5441" t="n">
        <v>1971</v>
      </c>
      <c r="D5441" t="n">
        <v>13.5117023313079</v>
      </c>
    </row>
    <row r="5442">
      <c r="A5442" t="inlineStr">
        <is>
          <t>Korea, Rep.</t>
        </is>
      </c>
      <c r="B5442" t="inlineStr">
        <is>
          <t>KOR</t>
        </is>
      </c>
      <c r="C5442" t="n">
        <v>1972</v>
      </c>
      <c r="D5442" t="n">
        <v>11.6889866806845</v>
      </c>
    </row>
    <row r="5443">
      <c r="A5443" t="inlineStr">
        <is>
          <t>Korea, Rep.</t>
        </is>
      </c>
      <c r="B5443" t="inlineStr">
        <is>
          <t>KOR</t>
        </is>
      </c>
      <c r="C5443" t="n">
        <v>1973</v>
      </c>
      <c r="D5443" t="n">
        <v>3.22102904692326</v>
      </c>
    </row>
    <row r="5444">
      <c r="A5444" t="inlineStr">
        <is>
          <t>Korea, Rep.</t>
        </is>
      </c>
      <c r="B5444" t="inlineStr">
        <is>
          <t>KOR</t>
        </is>
      </c>
      <c r="C5444" t="n">
        <v>1974</v>
      </c>
      <c r="D5444" t="n">
        <v>24.3041995402397</v>
      </c>
    </row>
    <row r="5445">
      <c r="A5445" t="inlineStr">
        <is>
          <t>Korea, Rep.</t>
        </is>
      </c>
      <c r="B5445" t="inlineStr">
        <is>
          <t>KOR</t>
        </is>
      </c>
      <c r="C5445" t="n">
        <v>1975</v>
      </c>
      <c r="D5445" t="n">
        <v>25.2492564056733</v>
      </c>
    </row>
    <row r="5446">
      <c r="A5446" t="inlineStr">
        <is>
          <t>Korea, Rep.</t>
        </is>
      </c>
      <c r="B5446" t="inlineStr">
        <is>
          <t>KOR</t>
        </is>
      </c>
      <c r="C5446" t="n">
        <v>1976</v>
      </c>
      <c r="D5446" t="n">
        <v>15.3273205213194</v>
      </c>
    </row>
    <row r="5447">
      <c r="A5447" t="inlineStr">
        <is>
          <t>Korea, Rep.</t>
        </is>
      </c>
      <c r="B5447" t="inlineStr">
        <is>
          <t>KOR</t>
        </is>
      </c>
      <c r="C5447" t="n">
        <v>1977</v>
      </c>
      <c r="D5447" t="n">
        <v>10.0966653313387</v>
      </c>
    </row>
    <row r="5448">
      <c r="A5448" t="inlineStr">
        <is>
          <t>Korea, Rep.</t>
        </is>
      </c>
      <c r="B5448" t="inlineStr">
        <is>
          <t>KOR</t>
        </is>
      </c>
      <c r="C5448" t="n">
        <v>1978</v>
      </c>
      <c r="D5448" t="n">
        <v>14.4602850195024</v>
      </c>
    </row>
    <row r="5449">
      <c r="A5449" t="inlineStr">
        <is>
          <t>Korea, Rep.</t>
        </is>
      </c>
      <c r="B5449" t="inlineStr">
        <is>
          <t>KOR</t>
        </is>
      </c>
      <c r="C5449" t="n">
        <v>1979</v>
      </c>
      <c r="D5449" t="n">
        <v>18.3234963421791</v>
      </c>
    </row>
    <row r="5450">
      <c r="A5450" t="inlineStr">
        <is>
          <t>Korea, Rep.</t>
        </is>
      </c>
      <c r="B5450" t="inlineStr">
        <is>
          <t>KOR</t>
        </is>
      </c>
      <c r="C5450" t="n">
        <v>1980</v>
      </c>
      <c r="D5450" t="n">
        <v>28.6976086362017</v>
      </c>
    </row>
    <row r="5451">
      <c r="A5451" t="inlineStr">
        <is>
          <t>Korea, Rep.</t>
        </is>
      </c>
      <c r="B5451" t="inlineStr">
        <is>
          <t>KOR</t>
        </is>
      </c>
      <c r="C5451" t="n">
        <v>1981</v>
      </c>
      <c r="D5451" t="n">
        <v>21.351640254</v>
      </c>
    </row>
    <row r="5452">
      <c r="A5452" t="inlineStr">
        <is>
          <t>Korea, Rep.</t>
        </is>
      </c>
      <c r="B5452" t="inlineStr">
        <is>
          <t>KOR</t>
        </is>
      </c>
      <c r="C5452" t="n">
        <v>1982</v>
      </c>
      <c r="D5452" t="n">
        <v>7.1908466400687</v>
      </c>
    </row>
    <row r="5453">
      <c r="A5453" t="inlineStr">
        <is>
          <t>Korea, Rep.</t>
        </is>
      </c>
      <c r="B5453" t="inlineStr">
        <is>
          <t>KOR</t>
        </is>
      </c>
      <c r="C5453" t="n">
        <v>1983</v>
      </c>
      <c r="D5453" t="n">
        <v>3.42061419498921</v>
      </c>
    </row>
    <row r="5454">
      <c r="A5454" t="inlineStr">
        <is>
          <t>Korea, Rep.</t>
        </is>
      </c>
      <c r="B5454" t="inlineStr">
        <is>
          <t>KOR</t>
        </is>
      </c>
      <c r="C5454" t="n">
        <v>1984</v>
      </c>
      <c r="D5454" t="n">
        <v>2.27395640001863</v>
      </c>
    </row>
    <row r="5455">
      <c r="A5455" t="inlineStr">
        <is>
          <t>Korea, Rep.</t>
        </is>
      </c>
      <c r="B5455" t="inlineStr">
        <is>
          <t>KOR</t>
        </is>
      </c>
      <c r="C5455" t="n">
        <v>1985</v>
      </c>
      <c r="D5455" t="n">
        <v>2.45910879215274</v>
      </c>
    </row>
    <row r="5456">
      <c r="A5456" t="inlineStr">
        <is>
          <t>Korea, Rep.</t>
        </is>
      </c>
      <c r="B5456" t="inlineStr">
        <is>
          <t>KOR</t>
        </is>
      </c>
      <c r="C5456" t="n">
        <v>1986</v>
      </c>
      <c r="D5456" t="n">
        <v>2.74998096063357</v>
      </c>
    </row>
    <row r="5457">
      <c r="A5457" t="inlineStr">
        <is>
          <t>Korea, Rep.</t>
        </is>
      </c>
      <c r="B5457" t="inlineStr">
        <is>
          <t>KOR</t>
        </is>
      </c>
      <c r="C5457" t="n">
        <v>1987</v>
      </c>
      <c r="D5457" t="n">
        <v>3.04966077087423</v>
      </c>
    </row>
    <row r="5458">
      <c r="A5458" t="inlineStr">
        <is>
          <t>Korea, Rep.</t>
        </is>
      </c>
      <c r="B5458" t="inlineStr">
        <is>
          <t>KOR</t>
        </is>
      </c>
      <c r="C5458" t="n">
        <v>1988</v>
      </c>
      <c r="D5458" t="n">
        <v>7.14609773721605</v>
      </c>
    </row>
    <row r="5459">
      <c r="A5459" t="inlineStr">
        <is>
          <t>Korea, Rep.</t>
        </is>
      </c>
      <c r="B5459" t="inlineStr">
        <is>
          <t>KOR</t>
        </is>
      </c>
      <c r="C5459" t="n">
        <v>1989</v>
      </c>
      <c r="D5459" t="n">
        <v>5.70016544561401</v>
      </c>
    </row>
    <row r="5460">
      <c r="A5460" t="inlineStr">
        <is>
          <t>Korea, Rep.</t>
        </is>
      </c>
      <c r="B5460" t="inlineStr">
        <is>
          <t>KOR</t>
        </is>
      </c>
      <c r="C5460" t="n">
        <v>1990</v>
      </c>
      <c r="D5460" t="n">
        <v>8.573272257286771</v>
      </c>
    </row>
    <row r="5461">
      <c r="A5461" t="inlineStr">
        <is>
          <t>Korea, Rep.</t>
        </is>
      </c>
      <c r="B5461" t="inlineStr">
        <is>
          <t>KOR</t>
        </is>
      </c>
      <c r="C5461" t="n">
        <v>1991</v>
      </c>
      <c r="D5461" t="n">
        <v>9.33279048161495</v>
      </c>
    </row>
    <row r="5462">
      <c r="A5462" t="inlineStr">
        <is>
          <t>Korea, Rep.</t>
        </is>
      </c>
      <c r="B5462" t="inlineStr">
        <is>
          <t>KOR</t>
        </is>
      </c>
      <c r="C5462" t="n">
        <v>1992</v>
      </c>
      <c r="D5462" t="n">
        <v>6.21328146355184</v>
      </c>
    </row>
    <row r="5463">
      <c r="A5463" t="inlineStr">
        <is>
          <t>Korea, Rep.</t>
        </is>
      </c>
      <c r="B5463" t="inlineStr">
        <is>
          <t>KOR</t>
        </is>
      </c>
      <c r="C5463" t="n">
        <v>1993</v>
      </c>
      <c r="D5463" t="n">
        <v>4.80099660215354</v>
      </c>
    </row>
    <row r="5464">
      <c r="A5464" t="inlineStr">
        <is>
          <t>Korea, Rep.</t>
        </is>
      </c>
      <c r="B5464" t="inlineStr">
        <is>
          <t>KOR</t>
        </is>
      </c>
      <c r="C5464" t="n">
        <v>1994</v>
      </c>
      <c r="D5464" t="n">
        <v>6.26585950039679</v>
      </c>
    </row>
    <row r="5465">
      <c r="A5465" t="inlineStr">
        <is>
          <t>Korea, Rep.</t>
        </is>
      </c>
      <c r="B5465" t="inlineStr">
        <is>
          <t>KOR</t>
        </is>
      </c>
      <c r="C5465" t="n">
        <v>1995</v>
      </c>
      <c r="D5465" t="n">
        <v>4.48074108557248</v>
      </c>
    </row>
    <row r="5466">
      <c r="A5466" t="inlineStr">
        <is>
          <t>Korea, Rep.</t>
        </is>
      </c>
      <c r="B5466" t="inlineStr">
        <is>
          <t>KOR</t>
        </is>
      </c>
      <c r="C5466" t="n">
        <v>1996</v>
      </c>
      <c r="D5466" t="n">
        <v>4.92454354292754</v>
      </c>
    </row>
    <row r="5467">
      <c r="A5467" t="inlineStr">
        <is>
          <t>Korea, Rep.</t>
        </is>
      </c>
      <c r="B5467" t="inlineStr">
        <is>
          <t>KOR</t>
        </is>
      </c>
      <c r="C5467" t="n">
        <v>1997</v>
      </c>
      <c r="D5467" t="n">
        <v>4.4389318457463</v>
      </c>
    </row>
    <row r="5468">
      <c r="A5468" t="inlineStr">
        <is>
          <t>Korea, Rep.</t>
        </is>
      </c>
      <c r="B5468" t="inlineStr">
        <is>
          <t>KOR</t>
        </is>
      </c>
      <c r="C5468" t="n">
        <v>1998</v>
      </c>
      <c r="D5468" t="n">
        <v>7.51358008079307</v>
      </c>
    </row>
    <row r="5469">
      <c r="A5469" t="inlineStr">
        <is>
          <t>Korea, Rep.</t>
        </is>
      </c>
      <c r="B5469" t="inlineStr">
        <is>
          <t>KOR</t>
        </is>
      </c>
      <c r="C5469" t="n">
        <v>1999</v>
      </c>
      <c r="D5469" t="n">
        <v>0.81295725444637</v>
      </c>
    </row>
    <row r="5470">
      <c r="A5470" t="inlineStr">
        <is>
          <t>Korea, Rep.</t>
        </is>
      </c>
      <c r="B5470" t="inlineStr">
        <is>
          <t>KOR</t>
        </is>
      </c>
      <c r="C5470" t="n">
        <v>2000</v>
      </c>
      <c r="D5470" t="n">
        <v>2.25916580080157</v>
      </c>
    </row>
    <row r="5471">
      <c r="A5471" t="inlineStr">
        <is>
          <t>Korea, Rep.</t>
        </is>
      </c>
      <c r="B5471" t="inlineStr">
        <is>
          <t>KOR</t>
        </is>
      </c>
      <c r="C5471" t="n">
        <v>2001</v>
      </c>
      <c r="D5471" t="n">
        <v>4.06657587897792</v>
      </c>
    </row>
    <row r="5472">
      <c r="A5472" t="inlineStr">
        <is>
          <t>Korea, Rep.</t>
        </is>
      </c>
      <c r="B5472" t="inlineStr">
        <is>
          <t>KOR</t>
        </is>
      </c>
      <c r="C5472" t="n">
        <v>2002</v>
      </c>
      <c r="D5472" t="n">
        <v>2.76226210296599</v>
      </c>
    </row>
    <row r="5473">
      <c r="A5473" t="inlineStr">
        <is>
          <t>Korea, Rep.</t>
        </is>
      </c>
      <c r="B5473" t="inlineStr">
        <is>
          <t>KOR</t>
        </is>
      </c>
      <c r="C5473" t="n">
        <v>2003</v>
      </c>
      <c r="D5473" t="n">
        <v>3.51487451459939</v>
      </c>
    </row>
    <row r="5474">
      <c r="A5474" t="inlineStr">
        <is>
          <t>Korea, Rep.</t>
        </is>
      </c>
      <c r="B5474" t="inlineStr">
        <is>
          <t>KOR</t>
        </is>
      </c>
      <c r="C5474" t="n">
        <v>2004</v>
      </c>
      <c r="D5474" t="n">
        <v>3.59066298882578</v>
      </c>
    </row>
    <row r="5475">
      <c r="A5475" t="inlineStr">
        <is>
          <t>Korea, Rep.</t>
        </is>
      </c>
      <c r="B5475" t="inlineStr">
        <is>
          <t>KOR</t>
        </is>
      </c>
      <c r="C5475" t="n">
        <v>2005</v>
      </c>
      <c r="D5475" t="n">
        <v>2.75379162735039</v>
      </c>
    </row>
    <row r="5476">
      <c r="A5476" t="inlineStr">
        <is>
          <t>Korea, Rep.</t>
        </is>
      </c>
      <c r="B5476" t="inlineStr">
        <is>
          <t>KOR</t>
        </is>
      </c>
      <c r="C5476" t="n">
        <v>2006</v>
      </c>
      <c r="D5476" t="n">
        <v>2.24234028518921</v>
      </c>
    </row>
    <row r="5477">
      <c r="A5477" t="inlineStr">
        <is>
          <t>Korea, Rep.</t>
        </is>
      </c>
      <c r="B5477" t="inlineStr">
        <is>
          <t>KOR</t>
        </is>
      </c>
      <c r="C5477" t="n">
        <v>2007</v>
      </c>
      <c r="D5477" t="n">
        <v>2.53457382137932</v>
      </c>
    </row>
    <row r="5478">
      <c r="A5478" t="inlineStr">
        <is>
          <t>Korea, Rep.</t>
        </is>
      </c>
      <c r="B5478" t="inlineStr">
        <is>
          <t>KOR</t>
        </is>
      </c>
      <c r="C5478" t="n">
        <v>2008</v>
      </c>
      <c r="D5478" t="n">
        <v>4.67389655533408</v>
      </c>
    </row>
    <row r="5479">
      <c r="A5479" t="inlineStr">
        <is>
          <t>Korea, Rep.</t>
        </is>
      </c>
      <c r="B5479" t="inlineStr">
        <is>
          <t>KOR</t>
        </is>
      </c>
      <c r="C5479" t="n">
        <v>2009</v>
      </c>
      <c r="D5479" t="n">
        <v>2.7564965449393</v>
      </c>
    </row>
    <row r="5480">
      <c r="A5480" t="inlineStr">
        <is>
          <t>Korea, Rep.</t>
        </is>
      </c>
      <c r="B5480" t="inlineStr">
        <is>
          <t>KOR</t>
        </is>
      </c>
      <c r="C5480" t="n">
        <v>2010</v>
      </c>
      <c r="D5480" t="n">
        <v>2.93928652655686</v>
      </c>
    </row>
    <row r="5481">
      <c r="A5481" t="inlineStr">
        <is>
          <t>Korea, Rep.</t>
        </is>
      </c>
      <c r="B5481" t="inlineStr">
        <is>
          <t>KOR</t>
        </is>
      </c>
      <c r="C5481" t="n">
        <v>2011</v>
      </c>
      <c r="D5481" t="n">
        <v>4.0259650043609</v>
      </c>
    </row>
    <row r="5482">
      <c r="A5482" t="inlineStr">
        <is>
          <t>Korea, Rep.</t>
        </is>
      </c>
      <c r="B5482" t="inlineStr">
        <is>
          <t>KOR</t>
        </is>
      </c>
      <c r="C5482" t="n">
        <v>2012</v>
      </c>
      <c r="D5482" t="n">
        <v>2.18707104433314</v>
      </c>
    </row>
    <row r="5483">
      <c r="A5483" t="inlineStr">
        <is>
          <t>Korea, Rep.</t>
        </is>
      </c>
      <c r="B5483" t="inlineStr">
        <is>
          <t>KOR</t>
        </is>
      </c>
      <c r="C5483" t="n">
        <v>2013</v>
      </c>
      <c r="D5483" t="n">
        <v>1.30134754547413</v>
      </c>
    </row>
    <row r="5484">
      <c r="A5484" t="inlineStr">
        <is>
          <t>Korea, Rep.</t>
        </is>
      </c>
      <c r="B5484" t="inlineStr">
        <is>
          <t>KOR</t>
        </is>
      </c>
      <c r="C5484" t="n">
        <v>2014</v>
      </c>
      <c r="D5484" t="n">
        <v>1.27477446401322</v>
      </c>
    </row>
    <row r="5485">
      <c r="A5485" t="inlineStr">
        <is>
          <t>Korea, Rep.</t>
        </is>
      </c>
      <c r="B5485" t="inlineStr">
        <is>
          <t>KOR</t>
        </is>
      </c>
      <c r="C5485" t="n">
        <v>2015</v>
      </c>
      <c r="D5485" t="n">
        <v>0.70633177245575</v>
      </c>
    </row>
    <row r="5486">
      <c r="A5486" t="inlineStr">
        <is>
          <t>Korea, Rep.</t>
        </is>
      </c>
      <c r="B5486" t="inlineStr">
        <is>
          <t>KOR</t>
        </is>
      </c>
      <c r="C5486" t="n">
        <v>2016</v>
      </c>
      <c r="D5486" t="n">
        <v>0.971685739912168</v>
      </c>
    </row>
    <row r="5487">
      <c r="A5487" t="inlineStr">
        <is>
          <t>Korea, Rep.</t>
        </is>
      </c>
      <c r="B5487" t="inlineStr">
        <is>
          <t>KOR</t>
        </is>
      </c>
      <c r="C5487" t="n">
        <v>2017</v>
      </c>
      <c r="D5487" t="n">
        <v>1.94433230786366</v>
      </c>
    </row>
    <row r="5488">
      <c r="A5488" t="inlineStr">
        <is>
          <t>Korea, Rep.</t>
        </is>
      </c>
      <c r="B5488" t="inlineStr">
        <is>
          <t>KOR</t>
        </is>
      </c>
      <c r="C5488" t="n">
        <v>2018</v>
      </c>
      <c r="D5488" t="n">
        <v>1.47583935002645</v>
      </c>
    </row>
    <row r="5489">
      <c r="A5489" t="inlineStr">
        <is>
          <t>Korea, Rep.</t>
        </is>
      </c>
      <c r="B5489" t="inlineStr">
        <is>
          <t>KOR</t>
        </is>
      </c>
      <c r="C5489" t="n">
        <v>2019</v>
      </c>
      <c r="D5489" t="n">
        <v>0.383000303608136</v>
      </c>
    </row>
    <row r="5490">
      <c r="A5490" t="inlineStr">
        <is>
          <t>Korea, Rep.</t>
        </is>
      </c>
      <c r="B5490" t="inlineStr">
        <is>
          <t>KOR</t>
        </is>
      </c>
      <c r="C5490" t="n">
        <v>2020</v>
      </c>
      <c r="D5490" t="n">
        <v>0.537288023411737</v>
      </c>
    </row>
    <row r="5491">
      <c r="A5491" t="inlineStr">
        <is>
          <t>Korea, Rep.</t>
        </is>
      </c>
      <c r="B5491" t="inlineStr">
        <is>
          <t>KOR</t>
        </is>
      </c>
      <c r="C5491" t="n">
        <v>2021</v>
      </c>
      <c r="D5491" t="n">
        <v>2.49833333333339</v>
      </c>
    </row>
    <row r="5492">
      <c r="A5492" t="inlineStr">
        <is>
          <t>Korea, Rep.</t>
        </is>
      </c>
      <c r="B5492" t="inlineStr">
        <is>
          <t>KOR</t>
        </is>
      </c>
      <c r="C5492" t="n">
        <v>2022</v>
      </c>
      <c r="D5492" t="n">
        <v>5.08951365062842</v>
      </c>
    </row>
    <row r="5493">
      <c r="A5493" t="inlineStr">
        <is>
          <t>Korea, Rep.</t>
        </is>
      </c>
      <c r="B5493" t="inlineStr">
        <is>
          <t>KOR</t>
        </is>
      </c>
      <c r="C5493" t="n">
        <v>2023</v>
      </c>
      <c r="D5493" t="n">
        <v>3.5974562502901</v>
      </c>
    </row>
    <row r="5494">
      <c r="A5494" t="inlineStr">
        <is>
          <t>Korea, Rep.</t>
        </is>
      </c>
      <c r="B5494" t="inlineStr">
        <is>
          <t>KOR</t>
        </is>
      </c>
      <c r="C5494" t="n">
        <v>2024</v>
      </c>
      <c r="D5494" t="n">
        <v>2.32174328643542</v>
      </c>
    </row>
    <row r="5495">
      <c r="A5495" t="inlineStr">
        <is>
          <t>Kuwait</t>
        </is>
      </c>
      <c r="B5495" t="inlineStr">
        <is>
          <t>KWT</t>
        </is>
      </c>
      <c r="C5495" t="n">
        <v>1973</v>
      </c>
      <c r="D5495" t="n">
        <v>8.266666666000059</v>
      </c>
    </row>
    <row r="5496">
      <c r="A5496" t="inlineStr">
        <is>
          <t>Kuwait</t>
        </is>
      </c>
      <c r="B5496" t="inlineStr">
        <is>
          <t>KWT</t>
        </is>
      </c>
      <c r="C5496" t="n">
        <v>1974</v>
      </c>
      <c r="D5496" t="n">
        <v>12.9926108375187</v>
      </c>
    </row>
    <row r="5497">
      <c r="A5497" t="inlineStr">
        <is>
          <t>Kuwait</t>
        </is>
      </c>
      <c r="B5497" t="inlineStr">
        <is>
          <t>KWT</t>
        </is>
      </c>
      <c r="C5497" t="n">
        <v>1975</v>
      </c>
      <c r="D5497" t="n">
        <v>8.392370572184451</v>
      </c>
    </row>
    <row r="5498">
      <c r="A5498" t="inlineStr">
        <is>
          <t>Kuwait</t>
        </is>
      </c>
      <c r="B5498" t="inlineStr">
        <is>
          <t>KWT</t>
        </is>
      </c>
      <c r="C5498" t="n">
        <v>1976</v>
      </c>
      <c r="D5498" t="n">
        <v>5.23504273532376</v>
      </c>
    </row>
    <row r="5499">
      <c r="A5499" t="inlineStr">
        <is>
          <t>Kuwait</t>
        </is>
      </c>
      <c r="B5499" t="inlineStr">
        <is>
          <t>KWT</t>
        </is>
      </c>
      <c r="C5499" t="n">
        <v>1977</v>
      </c>
      <c r="D5499" t="n">
        <v>9.889519259331021</v>
      </c>
    </row>
    <row r="5500">
      <c r="A5500" t="inlineStr">
        <is>
          <t>Kuwait</t>
        </is>
      </c>
      <c r="B5500" t="inlineStr">
        <is>
          <t>KWT</t>
        </is>
      </c>
      <c r="C5500" t="n">
        <v>1978</v>
      </c>
      <c r="D5500" t="n">
        <v>8.6897451227484</v>
      </c>
    </row>
    <row r="5501">
      <c r="A5501" t="inlineStr">
        <is>
          <t>Kuwait</t>
        </is>
      </c>
      <c r="B5501" t="inlineStr">
        <is>
          <t>KWT</t>
        </is>
      </c>
      <c r="C5501" t="n">
        <v>1979</v>
      </c>
      <c r="D5501" t="n">
        <v>7.04999999925009</v>
      </c>
    </row>
    <row r="5502">
      <c r="A5502" t="inlineStr">
        <is>
          <t>Kuwait</t>
        </is>
      </c>
      <c r="B5502" t="inlineStr">
        <is>
          <t>KWT</t>
        </is>
      </c>
      <c r="C5502" t="n">
        <v>1980</v>
      </c>
      <c r="D5502" t="n">
        <v>6.92822668563188</v>
      </c>
    </row>
    <row r="5503">
      <c r="A5503" t="inlineStr">
        <is>
          <t>Kuwait</t>
        </is>
      </c>
      <c r="B5503" t="inlineStr">
        <is>
          <t>KWT</t>
        </is>
      </c>
      <c r="C5503" t="n">
        <v>1981</v>
      </c>
      <c r="D5503" t="n">
        <v>7.37478159583807</v>
      </c>
    </row>
    <row r="5504">
      <c r="A5504" t="inlineStr">
        <is>
          <t>Kuwait</t>
        </is>
      </c>
      <c r="B5504" t="inlineStr">
        <is>
          <t>KWT</t>
        </is>
      </c>
      <c r="C5504" t="n">
        <v>1982</v>
      </c>
      <c r="D5504" t="n">
        <v>7.77679842690853</v>
      </c>
    </row>
    <row r="5505">
      <c r="A5505" t="inlineStr">
        <is>
          <t>Kuwait</t>
        </is>
      </c>
      <c r="B5505" t="inlineStr">
        <is>
          <t>KWT</t>
        </is>
      </c>
      <c r="C5505" t="n">
        <v>1983</v>
      </c>
      <c r="D5505" t="n">
        <v>4.71816809275156</v>
      </c>
    </row>
    <row r="5506">
      <c r="A5506" t="inlineStr">
        <is>
          <t>Kuwait</t>
        </is>
      </c>
      <c r="B5506" t="inlineStr">
        <is>
          <t>KWT</t>
        </is>
      </c>
      <c r="C5506" t="n">
        <v>1984</v>
      </c>
      <c r="D5506" t="n">
        <v>1.17746005046669</v>
      </c>
    </row>
    <row r="5507">
      <c r="A5507" t="inlineStr">
        <is>
          <t>Kuwait</t>
        </is>
      </c>
      <c r="B5507" t="inlineStr">
        <is>
          <t>KWT</t>
        </is>
      </c>
      <c r="C5507" t="n">
        <v>1985</v>
      </c>
      <c r="D5507" t="n">
        <v>1.49032181427877</v>
      </c>
    </row>
    <row r="5508">
      <c r="A5508" t="inlineStr">
        <is>
          <t>Kuwait</t>
        </is>
      </c>
      <c r="B5508" t="inlineStr">
        <is>
          <t>KWT</t>
        </is>
      </c>
      <c r="C5508" t="n">
        <v>1986</v>
      </c>
      <c r="D5508" t="n">
        <v>0.9536067401920379</v>
      </c>
    </row>
    <row r="5509">
      <c r="A5509" t="inlineStr">
        <is>
          <t>Kuwait</t>
        </is>
      </c>
      <c r="B5509" t="inlineStr">
        <is>
          <t>KWT</t>
        </is>
      </c>
      <c r="C5509" t="n">
        <v>1987</v>
      </c>
      <c r="D5509" t="n">
        <v>0.654844691701656</v>
      </c>
    </row>
    <row r="5510">
      <c r="A5510" t="inlineStr">
        <is>
          <t>Kuwait</t>
        </is>
      </c>
      <c r="B5510" t="inlineStr">
        <is>
          <t>KWT</t>
        </is>
      </c>
      <c r="C5510" t="n">
        <v>1988</v>
      </c>
      <c r="D5510" t="n">
        <v>1.46813288041913</v>
      </c>
    </row>
    <row r="5511">
      <c r="A5511" t="inlineStr">
        <is>
          <t>Kuwait</t>
        </is>
      </c>
      <c r="B5511" t="inlineStr">
        <is>
          <t>KWT</t>
        </is>
      </c>
      <c r="C5511" t="n">
        <v>1989</v>
      </c>
      <c r="D5511" t="n">
        <v>3.34203359055792</v>
      </c>
    </row>
    <row r="5512">
      <c r="A5512" t="inlineStr">
        <is>
          <t>Kuwait</t>
        </is>
      </c>
      <c r="B5512" t="inlineStr">
        <is>
          <t>KWT</t>
        </is>
      </c>
      <c r="C5512" t="n">
        <v>1990</v>
      </c>
      <c r="D5512" t="n">
        <v>9.833635315434019</v>
      </c>
    </row>
    <row r="5513">
      <c r="A5513" t="inlineStr">
        <is>
          <t>Kuwait</t>
        </is>
      </c>
      <c r="B5513" t="inlineStr">
        <is>
          <t>KWT</t>
        </is>
      </c>
      <c r="C5513" t="n">
        <v>1991</v>
      </c>
      <c r="D5513" t="n">
        <v>9.058188362327581</v>
      </c>
    </row>
    <row r="5514">
      <c r="A5514" t="inlineStr">
        <is>
          <t>Kuwait</t>
        </is>
      </c>
      <c r="B5514" t="inlineStr">
        <is>
          <t>KWT</t>
        </is>
      </c>
      <c r="C5514" t="n">
        <v>1992</v>
      </c>
      <c r="D5514" t="n">
        <v>-0.54547121378821</v>
      </c>
    </row>
    <row r="5515">
      <c r="A5515" t="inlineStr">
        <is>
          <t>Kuwait</t>
        </is>
      </c>
      <c r="B5515" t="inlineStr">
        <is>
          <t>KWT</t>
        </is>
      </c>
      <c r="C5515" t="n">
        <v>1993</v>
      </c>
      <c r="D5515" t="n">
        <v>0.382541365165916</v>
      </c>
    </row>
    <row r="5516">
      <c r="A5516" t="inlineStr">
        <is>
          <t>Kuwait</t>
        </is>
      </c>
      <c r="B5516" t="inlineStr">
        <is>
          <t>KWT</t>
        </is>
      </c>
      <c r="C5516" t="n">
        <v>1994</v>
      </c>
      <c r="D5516" t="n">
        <v>2.53443526170792</v>
      </c>
    </row>
    <row r="5517">
      <c r="A5517" t="inlineStr">
        <is>
          <t>Kuwait</t>
        </is>
      </c>
      <c r="B5517" t="inlineStr">
        <is>
          <t>KWT</t>
        </is>
      </c>
      <c r="C5517" t="n">
        <v>1995</v>
      </c>
      <c r="D5517" t="n">
        <v>2.68672756582484</v>
      </c>
    </row>
    <row r="5518">
      <c r="A5518" t="inlineStr">
        <is>
          <t>Kuwait</t>
        </is>
      </c>
      <c r="B5518" t="inlineStr">
        <is>
          <t>KWT</t>
        </is>
      </c>
      <c r="C5518" t="n">
        <v>1996</v>
      </c>
      <c r="D5518" t="n">
        <v>3.55398569684287</v>
      </c>
    </row>
    <row r="5519">
      <c r="A5519" t="inlineStr">
        <is>
          <t>Kuwait</t>
        </is>
      </c>
      <c r="B5519" t="inlineStr">
        <is>
          <t>KWT</t>
        </is>
      </c>
      <c r="C5519" t="n">
        <v>1997</v>
      </c>
      <c r="D5519" t="n">
        <v>0.682191434707604</v>
      </c>
    </row>
    <row r="5520">
      <c r="A5520" t="inlineStr">
        <is>
          <t>Kuwait</t>
        </is>
      </c>
      <c r="B5520" t="inlineStr">
        <is>
          <t>KWT</t>
        </is>
      </c>
      <c r="C5520" t="n">
        <v>1998</v>
      </c>
      <c r="D5520" t="n">
        <v>0.129658287674027</v>
      </c>
    </row>
    <row r="5521">
      <c r="A5521" t="inlineStr">
        <is>
          <t>Kuwait</t>
        </is>
      </c>
      <c r="B5521" t="inlineStr">
        <is>
          <t>KWT</t>
        </is>
      </c>
      <c r="C5521" t="n">
        <v>1999</v>
      </c>
      <c r="D5521" t="n">
        <v>2.99081035923166</v>
      </c>
    </row>
    <row r="5522">
      <c r="A5522" t="inlineStr">
        <is>
          <t>Kuwait</t>
        </is>
      </c>
      <c r="B5522" t="inlineStr">
        <is>
          <t>KWT</t>
        </is>
      </c>
      <c r="C5522" t="n">
        <v>2000</v>
      </c>
      <c r="D5522" t="n">
        <v>1.81294613887089</v>
      </c>
    </row>
    <row r="5523">
      <c r="A5523" t="inlineStr">
        <is>
          <t>Kuwait</t>
        </is>
      </c>
      <c r="B5523" t="inlineStr">
        <is>
          <t>KWT</t>
        </is>
      </c>
      <c r="C5523" t="n">
        <v>2001</v>
      </c>
      <c r="D5523" t="n">
        <v>1.29999999999999</v>
      </c>
    </row>
    <row r="5524">
      <c r="A5524" t="inlineStr">
        <is>
          <t>Kuwait</t>
        </is>
      </c>
      <c r="B5524" t="inlineStr">
        <is>
          <t>KWT</t>
        </is>
      </c>
      <c r="C5524" t="n">
        <v>2002</v>
      </c>
      <c r="D5524" t="n">
        <v>0.888450148074907</v>
      </c>
    </row>
    <row r="5525">
      <c r="A5525" t="inlineStr">
        <is>
          <t>Kuwait</t>
        </is>
      </c>
      <c r="B5525" t="inlineStr">
        <is>
          <t>KWT</t>
        </is>
      </c>
      <c r="C5525" t="n">
        <v>2003</v>
      </c>
      <c r="D5525" t="n">
        <v>0.961350293542112</v>
      </c>
    </row>
    <row r="5526">
      <c r="A5526" t="inlineStr">
        <is>
          <t>Kuwait</t>
        </is>
      </c>
      <c r="B5526" t="inlineStr">
        <is>
          <t>KWT</t>
        </is>
      </c>
      <c r="C5526" t="n">
        <v>2004</v>
      </c>
      <c r="D5526" t="n">
        <v>1.24856443679889</v>
      </c>
    </row>
    <row r="5527">
      <c r="A5527" t="inlineStr">
        <is>
          <t>Kuwait</t>
        </is>
      </c>
      <c r="B5527" t="inlineStr">
        <is>
          <t>KWT</t>
        </is>
      </c>
      <c r="C5527" t="n">
        <v>2005</v>
      </c>
      <c r="D5527" t="n">
        <v>4.14297583631023</v>
      </c>
    </row>
    <row r="5528">
      <c r="A5528" t="inlineStr">
        <is>
          <t>Kuwait</t>
        </is>
      </c>
      <c r="B5528" t="inlineStr">
        <is>
          <t>KWT</t>
        </is>
      </c>
      <c r="C5528" t="n">
        <v>2006</v>
      </c>
      <c r="D5528" t="n">
        <v>3.05701339166722</v>
      </c>
    </row>
    <row r="5529">
      <c r="A5529" t="inlineStr">
        <is>
          <t>Kuwait</t>
        </is>
      </c>
      <c r="B5529" t="inlineStr">
        <is>
          <t>KWT</t>
        </is>
      </c>
      <c r="C5529" t="n">
        <v>2007</v>
      </c>
      <c r="D5529" t="n">
        <v>5.48494983277596</v>
      </c>
    </row>
    <row r="5530">
      <c r="A5530" t="inlineStr">
        <is>
          <t>Kuwait</t>
        </is>
      </c>
      <c r="B5530" t="inlineStr">
        <is>
          <t>KWT</t>
        </is>
      </c>
      <c r="C5530" t="n">
        <v>2008</v>
      </c>
      <c r="D5530" t="n">
        <v>10.5827097865144</v>
      </c>
    </row>
    <row r="5531">
      <c r="A5531" t="inlineStr">
        <is>
          <t>Kuwait</t>
        </is>
      </c>
      <c r="B5531" t="inlineStr">
        <is>
          <t>KWT</t>
        </is>
      </c>
      <c r="C5531" t="n">
        <v>2009</v>
      </c>
      <c r="D5531" t="n">
        <v>4.60959548447787</v>
      </c>
    </row>
    <row r="5532">
      <c r="A5532" t="inlineStr">
        <is>
          <t>Kuwait</t>
        </is>
      </c>
      <c r="B5532" t="inlineStr">
        <is>
          <t>KWT</t>
        </is>
      </c>
      <c r="C5532" t="n">
        <v>2010</v>
      </c>
      <c r="D5532" t="n">
        <v>4.49640287769787</v>
      </c>
    </row>
    <row r="5533">
      <c r="A5533" t="inlineStr">
        <is>
          <t>Kuwait</t>
        </is>
      </c>
      <c r="B5533" t="inlineStr">
        <is>
          <t>KWT</t>
        </is>
      </c>
      <c r="C5533" t="n">
        <v>2011</v>
      </c>
      <c r="D5533" t="n">
        <v>4.8394034987095</v>
      </c>
    </row>
    <row r="5534">
      <c r="A5534" t="inlineStr">
        <is>
          <t>Kuwait</t>
        </is>
      </c>
      <c r="B5534" t="inlineStr">
        <is>
          <t>KWT</t>
        </is>
      </c>
      <c r="C5534" t="n">
        <v>2012</v>
      </c>
      <c r="D5534" t="n">
        <v>3.25514600287211</v>
      </c>
    </row>
    <row r="5535">
      <c r="A5535" t="inlineStr">
        <is>
          <t>Kuwait</t>
        </is>
      </c>
      <c r="B5535" t="inlineStr">
        <is>
          <t>KWT</t>
        </is>
      </c>
      <c r="C5535" t="n">
        <v>2013</v>
      </c>
      <c r="D5535" t="n">
        <v>2.68229684085039</v>
      </c>
    </row>
    <row r="5536">
      <c r="A5536" t="inlineStr">
        <is>
          <t>Kuwait</t>
        </is>
      </c>
      <c r="B5536" t="inlineStr">
        <is>
          <t>KWT</t>
        </is>
      </c>
      <c r="C5536" t="n">
        <v>2014</v>
      </c>
      <c r="D5536" t="n">
        <v>2.90892672858625</v>
      </c>
    </row>
    <row r="5537">
      <c r="A5537" t="inlineStr">
        <is>
          <t>Kuwait</t>
        </is>
      </c>
      <c r="B5537" t="inlineStr">
        <is>
          <t>KWT</t>
        </is>
      </c>
      <c r="C5537" t="n">
        <v>2015</v>
      </c>
      <c r="D5537" t="n">
        <v>3.27170166092133</v>
      </c>
    </row>
    <row r="5538">
      <c r="A5538" t="inlineStr">
        <is>
          <t>Kuwait</t>
        </is>
      </c>
      <c r="B5538" t="inlineStr">
        <is>
          <t>KWT</t>
        </is>
      </c>
      <c r="C5538" t="n">
        <v>2016</v>
      </c>
      <c r="D5538" t="n">
        <v>3.19839776658374</v>
      </c>
    </row>
    <row r="5539">
      <c r="A5539" t="inlineStr">
        <is>
          <t>Kuwait</t>
        </is>
      </c>
      <c r="B5539" t="inlineStr">
        <is>
          <t>KWT</t>
        </is>
      </c>
      <c r="C5539" t="n">
        <v>2017</v>
      </c>
      <c r="D5539" t="n">
        <v>2.17183298510006</v>
      </c>
    </row>
    <row r="5540">
      <c r="A5540" t="inlineStr">
        <is>
          <t>Kuwait</t>
        </is>
      </c>
      <c r="B5540" t="inlineStr">
        <is>
          <t>KWT</t>
        </is>
      </c>
      <c r="C5540" t="n">
        <v>2018</v>
      </c>
      <c r="D5540" t="n">
        <v>0.543133148199567</v>
      </c>
    </row>
    <row r="5541">
      <c r="A5541" t="inlineStr">
        <is>
          <t>Kuwait</t>
        </is>
      </c>
      <c r="B5541" t="inlineStr">
        <is>
          <t>KWT</t>
        </is>
      </c>
      <c r="C5541" t="n">
        <v>2019</v>
      </c>
      <c r="D5541" t="n">
        <v>1.09184802655856</v>
      </c>
    </row>
    <row r="5542">
      <c r="A5542" t="inlineStr">
        <is>
          <t>Kuwait</t>
        </is>
      </c>
      <c r="B5542" t="inlineStr">
        <is>
          <t>KWT</t>
        </is>
      </c>
      <c r="C5542" t="n">
        <v>2020</v>
      </c>
      <c r="D5542" t="n">
        <v>2.101729548274</v>
      </c>
    </row>
    <row r="5543">
      <c r="A5543" t="inlineStr">
        <is>
          <t>Kuwait</t>
        </is>
      </c>
      <c r="B5543" t="inlineStr">
        <is>
          <t>KWT</t>
        </is>
      </c>
      <c r="C5543" t="n">
        <v>2021</v>
      </c>
      <c r="D5543" t="n">
        <v>3.42362947609188</v>
      </c>
    </row>
    <row r="5544">
      <c r="A5544" t="inlineStr">
        <is>
          <t>Kuwait</t>
        </is>
      </c>
      <c r="B5544" t="inlineStr">
        <is>
          <t>KWT</t>
        </is>
      </c>
      <c r="C5544" t="n">
        <v>2022</v>
      </c>
      <c r="D5544" t="n">
        <v>3.98064961990313</v>
      </c>
    </row>
    <row r="5545">
      <c r="A5545" t="inlineStr">
        <is>
          <t>Kuwait</t>
        </is>
      </c>
      <c r="B5545" t="inlineStr">
        <is>
          <t>KWT</t>
        </is>
      </c>
      <c r="C5545" t="n">
        <v>2023</v>
      </c>
      <c r="D5545" t="n">
        <v>3.64216403030709</v>
      </c>
    </row>
    <row r="5546">
      <c r="A5546" t="inlineStr">
        <is>
          <t>Kuwait</t>
        </is>
      </c>
      <c r="B5546" t="inlineStr">
        <is>
          <t>KWT</t>
        </is>
      </c>
      <c r="C5546" t="n">
        <v>2024</v>
      </c>
      <c r="D5546" t="n">
        <v>2.89855072463762</v>
      </c>
    </row>
    <row r="5547">
      <c r="A5547" t="inlineStr">
        <is>
          <t>Latin America &amp; Caribbean (excluding high income)</t>
        </is>
      </c>
      <c r="B5547" t="inlineStr">
        <is>
          <t>LAC</t>
        </is>
      </c>
      <c r="C5547" t="n">
        <v>1960</v>
      </c>
      <c r="D5547" t="n">
        <v>2.26687099162785</v>
      </c>
    </row>
    <row r="5548">
      <c r="A5548" t="inlineStr">
        <is>
          <t>Latin America &amp; Caribbean (excluding high income)</t>
        </is>
      </c>
      <c r="B5548" t="inlineStr">
        <is>
          <t>LAC</t>
        </is>
      </c>
      <c r="C5548" t="n">
        <v>1961</v>
      </c>
      <c r="D5548" t="n">
        <v>3.10525014675917</v>
      </c>
    </row>
    <row r="5549">
      <c r="A5549" t="inlineStr">
        <is>
          <t>Latin America &amp; Caribbean (excluding high income)</t>
        </is>
      </c>
      <c r="B5549" t="inlineStr">
        <is>
          <t>LAC</t>
        </is>
      </c>
      <c r="C5549" t="n">
        <v>1962</v>
      </c>
      <c r="D5549" t="n">
        <v>2.07669528411567</v>
      </c>
    </row>
    <row r="5550">
      <c r="A5550" t="inlineStr">
        <is>
          <t>Latin America &amp; Caribbean (excluding high income)</t>
        </is>
      </c>
      <c r="B5550" t="inlineStr">
        <is>
          <t>LAC</t>
        </is>
      </c>
      <c r="C5550" t="n">
        <v>1963</v>
      </c>
      <c r="D5550" t="n">
        <v>2.51476028420781</v>
      </c>
    </row>
    <row r="5551">
      <c r="A5551" t="inlineStr">
        <is>
          <t>Latin America &amp; Caribbean (excluding high income)</t>
        </is>
      </c>
      <c r="B5551" t="inlineStr">
        <is>
          <t>LAC</t>
        </is>
      </c>
      <c r="C5551" t="n">
        <v>1964</v>
      </c>
      <c r="D5551" t="n">
        <v>3.6791188489122</v>
      </c>
    </row>
    <row r="5552">
      <c r="A5552" t="inlineStr">
        <is>
          <t>Latin America &amp; Caribbean (excluding high income)</t>
        </is>
      </c>
      <c r="B5552" t="inlineStr">
        <is>
          <t>LAC</t>
        </is>
      </c>
      <c r="C5552" t="n">
        <v>1965</v>
      </c>
      <c r="D5552" t="n">
        <v>2.74593248798561</v>
      </c>
    </row>
    <row r="5553">
      <c r="A5553" t="inlineStr">
        <is>
          <t>Latin America &amp; Caribbean (excluding high income)</t>
        </is>
      </c>
      <c r="B5553" t="inlineStr">
        <is>
          <t>LAC</t>
        </is>
      </c>
      <c r="C5553" t="n">
        <v>1966</v>
      </c>
      <c r="D5553" t="n">
        <v>2.87319422160326</v>
      </c>
    </row>
    <row r="5554">
      <c r="A5554" t="inlineStr">
        <is>
          <t>Latin America &amp; Caribbean (excluding high income)</t>
        </is>
      </c>
      <c r="B5554" t="inlineStr">
        <is>
          <t>LAC</t>
        </is>
      </c>
      <c r="C5554" t="n">
        <v>1967</v>
      </c>
      <c r="D5554" t="n">
        <v>2.55439473084728</v>
      </c>
    </row>
    <row r="5555">
      <c r="A5555" t="inlineStr">
        <is>
          <t>Latin America &amp; Caribbean (excluding high income)</t>
        </is>
      </c>
      <c r="B5555" t="inlineStr">
        <is>
          <t>LAC</t>
        </is>
      </c>
      <c r="C5555" t="n">
        <v>1968</v>
      </c>
      <c r="D5555" t="n">
        <v>3.25356740941591</v>
      </c>
    </row>
    <row r="5556">
      <c r="A5556" t="inlineStr">
        <is>
          <t>Latin America &amp; Caribbean (excluding high income)</t>
        </is>
      </c>
      <c r="B5556" t="inlineStr">
        <is>
          <t>LAC</t>
        </is>
      </c>
      <c r="C5556" t="n">
        <v>1969</v>
      </c>
      <c r="D5556" t="n">
        <v>2.44186116813624</v>
      </c>
    </row>
    <row r="5557">
      <c r="A5557" t="inlineStr">
        <is>
          <t>Latin America &amp; Caribbean (excluding high income)</t>
        </is>
      </c>
      <c r="B5557" t="inlineStr">
        <is>
          <t>LAC</t>
        </is>
      </c>
      <c r="C5557" t="n">
        <v>1970</v>
      </c>
      <c r="D5557" t="n">
        <v>4.30390335201461</v>
      </c>
    </row>
    <row r="5558">
      <c r="A5558" t="inlineStr">
        <is>
          <t>Latin America &amp; Caribbean (excluding high income)</t>
        </is>
      </c>
      <c r="B5558" t="inlineStr">
        <is>
          <t>LAC</t>
        </is>
      </c>
      <c r="C5558" t="n">
        <v>1971</v>
      </c>
      <c r="D5558" t="n">
        <v>4.31393562108009</v>
      </c>
    </row>
    <row r="5559">
      <c r="A5559" t="inlineStr">
        <is>
          <t>Latin America &amp; Caribbean (excluding high income)</t>
        </is>
      </c>
      <c r="B5559" t="inlineStr">
        <is>
          <t>LAC</t>
        </is>
      </c>
      <c r="C5559" t="n">
        <v>1972</v>
      </c>
      <c r="D5559" t="n">
        <v>5.18569768004313</v>
      </c>
    </row>
    <row r="5560">
      <c r="A5560" t="inlineStr">
        <is>
          <t>Latin America &amp; Caribbean (excluding high income)</t>
        </is>
      </c>
      <c r="B5560" t="inlineStr">
        <is>
          <t>LAC</t>
        </is>
      </c>
      <c r="C5560" t="n">
        <v>1973</v>
      </c>
      <c r="D5560" t="n">
        <v>13.1907070156339</v>
      </c>
    </row>
    <row r="5561">
      <c r="A5561" t="inlineStr">
        <is>
          <t>Latin America &amp; Caribbean (excluding high income)</t>
        </is>
      </c>
      <c r="B5561" t="inlineStr">
        <is>
          <t>LAC</t>
        </is>
      </c>
      <c r="C5561" t="n">
        <v>1974</v>
      </c>
      <c r="D5561" t="n">
        <v>23.2440485325972</v>
      </c>
    </row>
    <row r="5562">
      <c r="A5562" t="inlineStr">
        <is>
          <t>Latin America &amp; Caribbean (excluding high income)</t>
        </is>
      </c>
      <c r="B5562" t="inlineStr">
        <is>
          <t>LAC</t>
        </is>
      </c>
      <c r="C5562" t="n">
        <v>1975</v>
      </c>
      <c r="D5562" t="n">
        <v>14.9445346409267</v>
      </c>
    </row>
    <row r="5563">
      <c r="A5563" t="inlineStr">
        <is>
          <t>Latin America &amp; Caribbean (excluding high income)</t>
        </is>
      </c>
      <c r="B5563" t="inlineStr">
        <is>
          <t>LAC</t>
        </is>
      </c>
      <c r="C5563" t="n">
        <v>1976</v>
      </c>
      <c r="D5563" t="n">
        <v>9.793653275346511</v>
      </c>
    </row>
    <row r="5564">
      <c r="A5564" t="inlineStr">
        <is>
          <t>Latin America &amp; Caribbean (excluding high income)</t>
        </is>
      </c>
      <c r="B5564" t="inlineStr">
        <is>
          <t>LAC</t>
        </is>
      </c>
      <c r="C5564" t="n">
        <v>1977</v>
      </c>
      <c r="D5564" t="n">
        <v>10.6889574207751</v>
      </c>
    </row>
    <row r="5565">
      <c r="A5565" t="inlineStr">
        <is>
          <t>Latin America &amp; Caribbean (excluding high income)</t>
        </is>
      </c>
      <c r="B5565" t="inlineStr">
        <is>
          <t>LAC</t>
        </is>
      </c>
      <c r="C5565" t="n">
        <v>1978</v>
      </c>
      <c r="D5565" t="n">
        <v>10.5079599343186</v>
      </c>
    </row>
    <row r="5566">
      <c r="A5566" t="inlineStr">
        <is>
          <t>Latin America &amp; Caribbean (excluding high income)</t>
        </is>
      </c>
      <c r="B5566" t="inlineStr">
        <is>
          <t>LAC</t>
        </is>
      </c>
      <c r="C5566" t="n">
        <v>1979</v>
      </c>
      <c r="D5566" t="n">
        <v>14.8423081655328</v>
      </c>
    </row>
    <row r="5567">
      <c r="A5567" t="inlineStr">
        <is>
          <t>Latin America &amp; Caribbean (excluding high income)</t>
        </is>
      </c>
      <c r="B5567" t="inlineStr">
        <is>
          <t>LAC</t>
        </is>
      </c>
      <c r="C5567" t="n">
        <v>1980</v>
      </c>
      <c r="D5567" t="n">
        <v>18.135170796071</v>
      </c>
    </row>
    <row r="5568">
      <c r="A5568" t="inlineStr">
        <is>
          <t>Latin America &amp; Caribbean (excluding high income)</t>
        </is>
      </c>
      <c r="B5568" t="inlineStr">
        <is>
          <t>LAC</t>
        </is>
      </c>
      <c r="C5568" t="n">
        <v>1981</v>
      </c>
      <c r="D5568" t="n">
        <v>13.6573280826891</v>
      </c>
    </row>
    <row r="5569">
      <c r="A5569" t="inlineStr">
        <is>
          <t>Latin America &amp; Caribbean (excluding high income)</t>
        </is>
      </c>
      <c r="B5569" t="inlineStr">
        <is>
          <t>LAC</t>
        </is>
      </c>
      <c r="C5569" t="n">
        <v>1982</v>
      </c>
      <c r="D5569" t="n">
        <v>7.72949223911318</v>
      </c>
    </row>
    <row r="5570">
      <c r="A5570" t="inlineStr">
        <is>
          <t>Latin America &amp; Caribbean (excluding high income)</t>
        </is>
      </c>
      <c r="B5570" t="inlineStr">
        <is>
          <t>LAC</t>
        </is>
      </c>
      <c r="C5570" t="n">
        <v>1983</v>
      </c>
      <c r="D5570" t="n">
        <v>10.9128872185399</v>
      </c>
    </row>
    <row r="5571">
      <c r="A5571" t="inlineStr">
        <is>
          <t>Latin America &amp; Caribbean (excluding high income)</t>
        </is>
      </c>
      <c r="B5571" t="inlineStr">
        <is>
          <t>LAC</t>
        </is>
      </c>
      <c r="C5571" t="n">
        <v>1984</v>
      </c>
      <c r="D5571" t="n">
        <v>11.7272982588087</v>
      </c>
    </row>
    <row r="5572">
      <c r="A5572" t="inlineStr">
        <is>
          <t>Latin America &amp; Caribbean (excluding high income)</t>
        </is>
      </c>
      <c r="B5572" t="inlineStr">
        <is>
          <t>LAC</t>
        </is>
      </c>
      <c r="C5572" t="n">
        <v>1985</v>
      </c>
      <c r="D5572" t="n">
        <v>20.5075831762827</v>
      </c>
    </row>
    <row r="5573">
      <c r="A5573" t="inlineStr">
        <is>
          <t>Latin America &amp; Caribbean (excluding high income)</t>
        </is>
      </c>
      <c r="B5573" t="inlineStr">
        <is>
          <t>LAC</t>
        </is>
      </c>
      <c r="C5573" t="n">
        <v>1986</v>
      </c>
      <c r="D5573" t="n">
        <v>16.8966680544701</v>
      </c>
    </row>
    <row r="5574">
      <c r="A5574" t="inlineStr">
        <is>
          <t>Latin America &amp; Caribbean (excluding high income)</t>
        </is>
      </c>
      <c r="B5574" t="inlineStr">
        <is>
          <t>LAC</t>
        </is>
      </c>
      <c r="C5574" t="n">
        <v>1987</v>
      </c>
      <c r="D5574" t="n">
        <v>14.0647111158506</v>
      </c>
    </row>
    <row r="5575">
      <c r="A5575" t="inlineStr">
        <is>
          <t>Latin America &amp; Caribbean (excluding high income)</t>
        </is>
      </c>
      <c r="B5575" t="inlineStr">
        <is>
          <t>LAC</t>
        </is>
      </c>
      <c r="C5575" t="n">
        <v>1988</v>
      </c>
      <c r="D5575" t="n">
        <v>13.4173974119652</v>
      </c>
    </row>
    <row r="5576">
      <c r="A5576" t="inlineStr">
        <is>
          <t>Latin America &amp; Caribbean (excluding high income)</t>
        </is>
      </c>
      <c r="B5576" t="inlineStr">
        <is>
          <t>LAC</t>
        </is>
      </c>
      <c r="C5576" t="n">
        <v>1989</v>
      </c>
      <c r="D5576" t="n">
        <v>14.7515035727152</v>
      </c>
    </row>
    <row r="5577">
      <c r="A5577" t="inlineStr">
        <is>
          <t>Latin America &amp; Caribbean (excluding high income)</t>
        </is>
      </c>
      <c r="B5577" t="inlineStr">
        <is>
          <t>LAC</t>
        </is>
      </c>
      <c r="C5577" t="n">
        <v>1990</v>
      </c>
      <c r="D5577" t="n">
        <v>22.6413707765775</v>
      </c>
    </row>
    <row r="5578">
      <c r="A5578" t="inlineStr">
        <is>
          <t>Latin America &amp; Caribbean (excluding high income)</t>
        </is>
      </c>
      <c r="B5578" t="inlineStr">
        <is>
          <t>LAC</t>
        </is>
      </c>
      <c r="C5578" t="n">
        <v>1991</v>
      </c>
      <c r="D5578" t="n">
        <v>25.0964073093493</v>
      </c>
    </row>
    <row r="5579">
      <c r="A5579" t="inlineStr">
        <is>
          <t>Latin America &amp; Caribbean (excluding high income)</t>
        </is>
      </c>
      <c r="B5579" t="inlineStr">
        <is>
          <t>LAC</t>
        </is>
      </c>
      <c r="C5579" t="n">
        <v>1992</v>
      </c>
      <c r="D5579" t="n">
        <v>13.6265336830005</v>
      </c>
    </row>
    <row r="5580">
      <c r="A5580" t="inlineStr">
        <is>
          <t>Latin America &amp; Caribbean (excluding high income)</t>
        </is>
      </c>
      <c r="B5580" t="inlineStr">
        <is>
          <t>LAC</t>
        </is>
      </c>
      <c r="C5580" t="n">
        <v>1993</v>
      </c>
      <c r="D5580" t="n">
        <v>11.2841684454988</v>
      </c>
    </row>
    <row r="5581">
      <c r="A5581" t="inlineStr">
        <is>
          <t>Latin America &amp; Caribbean (excluding high income)</t>
        </is>
      </c>
      <c r="B5581" t="inlineStr">
        <is>
          <t>LAC</t>
        </is>
      </c>
      <c r="C5581" t="n">
        <v>1994</v>
      </c>
      <c r="D5581" t="n">
        <v>12.1948949383909</v>
      </c>
    </row>
    <row r="5582">
      <c r="A5582" t="inlineStr">
        <is>
          <t>Latin America &amp; Caribbean (excluding high income)</t>
        </is>
      </c>
      <c r="B5582" t="inlineStr">
        <is>
          <t>LAC</t>
        </is>
      </c>
      <c r="C5582" t="n">
        <v>1995</v>
      </c>
      <c r="D5582" t="n">
        <v>12.9806869102685</v>
      </c>
    </row>
    <row r="5583">
      <c r="A5583" t="inlineStr">
        <is>
          <t>Latin America &amp; Caribbean (excluding high income)</t>
        </is>
      </c>
      <c r="B5583" t="inlineStr">
        <is>
          <t>LAC</t>
        </is>
      </c>
      <c r="C5583" t="n">
        <v>1996</v>
      </c>
      <c r="D5583" t="n">
        <v>11.2974294718582</v>
      </c>
    </row>
    <row r="5584">
      <c r="A5584" t="inlineStr">
        <is>
          <t>Latin America &amp; Caribbean (excluding high income)</t>
        </is>
      </c>
      <c r="B5584" t="inlineStr">
        <is>
          <t>LAC</t>
        </is>
      </c>
      <c r="C5584" t="n">
        <v>1997</v>
      </c>
      <c r="D5584" t="n">
        <v>7.72083957837988</v>
      </c>
    </row>
    <row r="5585">
      <c r="A5585" t="inlineStr">
        <is>
          <t>Latin America &amp; Caribbean (excluding high income)</t>
        </is>
      </c>
      <c r="B5585" t="inlineStr">
        <is>
          <t>LAC</t>
        </is>
      </c>
      <c r="C5585" t="n">
        <v>1998</v>
      </c>
      <c r="D5585" t="n">
        <v>6.93064122865762</v>
      </c>
    </row>
    <row r="5586">
      <c r="A5586" t="inlineStr">
        <is>
          <t>Latin America &amp; Caribbean (excluding high income)</t>
        </is>
      </c>
      <c r="B5586" t="inlineStr">
        <is>
          <t>LAC</t>
        </is>
      </c>
      <c r="C5586" t="n">
        <v>1999</v>
      </c>
      <c r="D5586" t="n">
        <v>5.03602904251894</v>
      </c>
    </row>
    <row r="5587">
      <c r="A5587" t="inlineStr">
        <is>
          <t>Latin America &amp; Caribbean (excluding high income)</t>
        </is>
      </c>
      <c r="B5587" t="inlineStr">
        <is>
          <t>LAC</t>
        </is>
      </c>
      <c r="C5587" t="n">
        <v>2000</v>
      </c>
      <c r="D5587" t="n">
        <v>7.06991352252517</v>
      </c>
    </row>
    <row r="5588">
      <c r="A5588" t="inlineStr">
        <is>
          <t>Latin America &amp; Caribbean (excluding high income)</t>
        </is>
      </c>
      <c r="B5588" t="inlineStr">
        <is>
          <t>LAC</t>
        </is>
      </c>
      <c r="C5588" t="n">
        <v>2001</v>
      </c>
      <c r="D5588" t="n">
        <v>6.8019093078759</v>
      </c>
    </row>
    <row r="5589">
      <c r="A5589" t="inlineStr">
        <is>
          <t>Latin America &amp; Caribbean (excluding high income)</t>
        </is>
      </c>
      <c r="B5589" t="inlineStr">
        <is>
          <t>LAC</t>
        </is>
      </c>
      <c r="C5589" t="n">
        <v>2002</v>
      </c>
      <c r="D5589" t="n">
        <v>5.22336769759447</v>
      </c>
    </row>
    <row r="5590">
      <c r="A5590" t="inlineStr">
        <is>
          <t>Latin America &amp; Caribbean (excluding high income)</t>
        </is>
      </c>
      <c r="B5590" t="inlineStr">
        <is>
          <t>LAC</t>
        </is>
      </c>
      <c r="C5590" t="n">
        <v>2003</v>
      </c>
      <c r="D5590" t="n">
        <v>5.60347675434469</v>
      </c>
    </row>
    <row r="5591">
      <c r="A5591" t="inlineStr">
        <is>
          <t>Latin America &amp; Caribbean (excluding high income)</t>
        </is>
      </c>
      <c r="B5591" t="inlineStr">
        <is>
          <t>LAC</t>
        </is>
      </c>
      <c r="C5591" t="n">
        <v>2004</v>
      </c>
      <c r="D5591" t="n">
        <v>5.90402005546502</v>
      </c>
    </row>
    <row r="5592">
      <c r="A5592" t="inlineStr">
        <is>
          <t>Latin America &amp; Caribbean (excluding high income)</t>
        </is>
      </c>
      <c r="B5592" t="inlineStr">
        <is>
          <t>LAC</t>
        </is>
      </c>
      <c r="C5592" t="n">
        <v>2005</v>
      </c>
      <c r="D5592" t="n">
        <v>5.05101962689696</v>
      </c>
    </row>
    <row r="5593">
      <c r="A5593" t="inlineStr">
        <is>
          <t>Latin America &amp; Caribbean (excluding high income)</t>
        </is>
      </c>
      <c r="B5593" t="inlineStr">
        <is>
          <t>LAC</t>
        </is>
      </c>
      <c r="C5593" t="n">
        <v>2006</v>
      </c>
      <c r="D5593" t="n">
        <v>4.28239604802561</v>
      </c>
    </row>
    <row r="5594">
      <c r="A5594" t="inlineStr">
        <is>
          <t>Latin America &amp; Caribbean (excluding high income)</t>
        </is>
      </c>
      <c r="B5594" t="inlineStr">
        <is>
          <t>LAC</t>
        </is>
      </c>
      <c r="C5594" t="n">
        <v>2007</v>
      </c>
      <c r="D5594" t="n">
        <v>6.14356655248047</v>
      </c>
    </row>
    <row r="5595">
      <c r="A5595" t="inlineStr">
        <is>
          <t>Latin America &amp; Caribbean (excluding high income)</t>
        </is>
      </c>
      <c r="B5595" t="inlineStr">
        <is>
          <t>LAC</t>
        </is>
      </c>
      <c r="C5595" t="n">
        <v>2008</v>
      </c>
      <c r="D5595" t="n">
        <v>10.0662418245849</v>
      </c>
    </row>
    <row r="5596">
      <c r="A5596" t="inlineStr">
        <is>
          <t>Latin America &amp; Caribbean (excluding high income)</t>
        </is>
      </c>
      <c r="B5596" t="inlineStr">
        <is>
          <t>LAC</t>
        </is>
      </c>
      <c r="C5596" t="n">
        <v>2009</v>
      </c>
      <c r="D5596" t="n">
        <v>2.59194673430567</v>
      </c>
    </row>
    <row r="5597">
      <c r="A5597" t="inlineStr">
        <is>
          <t>Latin America &amp; Caribbean (excluding high income)</t>
        </is>
      </c>
      <c r="B5597" t="inlineStr">
        <is>
          <t>LAC</t>
        </is>
      </c>
      <c r="C5597" t="n">
        <v>2010</v>
      </c>
      <c r="D5597" t="n">
        <v>3.85950909833175</v>
      </c>
    </row>
    <row r="5598">
      <c r="A5598" t="inlineStr">
        <is>
          <t>Latin America &amp; Caribbean (excluding high income)</t>
        </is>
      </c>
      <c r="B5598" t="inlineStr">
        <is>
          <t>LAC</t>
        </is>
      </c>
      <c r="C5598" t="n">
        <v>2011</v>
      </c>
      <c r="D5598" t="n">
        <v>5.1289237668161</v>
      </c>
    </row>
    <row r="5599">
      <c r="A5599" t="inlineStr">
        <is>
          <t>Latin America &amp; Caribbean (excluding high income)</t>
        </is>
      </c>
      <c r="B5599" t="inlineStr">
        <is>
          <t>LAC</t>
        </is>
      </c>
      <c r="C5599" t="n">
        <v>2012</v>
      </c>
      <c r="D5599" t="n">
        <v>4.11150981070289</v>
      </c>
    </row>
    <row r="5600">
      <c r="A5600" t="inlineStr">
        <is>
          <t>Latin America &amp; Caribbean (excluding high income)</t>
        </is>
      </c>
      <c r="B5600" t="inlineStr">
        <is>
          <t>LAC</t>
        </is>
      </c>
      <c r="C5600" t="n">
        <v>2013</v>
      </c>
      <c r="D5600" t="n">
        <v>2.76789666082002</v>
      </c>
    </row>
    <row r="5601">
      <c r="A5601" t="inlineStr">
        <is>
          <t>Latin America &amp; Caribbean (excluding high income)</t>
        </is>
      </c>
      <c r="B5601" t="inlineStr">
        <is>
          <t>LAC</t>
        </is>
      </c>
      <c r="C5601" t="n">
        <v>2014</v>
      </c>
      <c r="D5601" t="n">
        <v>3.43816659958601</v>
      </c>
    </row>
    <row r="5602">
      <c r="A5602" t="inlineStr">
        <is>
          <t>Latin America &amp; Caribbean (excluding high income)</t>
        </is>
      </c>
      <c r="B5602" t="inlineStr">
        <is>
          <t>LAC</t>
        </is>
      </c>
      <c r="C5602" t="n">
        <v>2015</v>
      </c>
      <c r="D5602" t="n">
        <v>3.12900274473925</v>
      </c>
    </row>
    <row r="5603">
      <c r="A5603" t="inlineStr">
        <is>
          <t>Latin America &amp; Caribbean (excluding high income)</t>
        </is>
      </c>
      <c r="B5603" t="inlineStr">
        <is>
          <t>LAC</t>
        </is>
      </c>
      <c r="C5603" t="n">
        <v>2016</v>
      </c>
      <c r="D5603" t="n">
        <v>2.72461223295289</v>
      </c>
    </row>
    <row r="5604">
      <c r="A5604" t="inlineStr">
        <is>
          <t>Latin America &amp; Caribbean (excluding high income)</t>
        </is>
      </c>
      <c r="B5604" t="inlineStr">
        <is>
          <t>LAC</t>
        </is>
      </c>
      <c r="C5604" t="n">
        <v>2017</v>
      </c>
      <c r="D5604" t="n">
        <v>3.27955694678546</v>
      </c>
    </row>
    <row r="5605">
      <c r="A5605" t="inlineStr">
        <is>
          <t>Latin America &amp; Caribbean (excluding high income)</t>
        </is>
      </c>
      <c r="B5605" t="inlineStr">
        <is>
          <t>LAC</t>
        </is>
      </c>
      <c r="C5605" t="n">
        <v>2018</v>
      </c>
      <c r="D5605" t="n">
        <v>2.78235709149245</v>
      </c>
    </row>
    <row r="5606">
      <c r="A5606" t="inlineStr">
        <is>
          <t>Latin America &amp; Caribbean (excluding high income)</t>
        </is>
      </c>
      <c r="B5606" t="inlineStr">
        <is>
          <t>LAC</t>
        </is>
      </c>
      <c r="C5606" t="n">
        <v>2019</v>
      </c>
      <c r="D5606" t="n">
        <v>2.17408413342917</v>
      </c>
    </row>
    <row r="5607">
      <c r="A5607" t="inlineStr">
        <is>
          <t>Latin America &amp; Caribbean (excluding high income)</t>
        </is>
      </c>
      <c r="B5607" t="inlineStr">
        <is>
          <t>LAC</t>
        </is>
      </c>
      <c r="C5607" t="n">
        <v>2020</v>
      </c>
      <c r="D5607" t="n">
        <v>2.00241205759292</v>
      </c>
    </row>
    <row r="5608">
      <c r="A5608" t="inlineStr">
        <is>
          <t>Latin America &amp; Caribbean (excluding high income)</t>
        </is>
      </c>
      <c r="B5608" t="inlineStr">
        <is>
          <t>LAC</t>
        </is>
      </c>
      <c r="C5608" t="n">
        <v>2021</v>
      </c>
      <c r="D5608" t="n">
        <v>4.26105127422813</v>
      </c>
    </row>
    <row r="5609">
      <c r="A5609" t="inlineStr">
        <is>
          <t>Latin America &amp; Caribbean (excluding high income)</t>
        </is>
      </c>
      <c r="B5609" t="inlineStr">
        <is>
          <t>LAC</t>
        </is>
      </c>
      <c r="C5609" t="n">
        <v>2022</v>
      </c>
      <c r="D5609" t="n">
        <v>8.27477490232654</v>
      </c>
    </row>
    <row r="5610">
      <c r="A5610" t="inlineStr">
        <is>
          <t>Latin America &amp; Caribbean (excluding high income)</t>
        </is>
      </c>
      <c r="B5610" t="inlineStr">
        <is>
          <t>LAC</t>
        </is>
      </c>
      <c r="C5610" t="n">
        <v>2023</v>
      </c>
      <c r="D5610" t="n">
        <v>4.63202285403356</v>
      </c>
    </row>
    <row r="5611">
      <c r="A5611" t="inlineStr">
        <is>
          <t>Lao PDR</t>
        </is>
      </c>
      <c r="B5611" t="inlineStr">
        <is>
          <t>LAO</t>
        </is>
      </c>
      <c r="C5611" t="n">
        <v>1989</v>
      </c>
      <c r="D5611" t="n">
        <v>61.3325965106187</v>
      </c>
    </row>
    <row r="5612">
      <c r="A5612" t="inlineStr">
        <is>
          <t>Lao PDR</t>
        </is>
      </c>
      <c r="B5612" t="inlineStr">
        <is>
          <t>LAO</t>
        </is>
      </c>
      <c r="C5612" t="n">
        <v>1990</v>
      </c>
      <c r="D5612" t="n">
        <v>35.642982971227</v>
      </c>
    </row>
    <row r="5613">
      <c r="A5613" t="inlineStr">
        <is>
          <t>Lao PDR</t>
        </is>
      </c>
      <c r="B5613" t="inlineStr">
        <is>
          <t>LAO</t>
        </is>
      </c>
      <c r="C5613" t="n">
        <v>1991</v>
      </c>
      <c r="D5613" t="n">
        <v>13.4415584415586</v>
      </c>
    </row>
    <row r="5614">
      <c r="A5614" t="inlineStr">
        <is>
          <t>Lao PDR</t>
        </is>
      </c>
      <c r="B5614" t="inlineStr">
        <is>
          <t>LAO</t>
        </is>
      </c>
      <c r="C5614" t="n">
        <v>1992</v>
      </c>
      <c r="D5614" t="n">
        <v>9.86452966991032</v>
      </c>
    </row>
    <row r="5615">
      <c r="A5615" t="inlineStr">
        <is>
          <t>Lao PDR</t>
        </is>
      </c>
      <c r="B5615" t="inlineStr">
        <is>
          <t>LAO</t>
        </is>
      </c>
      <c r="C5615" t="n">
        <v>1993</v>
      </c>
      <c r="D5615" t="n">
        <v>6.26722241519029</v>
      </c>
    </row>
    <row r="5616">
      <c r="A5616" t="inlineStr">
        <is>
          <t>Lao PDR</t>
        </is>
      </c>
      <c r="B5616" t="inlineStr">
        <is>
          <t>LAO</t>
        </is>
      </c>
      <c r="C5616" t="n">
        <v>1994</v>
      </c>
      <c r="D5616" t="n">
        <v>6.7844807862023</v>
      </c>
    </row>
    <row r="5617">
      <c r="A5617" t="inlineStr">
        <is>
          <t>Lao PDR</t>
        </is>
      </c>
      <c r="B5617" t="inlineStr">
        <is>
          <t>LAO</t>
        </is>
      </c>
      <c r="C5617" t="n">
        <v>1995</v>
      </c>
      <c r="D5617" t="n">
        <v>19.5939189878584</v>
      </c>
    </row>
    <row r="5618">
      <c r="A5618" t="inlineStr">
        <is>
          <t>Lao PDR</t>
        </is>
      </c>
      <c r="B5618" t="inlineStr">
        <is>
          <t>LAO</t>
        </is>
      </c>
      <c r="C5618" t="n">
        <v>1996</v>
      </c>
      <c r="D5618" t="n">
        <v>13.0244156963462</v>
      </c>
    </row>
    <row r="5619">
      <c r="A5619" t="inlineStr">
        <is>
          <t>Lao PDR</t>
        </is>
      </c>
      <c r="B5619" t="inlineStr">
        <is>
          <t>LAO</t>
        </is>
      </c>
      <c r="C5619" t="n">
        <v>1997</v>
      </c>
      <c r="D5619" t="n">
        <v>27.5088624491449</v>
      </c>
    </row>
    <row r="5620">
      <c r="A5620" t="inlineStr">
        <is>
          <t>Lao PDR</t>
        </is>
      </c>
      <c r="B5620" t="inlineStr">
        <is>
          <t>LAO</t>
        </is>
      </c>
      <c r="C5620" t="n">
        <v>1998</v>
      </c>
      <c r="D5620" t="n">
        <v>90.98073456228779</v>
      </c>
    </row>
    <row r="5621">
      <c r="A5621" t="inlineStr">
        <is>
          <t>Lao PDR</t>
        </is>
      </c>
      <c r="B5621" t="inlineStr">
        <is>
          <t>LAO</t>
        </is>
      </c>
      <c r="C5621" t="n">
        <v>1999</v>
      </c>
      <c r="D5621" t="n">
        <v>125.27212839928</v>
      </c>
    </row>
    <row r="5622">
      <c r="A5622" t="inlineStr">
        <is>
          <t>Lao PDR</t>
        </is>
      </c>
      <c r="B5622" t="inlineStr">
        <is>
          <t>LAO</t>
        </is>
      </c>
      <c r="C5622" t="n">
        <v>2000</v>
      </c>
      <c r="D5622" t="n">
        <v>25.0846414281315</v>
      </c>
    </row>
    <row r="5623">
      <c r="A5623" t="inlineStr">
        <is>
          <t>Lao PDR</t>
        </is>
      </c>
      <c r="B5623" t="inlineStr">
        <is>
          <t>LAO</t>
        </is>
      </c>
      <c r="C5623" t="n">
        <v>2001</v>
      </c>
      <c r="D5623" t="n">
        <v>7.81180794783471</v>
      </c>
    </row>
    <row r="5624">
      <c r="A5624" t="inlineStr">
        <is>
          <t>Lao PDR</t>
        </is>
      </c>
      <c r="B5624" t="inlineStr">
        <is>
          <t>LAO</t>
        </is>
      </c>
      <c r="C5624" t="n">
        <v>2002</v>
      </c>
      <c r="D5624" t="n">
        <v>10.6313446323333</v>
      </c>
    </row>
    <row r="5625">
      <c r="A5625" t="inlineStr">
        <is>
          <t>Lao PDR</t>
        </is>
      </c>
      <c r="B5625" t="inlineStr">
        <is>
          <t>LAO</t>
        </is>
      </c>
      <c r="C5625" t="n">
        <v>2003</v>
      </c>
      <c r="D5625" t="n">
        <v>15.4893529233525</v>
      </c>
    </row>
    <row r="5626">
      <c r="A5626" t="inlineStr">
        <is>
          <t>Lao PDR</t>
        </is>
      </c>
      <c r="B5626" t="inlineStr">
        <is>
          <t>LAO</t>
        </is>
      </c>
      <c r="C5626" t="n">
        <v>2004</v>
      </c>
      <c r="D5626" t="n">
        <v>10.4622667314208</v>
      </c>
    </row>
    <row r="5627">
      <c r="A5627" t="inlineStr">
        <is>
          <t>Lao PDR</t>
        </is>
      </c>
      <c r="B5627" t="inlineStr">
        <is>
          <t>LAO</t>
        </is>
      </c>
      <c r="C5627" t="n">
        <v>2005</v>
      </c>
      <c r="D5627" t="n">
        <v>7.16541759946639</v>
      </c>
    </row>
    <row r="5628">
      <c r="A5628" t="inlineStr">
        <is>
          <t>Lao PDR</t>
        </is>
      </c>
      <c r="B5628" t="inlineStr">
        <is>
          <t>LAO</t>
        </is>
      </c>
      <c r="C5628" t="n">
        <v>2006</v>
      </c>
      <c r="D5628" t="n">
        <v>6.54559439052787</v>
      </c>
    </row>
    <row r="5629">
      <c r="A5629" t="inlineStr">
        <is>
          <t>Lao PDR</t>
        </is>
      </c>
      <c r="B5629" t="inlineStr">
        <is>
          <t>LAO</t>
        </is>
      </c>
      <c r="C5629" t="n">
        <v>2007</v>
      </c>
      <c r="D5629" t="n">
        <v>4.66197269469701</v>
      </c>
    </row>
    <row r="5630">
      <c r="A5630" t="inlineStr">
        <is>
          <t>Lao PDR</t>
        </is>
      </c>
      <c r="B5630" t="inlineStr">
        <is>
          <t>LAO</t>
        </is>
      </c>
      <c r="C5630" t="n">
        <v>2008</v>
      </c>
      <c r="D5630" t="n">
        <v>7.62880887577516</v>
      </c>
    </row>
    <row r="5631">
      <c r="A5631" t="inlineStr">
        <is>
          <t>Lao PDR</t>
        </is>
      </c>
      <c r="B5631" t="inlineStr">
        <is>
          <t>LAO</t>
        </is>
      </c>
      <c r="C5631" t="n">
        <v>2009</v>
      </c>
      <c r="D5631" t="n">
        <v>0.141187674980385</v>
      </c>
    </row>
    <row r="5632">
      <c r="A5632" t="inlineStr">
        <is>
          <t>Lao PDR</t>
        </is>
      </c>
      <c r="B5632" t="inlineStr">
        <is>
          <t>LAO</t>
        </is>
      </c>
      <c r="C5632" t="n">
        <v>2010</v>
      </c>
      <c r="D5632" t="n">
        <v>5.98254521550082</v>
      </c>
    </row>
    <row r="5633">
      <c r="A5633" t="inlineStr">
        <is>
          <t>Lao PDR</t>
        </is>
      </c>
      <c r="B5633" t="inlineStr">
        <is>
          <t>LAO</t>
        </is>
      </c>
      <c r="C5633" t="n">
        <v>2011</v>
      </c>
      <c r="D5633" t="n">
        <v>7.5689885610998</v>
      </c>
    </row>
    <row r="5634">
      <c r="A5634" t="inlineStr">
        <is>
          <t>Lao PDR</t>
        </is>
      </c>
      <c r="B5634" t="inlineStr">
        <is>
          <t>LAO</t>
        </is>
      </c>
      <c r="C5634" t="n">
        <v>2012</v>
      </c>
      <c r="D5634" t="n">
        <v>4.2551267783209</v>
      </c>
    </row>
    <row r="5635">
      <c r="A5635" t="inlineStr">
        <is>
          <t>Lao PDR</t>
        </is>
      </c>
      <c r="B5635" t="inlineStr">
        <is>
          <t>LAO</t>
        </is>
      </c>
      <c r="C5635" t="n">
        <v>2013</v>
      </c>
      <c r="D5635" t="n">
        <v>6.37142717782947</v>
      </c>
    </row>
    <row r="5636">
      <c r="A5636" t="inlineStr">
        <is>
          <t>Lao PDR</t>
        </is>
      </c>
      <c r="B5636" t="inlineStr">
        <is>
          <t>LAO</t>
        </is>
      </c>
      <c r="C5636" t="n">
        <v>2014</v>
      </c>
      <c r="D5636" t="n">
        <v>4.12924306873771</v>
      </c>
    </row>
    <row r="5637">
      <c r="A5637" t="inlineStr">
        <is>
          <t>Lao PDR</t>
        </is>
      </c>
      <c r="B5637" t="inlineStr">
        <is>
          <t>LAO</t>
        </is>
      </c>
      <c r="C5637" t="n">
        <v>2015</v>
      </c>
      <c r="D5637" t="n">
        <v>1.27735427102992</v>
      </c>
    </row>
    <row r="5638">
      <c r="A5638" t="inlineStr">
        <is>
          <t>Lao PDR</t>
        </is>
      </c>
      <c r="B5638" t="inlineStr">
        <is>
          <t>LAO</t>
        </is>
      </c>
      <c r="C5638" t="n">
        <v>2016</v>
      </c>
      <c r="D5638" t="n">
        <v>1.59691227583204</v>
      </c>
    </row>
    <row r="5639">
      <c r="A5639" t="inlineStr">
        <is>
          <t>Lao PDR</t>
        </is>
      </c>
      <c r="B5639" t="inlineStr">
        <is>
          <t>LAO</t>
        </is>
      </c>
      <c r="C5639" t="n">
        <v>2017</v>
      </c>
      <c r="D5639" t="n">
        <v>0.825478607568026</v>
      </c>
    </row>
    <row r="5640">
      <c r="A5640" t="inlineStr">
        <is>
          <t>Lao PDR</t>
        </is>
      </c>
      <c r="B5640" t="inlineStr">
        <is>
          <t>LAO</t>
        </is>
      </c>
      <c r="C5640" t="n">
        <v>2018</v>
      </c>
      <c r="D5640" t="n">
        <v>2.04039266890201</v>
      </c>
    </row>
    <row r="5641">
      <c r="A5641" t="inlineStr">
        <is>
          <t>Lao PDR</t>
        </is>
      </c>
      <c r="B5641" t="inlineStr">
        <is>
          <t>LAO</t>
        </is>
      </c>
      <c r="C5641" t="n">
        <v>2019</v>
      </c>
      <c r="D5641" t="n">
        <v>3.32255881256925</v>
      </c>
    </row>
    <row r="5642">
      <c r="A5642" t="inlineStr">
        <is>
          <t>Lao PDR</t>
        </is>
      </c>
      <c r="B5642" t="inlineStr">
        <is>
          <t>LAO</t>
        </is>
      </c>
      <c r="C5642" t="n">
        <v>2020</v>
      </c>
      <c r="D5642" t="n">
        <v>5.10407262959919</v>
      </c>
    </row>
    <row r="5643">
      <c r="A5643" t="inlineStr">
        <is>
          <t>Lao PDR</t>
        </is>
      </c>
      <c r="B5643" t="inlineStr">
        <is>
          <t>LAO</t>
        </is>
      </c>
      <c r="C5643" t="n">
        <v>2021</v>
      </c>
      <c r="D5643" t="n">
        <v>3.75562036658877</v>
      </c>
    </row>
    <row r="5644">
      <c r="A5644" t="inlineStr">
        <is>
          <t>Lao PDR</t>
        </is>
      </c>
      <c r="B5644" t="inlineStr">
        <is>
          <t>LAO</t>
        </is>
      </c>
      <c r="C5644" t="n">
        <v>2022</v>
      </c>
      <c r="D5644" t="n">
        <v>22.9562225132056</v>
      </c>
    </row>
    <row r="5645">
      <c r="A5645" t="inlineStr">
        <is>
          <t>Lao PDR</t>
        </is>
      </c>
      <c r="B5645" t="inlineStr">
        <is>
          <t>LAO</t>
        </is>
      </c>
      <c r="C5645" t="n">
        <v>2023</v>
      </c>
      <c r="D5645" t="n">
        <v>31.2301341732646</v>
      </c>
    </row>
    <row r="5646">
      <c r="A5646" t="inlineStr">
        <is>
          <t>Lao PDR</t>
        </is>
      </c>
      <c r="B5646" t="inlineStr">
        <is>
          <t>LAO</t>
        </is>
      </c>
      <c r="C5646" t="n">
        <v>2024</v>
      </c>
      <c r="D5646" t="n">
        <v>23.1305695942588</v>
      </c>
    </row>
    <row r="5647">
      <c r="A5647" t="inlineStr">
        <is>
          <t>Lebanon</t>
        </is>
      </c>
      <c r="B5647" t="inlineStr">
        <is>
          <t>LBN</t>
        </is>
      </c>
      <c r="C5647" t="n">
        <v>2009</v>
      </c>
      <c r="D5647" t="n">
        <v>1.19509671165543</v>
      </c>
    </row>
    <row r="5648">
      <c r="A5648" t="inlineStr">
        <is>
          <t>Lebanon</t>
        </is>
      </c>
      <c r="B5648" t="inlineStr">
        <is>
          <t>LBN</t>
        </is>
      </c>
      <c r="C5648" t="n">
        <v>2010</v>
      </c>
      <c r="D5648" t="n">
        <v>3.98347941855833</v>
      </c>
    </row>
    <row r="5649">
      <c r="A5649" t="inlineStr">
        <is>
          <t>Lebanon</t>
        </is>
      </c>
      <c r="B5649" t="inlineStr">
        <is>
          <t>LBN</t>
        </is>
      </c>
      <c r="C5649" t="n">
        <v>2011</v>
      </c>
      <c r="D5649" t="n">
        <v>4.97148571692384</v>
      </c>
    </row>
    <row r="5650">
      <c r="A5650" t="inlineStr">
        <is>
          <t>Lebanon</t>
        </is>
      </c>
      <c r="B5650" t="inlineStr">
        <is>
          <t>LBN</t>
        </is>
      </c>
      <c r="C5650" t="n">
        <v>2012</v>
      </c>
      <c r="D5650" t="n">
        <v>6.58147447683677</v>
      </c>
    </row>
    <row r="5651">
      <c r="A5651" t="inlineStr">
        <is>
          <t>Lebanon</t>
        </is>
      </c>
      <c r="B5651" t="inlineStr">
        <is>
          <t>LBN</t>
        </is>
      </c>
      <c r="C5651" t="n">
        <v>2013</v>
      </c>
      <c r="D5651" t="n">
        <v>4.82101956297399</v>
      </c>
    </row>
    <row r="5652">
      <c r="A5652" t="inlineStr">
        <is>
          <t>Lebanon</t>
        </is>
      </c>
      <c r="B5652" t="inlineStr">
        <is>
          <t>LBN</t>
        </is>
      </c>
      <c r="C5652" t="n">
        <v>2014</v>
      </c>
      <c r="D5652" t="n">
        <v>1.8546042134091</v>
      </c>
    </row>
    <row r="5653">
      <c r="A5653" t="inlineStr">
        <is>
          <t>Lebanon</t>
        </is>
      </c>
      <c r="B5653" t="inlineStr">
        <is>
          <t>LBN</t>
        </is>
      </c>
      <c r="C5653" t="n">
        <v>2015</v>
      </c>
      <c r="D5653" t="n">
        <v>-3.74914524799629</v>
      </c>
    </row>
    <row r="5654">
      <c r="A5654" t="inlineStr">
        <is>
          <t>Lebanon</t>
        </is>
      </c>
      <c r="B5654" t="inlineStr">
        <is>
          <t>LBN</t>
        </is>
      </c>
      <c r="C5654" t="n">
        <v>2016</v>
      </c>
      <c r="D5654" t="n">
        <v>-0.783359624361508</v>
      </c>
    </row>
    <row r="5655">
      <c r="A5655" t="inlineStr">
        <is>
          <t>Lebanon</t>
        </is>
      </c>
      <c r="B5655" t="inlineStr">
        <is>
          <t>LBN</t>
        </is>
      </c>
      <c r="C5655" t="n">
        <v>2017</v>
      </c>
      <c r="D5655" t="n">
        <v>4.32135218303191</v>
      </c>
    </row>
    <row r="5656">
      <c r="A5656" t="inlineStr">
        <is>
          <t>Lebanon</t>
        </is>
      </c>
      <c r="B5656" t="inlineStr">
        <is>
          <t>LBN</t>
        </is>
      </c>
      <c r="C5656" t="n">
        <v>2018</v>
      </c>
      <c r="D5656" t="n">
        <v>6.07698907889607</v>
      </c>
    </row>
    <row r="5657">
      <c r="A5657" t="inlineStr">
        <is>
          <t>Lebanon</t>
        </is>
      </c>
      <c r="B5657" t="inlineStr">
        <is>
          <t>LBN</t>
        </is>
      </c>
      <c r="C5657" t="n">
        <v>2019</v>
      </c>
      <c r="D5657" t="n">
        <v>3.00538949390383</v>
      </c>
    </row>
    <row r="5658">
      <c r="A5658" t="inlineStr">
        <is>
          <t>Lebanon</t>
        </is>
      </c>
      <c r="B5658" t="inlineStr">
        <is>
          <t>LBN</t>
        </is>
      </c>
      <c r="C5658" t="n">
        <v>2020</v>
      </c>
      <c r="D5658" t="n">
        <v>84.8643330472041</v>
      </c>
    </row>
    <row r="5659">
      <c r="A5659" t="inlineStr">
        <is>
          <t>Lebanon</t>
        </is>
      </c>
      <c r="B5659" t="inlineStr">
        <is>
          <t>LBN</t>
        </is>
      </c>
      <c r="C5659" t="n">
        <v>2021</v>
      </c>
      <c r="D5659" t="n">
        <v>154.756096023393</v>
      </c>
    </row>
    <row r="5660">
      <c r="A5660" t="inlineStr">
        <is>
          <t>Lebanon</t>
        </is>
      </c>
      <c r="B5660" t="inlineStr">
        <is>
          <t>LBN</t>
        </is>
      </c>
      <c r="C5660" t="n">
        <v>2022</v>
      </c>
      <c r="D5660" t="n">
        <v>171.205491336641</v>
      </c>
    </row>
    <row r="5661">
      <c r="A5661" t="inlineStr">
        <is>
          <t>Lebanon</t>
        </is>
      </c>
      <c r="B5661" t="inlineStr">
        <is>
          <t>LBN</t>
        </is>
      </c>
      <c r="C5661" t="n">
        <v>2023</v>
      </c>
      <c r="D5661" t="n">
        <v>221.341644023365</v>
      </c>
    </row>
    <row r="5662">
      <c r="A5662" t="inlineStr">
        <is>
          <t>Liberia</t>
        </is>
      </c>
      <c r="B5662" t="inlineStr">
        <is>
          <t>LBR</t>
        </is>
      </c>
      <c r="C5662" t="n">
        <v>2002</v>
      </c>
      <c r="D5662" t="n">
        <v>14.1596470116325</v>
      </c>
    </row>
    <row r="5663">
      <c r="A5663" t="inlineStr">
        <is>
          <t>Liberia</t>
        </is>
      </c>
      <c r="B5663" t="inlineStr">
        <is>
          <t>LBR</t>
        </is>
      </c>
      <c r="C5663" t="n">
        <v>2003</v>
      </c>
      <c r="D5663" t="n">
        <v>10.3302881236823</v>
      </c>
    </row>
    <row r="5664">
      <c r="A5664" t="inlineStr">
        <is>
          <t>Liberia</t>
        </is>
      </c>
      <c r="B5664" t="inlineStr">
        <is>
          <t>LBR</t>
        </is>
      </c>
      <c r="C5664" t="n">
        <v>2004</v>
      </c>
      <c r="D5664" t="n">
        <v>7.82908704883235</v>
      </c>
    </row>
    <row r="5665">
      <c r="A5665" t="inlineStr">
        <is>
          <t>Liberia</t>
        </is>
      </c>
      <c r="B5665" t="inlineStr">
        <is>
          <t>LBR</t>
        </is>
      </c>
      <c r="C5665" t="n">
        <v>2005</v>
      </c>
      <c r="D5665" t="n">
        <v>10.8343588481414</v>
      </c>
    </row>
    <row r="5666">
      <c r="A5666" t="inlineStr">
        <is>
          <t>Liberia</t>
        </is>
      </c>
      <c r="B5666" t="inlineStr">
        <is>
          <t>LBR</t>
        </is>
      </c>
      <c r="C5666" t="n">
        <v>2006</v>
      </c>
      <c r="D5666" t="n">
        <v>7.34144608278558</v>
      </c>
    </row>
    <row r="5667">
      <c r="A5667" t="inlineStr">
        <is>
          <t>Liberia</t>
        </is>
      </c>
      <c r="B5667" t="inlineStr">
        <is>
          <t>LBR</t>
        </is>
      </c>
      <c r="C5667" t="n">
        <v>2007</v>
      </c>
      <c r="D5667" t="n">
        <v>11.3918966807102</v>
      </c>
    </row>
    <row r="5668">
      <c r="A5668" t="inlineStr">
        <is>
          <t>Liberia</t>
        </is>
      </c>
      <c r="B5668" t="inlineStr">
        <is>
          <t>LBR</t>
        </is>
      </c>
      <c r="C5668" t="n">
        <v>2008</v>
      </c>
      <c r="D5668" t="n">
        <v>17.489448642993</v>
      </c>
    </row>
    <row r="5669">
      <c r="A5669" t="inlineStr">
        <is>
          <t>Liberia</t>
        </is>
      </c>
      <c r="B5669" t="inlineStr">
        <is>
          <t>LBR</t>
        </is>
      </c>
      <c r="C5669" t="n">
        <v>2009</v>
      </c>
      <c r="D5669" t="n">
        <v>7.42764305914919</v>
      </c>
    </row>
    <row r="5670">
      <c r="A5670" t="inlineStr">
        <is>
          <t>Liberia</t>
        </is>
      </c>
      <c r="B5670" t="inlineStr">
        <is>
          <t>LBR</t>
        </is>
      </c>
      <c r="C5670" t="n">
        <v>2010</v>
      </c>
      <c r="D5670" t="n">
        <v>7.28992796890218</v>
      </c>
    </row>
    <row r="5671">
      <c r="A5671" t="inlineStr">
        <is>
          <t>Liberia</t>
        </is>
      </c>
      <c r="B5671" t="inlineStr">
        <is>
          <t>LBR</t>
        </is>
      </c>
      <c r="C5671" t="n">
        <v>2011</v>
      </c>
      <c r="D5671" t="n">
        <v>8.488167518494</v>
      </c>
    </row>
    <row r="5672">
      <c r="A5672" t="inlineStr">
        <is>
          <t>Liberia</t>
        </is>
      </c>
      <c r="B5672" t="inlineStr">
        <is>
          <t>LBR</t>
        </is>
      </c>
      <c r="C5672" t="n">
        <v>2012</v>
      </c>
      <c r="D5672" t="n">
        <v>6.83178703418548</v>
      </c>
    </row>
    <row r="5673">
      <c r="A5673" t="inlineStr">
        <is>
          <t>Liberia</t>
        </is>
      </c>
      <c r="B5673" t="inlineStr">
        <is>
          <t>LBR</t>
        </is>
      </c>
      <c r="C5673" t="n">
        <v>2013</v>
      </c>
      <c r="D5673" t="n">
        <v>7.577306817414</v>
      </c>
    </row>
    <row r="5674">
      <c r="A5674" t="inlineStr">
        <is>
          <t>Liberia</t>
        </is>
      </c>
      <c r="B5674" t="inlineStr">
        <is>
          <t>LBR</t>
        </is>
      </c>
      <c r="C5674" t="n">
        <v>2014</v>
      </c>
      <c r="D5674" t="n">
        <v>9.86111285574904</v>
      </c>
    </row>
    <row r="5675">
      <c r="A5675" t="inlineStr">
        <is>
          <t>Liberia</t>
        </is>
      </c>
      <c r="B5675" t="inlineStr">
        <is>
          <t>LBR</t>
        </is>
      </c>
      <c r="C5675" t="n">
        <v>2015</v>
      </c>
      <c r="D5675" t="n">
        <v>7.74869687621322</v>
      </c>
    </row>
    <row r="5676">
      <c r="A5676" t="inlineStr">
        <is>
          <t>Liberia</t>
        </is>
      </c>
      <c r="B5676" t="inlineStr">
        <is>
          <t>LBR</t>
        </is>
      </c>
      <c r="C5676" t="n">
        <v>2016</v>
      </c>
      <c r="D5676" t="n">
        <v>8.83424868336488</v>
      </c>
    </row>
    <row r="5677">
      <c r="A5677" t="inlineStr">
        <is>
          <t>Liberia</t>
        </is>
      </c>
      <c r="B5677" t="inlineStr">
        <is>
          <t>LBR</t>
        </is>
      </c>
      <c r="C5677" t="n">
        <v>2017</v>
      </c>
      <c r="D5677" t="n">
        <v>12.4196323907138</v>
      </c>
    </row>
    <row r="5678">
      <c r="A5678" t="inlineStr">
        <is>
          <t>Liberia</t>
        </is>
      </c>
      <c r="B5678" t="inlineStr">
        <is>
          <t>LBR</t>
        </is>
      </c>
      <c r="C5678" t="n">
        <v>2018</v>
      </c>
      <c r="D5678" t="n">
        <v>23.5635148953742</v>
      </c>
    </row>
    <row r="5679">
      <c r="A5679" t="inlineStr">
        <is>
          <t>Liberia</t>
        </is>
      </c>
      <c r="B5679" t="inlineStr">
        <is>
          <t>LBR</t>
        </is>
      </c>
      <c r="C5679" t="n">
        <v>2019</v>
      </c>
      <c r="D5679" t="n">
        <v>26.9662760197878</v>
      </c>
    </row>
    <row r="5680">
      <c r="A5680" t="inlineStr">
        <is>
          <t>Liberia</t>
        </is>
      </c>
      <c r="B5680" t="inlineStr">
        <is>
          <t>LBR</t>
        </is>
      </c>
      <c r="C5680" t="n">
        <v>2020</v>
      </c>
      <c r="D5680" t="n">
        <v>16.9557241496255</v>
      </c>
    </row>
    <row r="5681">
      <c r="A5681" t="inlineStr">
        <is>
          <t>Liberia</t>
        </is>
      </c>
      <c r="B5681" t="inlineStr">
        <is>
          <t>LBR</t>
        </is>
      </c>
      <c r="C5681" t="n">
        <v>2021</v>
      </c>
      <c r="D5681" t="n">
        <v>7.81559385858648</v>
      </c>
    </row>
    <row r="5682">
      <c r="A5682" t="inlineStr">
        <is>
          <t>Liberia</t>
        </is>
      </c>
      <c r="B5682" t="inlineStr">
        <is>
          <t>LBR</t>
        </is>
      </c>
      <c r="C5682" t="n">
        <v>2022</v>
      </c>
      <c r="D5682" t="n">
        <v>7.59298486560313</v>
      </c>
    </row>
    <row r="5683">
      <c r="A5683" t="inlineStr">
        <is>
          <t>Liberia</t>
        </is>
      </c>
      <c r="B5683" t="inlineStr">
        <is>
          <t>LBR</t>
        </is>
      </c>
      <c r="C5683" t="n">
        <v>2023</v>
      </c>
      <c r="D5683" t="n">
        <v>10.0944535665552</v>
      </c>
    </row>
    <row r="5684">
      <c r="A5684" t="inlineStr">
        <is>
          <t>Libya</t>
        </is>
      </c>
      <c r="B5684" t="inlineStr">
        <is>
          <t>LBY</t>
        </is>
      </c>
      <c r="C5684" t="n">
        <v>1965</v>
      </c>
      <c r="D5684" t="n">
        <v>11.4249999996678</v>
      </c>
    </row>
    <row r="5685">
      <c r="A5685" t="inlineStr">
        <is>
          <t>Libya</t>
        </is>
      </c>
      <c r="B5685" t="inlineStr">
        <is>
          <t>LBY</t>
        </is>
      </c>
      <c r="C5685" t="n">
        <v>1966</v>
      </c>
      <c r="D5685" t="n">
        <v>12.2429137683409</v>
      </c>
    </row>
    <row r="5686">
      <c r="A5686" t="inlineStr">
        <is>
          <t>Libya</t>
        </is>
      </c>
      <c r="B5686" t="inlineStr">
        <is>
          <t>LBY</t>
        </is>
      </c>
      <c r="C5686" t="n">
        <v>1967</v>
      </c>
      <c r="D5686" t="n">
        <v>7.29610874230891</v>
      </c>
    </row>
    <row r="5687">
      <c r="A5687" t="inlineStr">
        <is>
          <t>Libya</t>
        </is>
      </c>
      <c r="B5687" t="inlineStr">
        <is>
          <t>LBY</t>
        </is>
      </c>
      <c r="C5687" t="n">
        <v>1968</v>
      </c>
      <c r="D5687" t="n">
        <v>0.391231447309205</v>
      </c>
    </row>
    <row r="5688">
      <c r="A5688" t="inlineStr">
        <is>
          <t>Libya</t>
        </is>
      </c>
      <c r="B5688" t="inlineStr">
        <is>
          <t>LBY</t>
        </is>
      </c>
      <c r="C5688" t="n">
        <v>1969</v>
      </c>
      <c r="D5688" t="n">
        <v>9.78597055547384</v>
      </c>
    </row>
    <row r="5689">
      <c r="A5689" t="inlineStr">
        <is>
          <t>Libya</t>
        </is>
      </c>
      <c r="B5689" t="inlineStr">
        <is>
          <t>LBY</t>
        </is>
      </c>
      <c r="C5689" t="n">
        <v>1970</v>
      </c>
      <c r="D5689" t="n">
        <v>-5.29637142204704</v>
      </c>
    </row>
    <row r="5690">
      <c r="A5690" t="inlineStr">
        <is>
          <t>Libya</t>
        </is>
      </c>
      <c r="B5690" t="inlineStr">
        <is>
          <t>LBY</t>
        </is>
      </c>
      <c r="C5690" t="n">
        <v>1971</v>
      </c>
      <c r="D5690" t="n">
        <v>-3.10384940810851</v>
      </c>
    </row>
    <row r="5691">
      <c r="A5691" t="inlineStr">
        <is>
          <t>Libya</t>
        </is>
      </c>
      <c r="B5691" t="inlineStr">
        <is>
          <t>LBY</t>
        </is>
      </c>
      <c r="C5691" t="n">
        <v>1972</v>
      </c>
      <c r="D5691" t="n">
        <v>-0.251023192089008</v>
      </c>
    </row>
    <row r="5692">
      <c r="A5692" t="inlineStr">
        <is>
          <t>Libya</t>
        </is>
      </c>
      <c r="B5692" t="inlineStr">
        <is>
          <t>LBY</t>
        </is>
      </c>
      <c r="C5692" t="n">
        <v>1973</v>
      </c>
      <c r="D5692" t="n">
        <v>7.970895563186</v>
      </c>
    </row>
    <row r="5693">
      <c r="A5693" t="inlineStr">
        <is>
          <t>Libya</t>
        </is>
      </c>
      <c r="B5693" t="inlineStr">
        <is>
          <t>LBY</t>
        </is>
      </c>
      <c r="C5693" t="n">
        <v>1974</v>
      </c>
      <c r="D5693" t="n">
        <v>7.45845156082894</v>
      </c>
    </row>
    <row r="5694">
      <c r="A5694" t="inlineStr">
        <is>
          <t>Libya</t>
        </is>
      </c>
      <c r="B5694" t="inlineStr">
        <is>
          <t>LBY</t>
        </is>
      </c>
      <c r="C5694" t="n">
        <v>1975</v>
      </c>
      <c r="D5694" t="n">
        <v>9.11920030145642</v>
      </c>
    </row>
    <row r="5695">
      <c r="A5695" t="inlineStr">
        <is>
          <t>Libya</t>
        </is>
      </c>
      <c r="B5695" t="inlineStr">
        <is>
          <t>LBY</t>
        </is>
      </c>
      <c r="C5695" t="n">
        <v>1976</v>
      </c>
      <c r="D5695" t="n">
        <v>5.47921527968846</v>
      </c>
    </row>
    <row r="5696">
      <c r="A5696" t="inlineStr">
        <is>
          <t>Libya</t>
        </is>
      </c>
      <c r="B5696" t="inlineStr">
        <is>
          <t>LBY</t>
        </is>
      </c>
      <c r="C5696" t="n">
        <v>1977</v>
      </c>
      <c r="D5696" t="n">
        <v>6.28021302750907</v>
      </c>
    </row>
    <row r="5697">
      <c r="A5697" t="inlineStr">
        <is>
          <t>Libya</t>
        </is>
      </c>
      <c r="B5697" t="inlineStr">
        <is>
          <t>LBY</t>
        </is>
      </c>
      <c r="C5697" t="n">
        <v>1978</v>
      </c>
      <c r="D5697" t="n">
        <v>29.3797941641698</v>
      </c>
    </row>
    <row r="5698">
      <c r="A5698" t="inlineStr">
        <is>
          <t>Libya</t>
        </is>
      </c>
      <c r="B5698" t="inlineStr">
        <is>
          <t>LBY</t>
        </is>
      </c>
      <c r="C5698" t="n">
        <v>1979</v>
      </c>
      <c r="D5698" t="n">
        <v>-6.03902875017094</v>
      </c>
    </row>
    <row r="5699">
      <c r="A5699" t="inlineStr">
        <is>
          <t>Libya</t>
        </is>
      </c>
      <c r="B5699" t="inlineStr">
        <is>
          <t>LBY</t>
        </is>
      </c>
      <c r="C5699" t="n">
        <v>1980</v>
      </c>
      <c r="D5699" t="n">
        <v>9.734288794713921</v>
      </c>
    </row>
    <row r="5700">
      <c r="A5700" t="inlineStr">
        <is>
          <t>Libya</t>
        </is>
      </c>
      <c r="B5700" t="inlineStr">
        <is>
          <t>LBY</t>
        </is>
      </c>
      <c r="C5700" t="n">
        <v>1981</v>
      </c>
      <c r="D5700" t="n">
        <v>11.1997226074894</v>
      </c>
    </row>
    <row r="5701">
      <c r="A5701" t="inlineStr">
        <is>
          <t>Libya</t>
        </is>
      </c>
      <c r="B5701" t="inlineStr">
        <is>
          <t>LBY</t>
        </is>
      </c>
      <c r="C5701" t="n">
        <v>1982</v>
      </c>
      <c r="D5701" t="n">
        <v>10.2588088556284</v>
      </c>
    </row>
    <row r="5702">
      <c r="A5702" t="inlineStr">
        <is>
          <t>Libya</t>
        </is>
      </c>
      <c r="B5702" t="inlineStr">
        <is>
          <t>LBY</t>
        </is>
      </c>
      <c r="C5702" t="n">
        <v>1983</v>
      </c>
      <c r="D5702" t="n">
        <v>10.6052036199096</v>
      </c>
    </row>
    <row r="5703">
      <c r="A5703" t="inlineStr">
        <is>
          <t>Libya</t>
        </is>
      </c>
      <c r="B5703" t="inlineStr">
        <is>
          <t>LBY</t>
        </is>
      </c>
      <c r="C5703" t="n">
        <v>1984</v>
      </c>
      <c r="D5703" t="n">
        <v>12.4776272053182</v>
      </c>
    </row>
    <row r="5704">
      <c r="A5704" t="inlineStr">
        <is>
          <t>Libya</t>
        </is>
      </c>
      <c r="B5704" t="inlineStr">
        <is>
          <t>LBY</t>
        </is>
      </c>
      <c r="C5704" t="n">
        <v>1985</v>
      </c>
      <c r="D5704" t="n">
        <v>9.138440554671559</v>
      </c>
    </row>
    <row r="5705">
      <c r="A5705" t="inlineStr">
        <is>
          <t>Libya</t>
        </is>
      </c>
      <c r="B5705" t="inlineStr">
        <is>
          <t>LBY</t>
        </is>
      </c>
      <c r="C5705" t="n">
        <v>1986</v>
      </c>
      <c r="D5705" t="n">
        <v>3.29098104561558</v>
      </c>
    </row>
    <row r="5706">
      <c r="A5706" t="inlineStr">
        <is>
          <t>Libya</t>
        </is>
      </c>
      <c r="B5706" t="inlineStr">
        <is>
          <t>LBY</t>
        </is>
      </c>
      <c r="C5706" t="n">
        <v>1987</v>
      </c>
      <c r="D5706" t="n">
        <v>4.35571687840289</v>
      </c>
    </row>
    <row r="5707">
      <c r="A5707" t="inlineStr">
        <is>
          <t>Libya</t>
        </is>
      </c>
      <c r="B5707" t="inlineStr">
        <is>
          <t>LBY</t>
        </is>
      </c>
      <c r="C5707" t="n">
        <v>1988</v>
      </c>
      <c r="D5707" t="n">
        <v>6.08695652173909</v>
      </c>
    </row>
    <row r="5708">
      <c r="A5708" t="inlineStr">
        <is>
          <t>Libya</t>
        </is>
      </c>
      <c r="B5708" t="inlineStr">
        <is>
          <t>LBY</t>
        </is>
      </c>
      <c r="C5708" t="n">
        <v>1989</v>
      </c>
      <c r="D5708" t="n">
        <v>1.51183970856093</v>
      </c>
    </row>
    <row r="5709">
      <c r="A5709" t="inlineStr">
        <is>
          <t>Libya</t>
        </is>
      </c>
      <c r="B5709" t="inlineStr">
        <is>
          <t>LBY</t>
        </is>
      </c>
      <c r="C5709" t="n">
        <v>1990</v>
      </c>
      <c r="D5709" t="n">
        <v>8.45146240803882</v>
      </c>
    </row>
    <row r="5710">
      <c r="A5710" t="inlineStr">
        <is>
          <t>Libya</t>
        </is>
      </c>
      <c r="B5710" t="inlineStr">
        <is>
          <t>LBY</t>
        </is>
      </c>
      <c r="C5710" t="n">
        <v>1991</v>
      </c>
      <c r="D5710" t="n">
        <v>11.8960953011251</v>
      </c>
    </row>
    <row r="5711">
      <c r="A5711" t="inlineStr">
        <is>
          <t>Libya</t>
        </is>
      </c>
      <c r="B5711" t="inlineStr">
        <is>
          <t>LBY</t>
        </is>
      </c>
      <c r="C5711" t="n">
        <v>1992</v>
      </c>
      <c r="D5711" t="n">
        <v>9.359751589531349</v>
      </c>
    </row>
    <row r="5712">
      <c r="A5712" t="inlineStr">
        <is>
          <t>Libya</t>
        </is>
      </c>
      <c r="B5712" t="inlineStr">
        <is>
          <t>LBY</t>
        </is>
      </c>
      <c r="C5712" t="n">
        <v>1993</v>
      </c>
      <c r="D5712" t="n">
        <v>11.0735532720389</v>
      </c>
    </row>
    <row r="5713">
      <c r="A5713" t="inlineStr">
        <is>
          <t>Libya</t>
        </is>
      </c>
      <c r="B5713" t="inlineStr">
        <is>
          <t>LBY</t>
        </is>
      </c>
      <c r="C5713" t="n">
        <v>1994</v>
      </c>
      <c r="D5713" t="n">
        <v>5.11259890444314</v>
      </c>
    </row>
    <row r="5714">
      <c r="A5714" t="inlineStr">
        <is>
          <t>Libya</t>
        </is>
      </c>
      <c r="B5714" t="inlineStr">
        <is>
          <t>LBY</t>
        </is>
      </c>
      <c r="C5714" t="n">
        <v>1995</v>
      </c>
      <c r="D5714" t="n">
        <v>7.23798494499129</v>
      </c>
    </row>
    <row r="5715">
      <c r="A5715" t="inlineStr">
        <is>
          <t>Libya</t>
        </is>
      </c>
      <c r="B5715" t="inlineStr">
        <is>
          <t>LBY</t>
        </is>
      </c>
      <c r="C5715" t="n">
        <v>1996</v>
      </c>
      <c r="D5715" t="n">
        <v>4.02807775377963</v>
      </c>
    </row>
    <row r="5716">
      <c r="A5716" t="inlineStr">
        <is>
          <t>Libya</t>
        </is>
      </c>
      <c r="B5716" t="inlineStr">
        <is>
          <t>LBY</t>
        </is>
      </c>
      <c r="C5716" t="n">
        <v>1997</v>
      </c>
      <c r="D5716" t="n">
        <v>3.55029585798821</v>
      </c>
    </row>
    <row r="5717">
      <c r="A5717" t="inlineStr">
        <is>
          <t>Libya</t>
        </is>
      </c>
      <c r="B5717" t="inlineStr">
        <is>
          <t>LBY</t>
        </is>
      </c>
      <c r="C5717" t="n">
        <v>1998</v>
      </c>
      <c r="D5717" t="n">
        <v>3.70927318295739</v>
      </c>
    </row>
    <row r="5718">
      <c r="A5718" t="inlineStr">
        <is>
          <t>Libya</t>
        </is>
      </c>
      <c r="B5718" t="inlineStr">
        <is>
          <t>LBY</t>
        </is>
      </c>
      <c r="C5718" t="n">
        <v>1999</v>
      </c>
      <c r="D5718" t="n">
        <v>2.64862252295818</v>
      </c>
    </row>
    <row r="5719">
      <c r="A5719" t="inlineStr">
        <is>
          <t>Libya</t>
        </is>
      </c>
      <c r="B5719" t="inlineStr">
        <is>
          <t>LBY</t>
        </is>
      </c>
      <c r="C5719" t="n">
        <v>2000</v>
      </c>
      <c r="D5719" t="n">
        <v>-2.90000000000024</v>
      </c>
    </row>
    <row r="5720">
      <c r="A5720" t="inlineStr">
        <is>
          <t>Libya</t>
        </is>
      </c>
      <c r="B5720" t="inlineStr">
        <is>
          <t>LBY</t>
        </is>
      </c>
      <c r="C5720" t="n">
        <v>2001</v>
      </c>
      <c r="D5720" t="n">
        <v>-8.813937521455459</v>
      </c>
    </row>
    <row r="5721">
      <c r="A5721" t="inlineStr">
        <is>
          <t>Libya</t>
        </is>
      </c>
      <c r="B5721" t="inlineStr">
        <is>
          <t>LBY</t>
        </is>
      </c>
      <c r="C5721" t="n">
        <v>2002</v>
      </c>
      <c r="D5721" t="n">
        <v>-9.79764705882357</v>
      </c>
    </row>
    <row r="5722">
      <c r="A5722" t="inlineStr">
        <is>
          <t>Libya</t>
        </is>
      </c>
      <c r="B5722" t="inlineStr">
        <is>
          <t>LBY</t>
        </is>
      </c>
      <c r="C5722" t="n">
        <v>2003</v>
      </c>
      <c r="D5722" t="n">
        <v>-2.19115191986644</v>
      </c>
    </row>
    <row r="5723">
      <c r="A5723" t="inlineStr">
        <is>
          <t>Libya</t>
        </is>
      </c>
      <c r="B5723" t="inlineStr">
        <is>
          <t>LBY</t>
        </is>
      </c>
      <c r="C5723" t="n">
        <v>2004</v>
      </c>
      <c r="D5723" t="n">
        <v>-2.197567740559</v>
      </c>
    </row>
    <row r="5724">
      <c r="A5724" t="inlineStr">
        <is>
          <t>Libya</t>
        </is>
      </c>
      <c r="B5724" t="inlineStr">
        <is>
          <t>LBY</t>
        </is>
      </c>
      <c r="C5724" t="n">
        <v>2005</v>
      </c>
      <c r="D5724" t="n">
        <v>2.65020576131657</v>
      </c>
    </row>
    <row r="5725">
      <c r="A5725" t="inlineStr">
        <is>
          <t>Libya</t>
        </is>
      </c>
      <c r="B5725" t="inlineStr">
        <is>
          <t>LBY</t>
        </is>
      </c>
      <c r="C5725" t="n">
        <v>2006</v>
      </c>
      <c r="D5725" t="n">
        <v>1.45926876202724</v>
      </c>
    </row>
    <row r="5726">
      <c r="A5726" t="inlineStr">
        <is>
          <t>Libya</t>
        </is>
      </c>
      <c r="B5726" t="inlineStr">
        <is>
          <t>LBY</t>
        </is>
      </c>
      <c r="C5726" t="n">
        <v>2007</v>
      </c>
      <c r="D5726" t="n">
        <v>6.25098782993553</v>
      </c>
    </row>
    <row r="5727">
      <c r="A5727" t="inlineStr">
        <is>
          <t>Libya</t>
        </is>
      </c>
      <c r="B5727" t="inlineStr">
        <is>
          <t>LBY</t>
        </is>
      </c>
      <c r="C5727" t="n">
        <v>2008</v>
      </c>
      <c r="D5727" t="n">
        <v>10.3607288954998</v>
      </c>
    </row>
    <row r="5728">
      <c r="A5728" t="inlineStr">
        <is>
          <t>Libya</t>
        </is>
      </c>
      <c r="B5728" t="inlineStr">
        <is>
          <t>LBY</t>
        </is>
      </c>
      <c r="C5728" t="n">
        <v>2009</v>
      </c>
      <c r="D5728" t="n">
        <v>2.45990025609948</v>
      </c>
    </row>
    <row r="5729">
      <c r="A5729" t="inlineStr">
        <is>
          <t>Libya</t>
        </is>
      </c>
      <c r="B5729" t="inlineStr">
        <is>
          <t>LBY</t>
        </is>
      </c>
      <c r="C5729" t="n">
        <v>2010</v>
      </c>
      <c r="D5729" t="n">
        <v>2.79989500109268</v>
      </c>
    </row>
    <row r="5730">
      <c r="A5730" t="inlineStr">
        <is>
          <t>Libya</t>
        </is>
      </c>
      <c r="B5730" t="inlineStr">
        <is>
          <t>LBY</t>
        </is>
      </c>
      <c r="C5730" t="n">
        <v>2011</v>
      </c>
      <c r="D5730" t="n">
        <v>15.5184815317561</v>
      </c>
    </row>
    <row r="5731">
      <c r="A5731" t="inlineStr">
        <is>
          <t>Libya</t>
        </is>
      </c>
      <c r="B5731" t="inlineStr">
        <is>
          <t>LBY</t>
        </is>
      </c>
      <c r="C5731" t="n">
        <v>2012</v>
      </c>
      <c r="D5731" t="n">
        <v>6.05980392156864</v>
      </c>
    </row>
    <row r="5732">
      <c r="A5732" t="inlineStr">
        <is>
          <t>Libya</t>
        </is>
      </c>
      <c r="B5732" t="inlineStr">
        <is>
          <t>LBY</t>
        </is>
      </c>
      <c r="C5732" t="n">
        <v>2013</v>
      </c>
      <c r="D5732" t="n">
        <v>2.60581802719517</v>
      </c>
    </row>
    <row r="5733">
      <c r="A5733" t="inlineStr">
        <is>
          <t>Libya</t>
        </is>
      </c>
      <c r="B5733" t="inlineStr">
        <is>
          <t>LBY</t>
        </is>
      </c>
      <c r="C5733" t="n">
        <v>2014</v>
      </c>
      <c r="D5733" t="n">
        <v>2.43294141599225</v>
      </c>
    </row>
    <row r="5734">
      <c r="A5734" t="inlineStr">
        <is>
          <t>Libya</t>
        </is>
      </c>
      <c r="B5734" t="inlineStr">
        <is>
          <t>LBY</t>
        </is>
      </c>
      <c r="C5734" t="n">
        <v>2015</v>
      </c>
      <c r="D5734" t="n">
        <v>10.4022933588151</v>
      </c>
    </row>
    <row r="5735">
      <c r="A5735" t="inlineStr">
        <is>
          <t>Libya</t>
        </is>
      </c>
      <c r="B5735" t="inlineStr">
        <is>
          <t>LBY</t>
        </is>
      </c>
      <c r="C5735" t="n">
        <v>2016</v>
      </c>
      <c r="D5735" t="n">
        <v>25.8538742124461</v>
      </c>
    </row>
    <row r="5736">
      <c r="A5736" t="inlineStr">
        <is>
          <t>Libya</t>
        </is>
      </c>
      <c r="B5736" t="inlineStr">
        <is>
          <t>LBY</t>
        </is>
      </c>
      <c r="C5736" t="n">
        <v>2017</v>
      </c>
      <c r="D5736" t="n">
        <v>25.8036184788338</v>
      </c>
    </row>
    <row r="5737">
      <c r="A5737" t="inlineStr">
        <is>
          <t>Libya</t>
        </is>
      </c>
      <c r="B5737" t="inlineStr">
        <is>
          <t>LBY</t>
        </is>
      </c>
      <c r="C5737" t="n">
        <v>2018</v>
      </c>
      <c r="D5737" t="n">
        <v>13.1702038536721</v>
      </c>
    </row>
    <row r="5738">
      <c r="A5738" t="inlineStr">
        <is>
          <t>Libya</t>
        </is>
      </c>
      <c r="B5738" t="inlineStr">
        <is>
          <t>LBY</t>
        </is>
      </c>
      <c r="C5738" t="n">
        <v>2019</v>
      </c>
      <c r="D5738" t="n">
        <v>-2.16217883470595</v>
      </c>
    </row>
    <row r="5739">
      <c r="A5739" t="inlineStr">
        <is>
          <t>Libya</t>
        </is>
      </c>
      <c r="B5739" t="inlineStr">
        <is>
          <t>LBY</t>
        </is>
      </c>
      <c r="C5739" t="n">
        <v>2020</v>
      </c>
      <c r="D5739" t="n">
        <v>1.44703656998741</v>
      </c>
    </row>
    <row r="5740">
      <c r="A5740" t="inlineStr">
        <is>
          <t>Libya</t>
        </is>
      </c>
      <c r="B5740" t="inlineStr">
        <is>
          <t>LBY</t>
        </is>
      </c>
      <c r="C5740" t="n">
        <v>2021</v>
      </c>
      <c r="D5740" t="n">
        <v>2.86833027751019</v>
      </c>
    </row>
    <row r="5741">
      <c r="A5741" t="inlineStr">
        <is>
          <t>Libya</t>
        </is>
      </c>
      <c r="B5741" t="inlineStr">
        <is>
          <t>LBY</t>
        </is>
      </c>
      <c r="C5741" t="n">
        <v>2022</v>
      </c>
      <c r="D5741" t="n">
        <v>4.51030149235703</v>
      </c>
    </row>
    <row r="5742">
      <c r="A5742" t="inlineStr">
        <is>
          <t>Libya</t>
        </is>
      </c>
      <c r="B5742" t="inlineStr">
        <is>
          <t>LBY</t>
        </is>
      </c>
      <c r="C5742" t="n">
        <v>2023</v>
      </c>
      <c r="D5742" t="n">
        <v>2.37317531435169</v>
      </c>
    </row>
    <row r="5743">
      <c r="A5743" t="inlineStr">
        <is>
          <t>Libya</t>
        </is>
      </c>
      <c r="B5743" t="inlineStr">
        <is>
          <t>LBY</t>
        </is>
      </c>
      <c r="C5743" t="n">
        <v>2024</v>
      </c>
      <c r="D5743" t="n">
        <v>2.12615766885025</v>
      </c>
    </row>
    <row r="5744">
      <c r="A5744" t="inlineStr">
        <is>
          <t>St. Lucia</t>
        </is>
      </c>
      <c r="B5744" t="inlineStr">
        <is>
          <t>LCA</t>
        </is>
      </c>
      <c r="C5744" t="n">
        <v>1966</v>
      </c>
      <c r="D5744" t="n">
        <v>2.47900839657731</v>
      </c>
    </row>
    <row r="5745">
      <c r="A5745" t="inlineStr">
        <is>
          <t>St. Lucia</t>
        </is>
      </c>
      <c r="B5745" t="inlineStr">
        <is>
          <t>LCA</t>
        </is>
      </c>
      <c r="C5745" t="n">
        <v>1967</v>
      </c>
      <c r="D5745" t="n">
        <v>3.20717908718529</v>
      </c>
    </row>
    <row r="5746">
      <c r="A5746" t="inlineStr">
        <is>
          <t>St. Lucia</t>
        </is>
      </c>
      <c r="B5746" t="inlineStr">
        <is>
          <t>LCA</t>
        </is>
      </c>
      <c r="C5746" t="n">
        <v>1968</v>
      </c>
      <c r="D5746" t="n">
        <v>3.96945410534389</v>
      </c>
    </row>
    <row r="5747">
      <c r="A5747" t="inlineStr">
        <is>
          <t>St. Lucia</t>
        </is>
      </c>
      <c r="B5747" t="inlineStr">
        <is>
          <t>LCA</t>
        </is>
      </c>
      <c r="C5747" t="n">
        <v>1969</v>
      </c>
      <c r="D5747" t="n">
        <v>2.25438149968916</v>
      </c>
    </row>
    <row r="5748">
      <c r="A5748" t="inlineStr">
        <is>
          <t>St. Lucia</t>
        </is>
      </c>
      <c r="B5748" t="inlineStr">
        <is>
          <t>LCA</t>
        </is>
      </c>
      <c r="C5748" t="n">
        <v>1970</v>
      </c>
      <c r="D5748" t="n">
        <v>13.3987625348182</v>
      </c>
    </row>
    <row r="5749">
      <c r="A5749" t="inlineStr">
        <is>
          <t>St. Lucia</t>
        </is>
      </c>
      <c r="B5749" t="inlineStr">
        <is>
          <t>LCA</t>
        </is>
      </c>
      <c r="C5749" t="n">
        <v>1971</v>
      </c>
      <c r="D5749" t="n">
        <v>8.3913452492058</v>
      </c>
    </row>
    <row r="5750">
      <c r="A5750" t="inlineStr">
        <is>
          <t>St. Lucia</t>
        </is>
      </c>
      <c r="B5750" t="inlineStr">
        <is>
          <t>LCA</t>
        </is>
      </c>
      <c r="C5750" t="n">
        <v>1972</v>
      </c>
      <c r="D5750" t="n">
        <v>7.88057628905351</v>
      </c>
    </row>
    <row r="5751">
      <c r="A5751" t="inlineStr">
        <is>
          <t>St. Lucia</t>
        </is>
      </c>
      <c r="B5751" t="inlineStr">
        <is>
          <t>LCA</t>
        </is>
      </c>
      <c r="C5751" t="n">
        <v>1973</v>
      </c>
      <c r="D5751" t="n">
        <v>13.440600697174</v>
      </c>
    </row>
    <row r="5752">
      <c r="A5752" t="inlineStr">
        <is>
          <t>St. Lucia</t>
        </is>
      </c>
      <c r="B5752" t="inlineStr">
        <is>
          <t>LCA</t>
        </is>
      </c>
      <c r="C5752" t="n">
        <v>1974</v>
      </c>
      <c r="D5752" t="n">
        <v>34.2206042268792</v>
      </c>
    </row>
    <row r="5753">
      <c r="A5753" t="inlineStr">
        <is>
          <t>St. Lucia</t>
        </is>
      </c>
      <c r="B5753" t="inlineStr">
        <is>
          <t>LCA</t>
        </is>
      </c>
      <c r="C5753" t="n">
        <v>1975</v>
      </c>
      <c r="D5753" t="n">
        <v>17.7427876996523</v>
      </c>
    </row>
    <row r="5754">
      <c r="A5754" t="inlineStr">
        <is>
          <t>St. Lucia</t>
        </is>
      </c>
      <c r="B5754" t="inlineStr">
        <is>
          <t>LCA</t>
        </is>
      </c>
      <c r="C5754" t="n">
        <v>1976</v>
      </c>
      <c r="D5754" t="n">
        <v>9.66911984668741</v>
      </c>
    </row>
    <row r="5755">
      <c r="A5755" t="inlineStr">
        <is>
          <t>St. Lucia</t>
        </is>
      </c>
      <c r="B5755" t="inlineStr">
        <is>
          <t>LCA</t>
        </is>
      </c>
      <c r="C5755" t="n">
        <v>1977</v>
      </c>
      <c r="D5755" t="n">
        <v>8.86573190026188</v>
      </c>
    </row>
    <row r="5756">
      <c r="A5756" t="inlineStr">
        <is>
          <t>St. Lucia</t>
        </is>
      </c>
      <c r="B5756" t="inlineStr">
        <is>
          <t>LCA</t>
        </is>
      </c>
      <c r="C5756" t="n">
        <v>1978</v>
      </c>
      <c r="D5756" t="n">
        <v>10.8775182920991</v>
      </c>
    </row>
    <row r="5757">
      <c r="A5757" t="inlineStr">
        <is>
          <t>St. Lucia</t>
        </is>
      </c>
      <c r="B5757" t="inlineStr">
        <is>
          <t>LCA</t>
        </is>
      </c>
      <c r="C5757" t="n">
        <v>1979</v>
      </c>
      <c r="D5757" t="n">
        <v>9.390042712873599</v>
      </c>
    </row>
    <row r="5758">
      <c r="A5758" t="inlineStr">
        <is>
          <t>St. Lucia</t>
        </is>
      </c>
      <c r="B5758" t="inlineStr">
        <is>
          <t>LCA</t>
        </is>
      </c>
      <c r="C5758" t="n">
        <v>1980</v>
      </c>
      <c r="D5758" t="n">
        <v>19.4777291132912</v>
      </c>
    </row>
    <row r="5759">
      <c r="A5759" t="inlineStr">
        <is>
          <t>St. Lucia</t>
        </is>
      </c>
      <c r="B5759" t="inlineStr">
        <is>
          <t>LCA</t>
        </is>
      </c>
      <c r="C5759" t="n">
        <v>1981</v>
      </c>
      <c r="D5759" t="n">
        <v>15.1248443770346</v>
      </c>
    </row>
    <row r="5760">
      <c r="A5760" t="inlineStr">
        <is>
          <t>St. Lucia</t>
        </is>
      </c>
      <c r="B5760" t="inlineStr">
        <is>
          <t>LCA</t>
        </is>
      </c>
      <c r="C5760" t="n">
        <v>1982</v>
      </c>
      <c r="D5760" t="n">
        <v>4.61406749873088</v>
      </c>
    </row>
    <row r="5761">
      <c r="A5761" t="inlineStr">
        <is>
          <t>St. Lucia</t>
        </is>
      </c>
      <c r="B5761" t="inlineStr">
        <is>
          <t>LCA</t>
        </is>
      </c>
      <c r="C5761" t="n">
        <v>1983</v>
      </c>
      <c r="D5761" t="n">
        <v>1.47305853462301</v>
      </c>
    </row>
    <row r="5762">
      <c r="A5762" t="inlineStr">
        <is>
          <t>St. Lucia</t>
        </is>
      </c>
      <c r="B5762" t="inlineStr">
        <is>
          <t>LCA</t>
        </is>
      </c>
      <c r="C5762" t="n">
        <v>1984</v>
      </c>
      <c r="D5762" t="n">
        <v>1.20548410365588</v>
      </c>
    </row>
    <row r="5763">
      <c r="A5763" t="inlineStr">
        <is>
          <t>St. Lucia</t>
        </is>
      </c>
      <c r="B5763" t="inlineStr">
        <is>
          <t>LCA</t>
        </is>
      </c>
      <c r="C5763" t="n">
        <v>1985</v>
      </c>
      <c r="D5763" t="n">
        <v>1.42319898238732</v>
      </c>
    </row>
    <row r="5764">
      <c r="A5764" t="inlineStr">
        <is>
          <t>St. Lucia</t>
        </is>
      </c>
      <c r="B5764" t="inlineStr">
        <is>
          <t>LCA</t>
        </is>
      </c>
      <c r="C5764" t="n">
        <v>1986</v>
      </c>
      <c r="D5764" t="n">
        <v>2.19025825433132</v>
      </c>
    </row>
    <row r="5765">
      <c r="A5765" t="inlineStr">
        <is>
          <t>St. Lucia</t>
        </is>
      </c>
      <c r="B5765" t="inlineStr">
        <is>
          <t>LCA</t>
        </is>
      </c>
      <c r="C5765" t="n">
        <v>1987</v>
      </c>
      <c r="D5765" t="n">
        <v>7.02175303902781</v>
      </c>
    </row>
    <row r="5766">
      <c r="A5766" t="inlineStr">
        <is>
          <t>St. Lucia</t>
        </is>
      </c>
      <c r="B5766" t="inlineStr">
        <is>
          <t>LCA</t>
        </is>
      </c>
      <c r="C5766" t="n">
        <v>1988</v>
      </c>
      <c r="D5766" t="n">
        <v>0.829472425646376</v>
      </c>
    </row>
    <row r="5767">
      <c r="A5767" t="inlineStr">
        <is>
          <t>St. Lucia</t>
        </is>
      </c>
      <c r="B5767" t="inlineStr">
        <is>
          <t>LCA</t>
        </is>
      </c>
      <c r="C5767" t="n">
        <v>1989</v>
      </c>
      <c r="D5767" t="n">
        <v>4.37263766397329</v>
      </c>
    </row>
    <row r="5768">
      <c r="A5768" t="inlineStr">
        <is>
          <t>St. Lucia</t>
        </is>
      </c>
      <c r="B5768" t="inlineStr">
        <is>
          <t>LCA</t>
        </is>
      </c>
      <c r="C5768" t="n">
        <v>1990</v>
      </c>
      <c r="D5768" t="n">
        <v>4.26755662855972</v>
      </c>
    </row>
    <row r="5769">
      <c r="A5769" t="inlineStr">
        <is>
          <t>St. Lucia</t>
        </is>
      </c>
      <c r="B5769" t="inlineStr">
        <is>
          <t>LCA</t>
        </is>
      </c>
      <c r="C5769" t="n">
        <v>1991</v>
      </c>
      <c r="D5769" t="n">
        <v>6.14955053119049</v>
      </c>
    </row>
    <row r="5770">
      <c r="A5770" t="inlineStr">
        <is>
          <t>St. Lucia</t>
        </is>
      </c>
      <c r="B5770" t="inlineStr">
        <is>
          <t>LCA</t>
        </is>
      </c>
      <c r="C5770" t="n">
        <v>1992</v>
      </c>
      <c r="D5770" t="n">
        <v>5.13889779944828</v>
      </c>
    </row>
    <row r="5771">
      <c r="A5771" t="inlineStr">
        <is>
          <t>St. Lucia</t>
        </is>
      </c>
      <c r="B5771" t="inlineStr">
        <is>
          <t>LCA</t>
        </is>
      </c>
      <c r="C5771" t="n">
        <v>1993</v>
      </c>
      <c r="D5771" t="n">
        <v>0.848181596289603</v>
      </c>
    </row>
    <row r="5772">
      <c r="A5772" t="inlineStr">
        <is>
          <t>St. Lucia</t>
        </is>
      </c>
      <c r="B5772" t="inlineStr">
        <is>
          <t>LCA</t>
        </is>
      </c>
      <c r="C5772" t="n">
        <v>1994</v>
      </c>
      <c r="D5772" t="n">
        <v>2.81591665153968</v>
      </c>
    </row>
    <row r="5773">
      <c r="A5773" t="inlineStr">
        <is>
          <t>St. Lucia</t>
        </is>
      </c>
      <c r="B5773" t="inlineStr">
        <is>
          <t>LCA</t>
        </is>
      </c>
      <c r="C5773" t="n">
        <v>1995</v>
      </c>
      <c r="D5773" t="n">
        <v>5.62965921512378</v>
      </c>
    </row>
    <row r="5774">
      <c r="A5774" t="inlineStr">
        <is>
          <t>St. Lucia</t>
        </is>
      </c>
      <c r="B5774" t="inlineStr">
        <is>
          <t>LCA</t>
        </is>
      </c>
      <c r="C5774" t="n">
        <v>1996</v>
      </c>
      <c r="D5774" t="n">
        <v>0.924842609615973</v>
      </c>
    </row>
    <row r="5775">
      <c r="A5775" t="inlineStr">
        <is>
          <t>St. Lucia</t>
        </is>
      </c>
      <c r="B5775" t="inlineStr">
        <is>
          <t>LCA</t>
        </is>
      </c>
      <c r="C5775" t="n">
        <v>1997</v>
      </c>
      <c r="D5775" t="n">
        <v>-0.0055202870547238</v>
      </c>
    </row>
    <row r="5776">
      <c r="A5776" t="inlineStr">
        <is>
          <t>St. Lucia</t>
        </is>
      </c>
      <c r="B5776" t="inlineStr">
        <is>
          <t>LCA</t>
        </is>
      </c>
      <c r="C5776" t="n">
        <v>1998</v>
      </c>
      <c r="D5776" t="n">
        <v>3.20194341679091</v>
      </c>
    </row>
    <row r="5777">
      <c r="A5777" t="inlineStr">
        <is>
          <t>St. Lucia</t>
        </is>
      </c>
      <c r="B5777" t="inlineStr">
        <is>
          <t>LCA</t>
        </is>
      </c>
      <c r="C5777" t="n">
        <v>1999</v>
      </c>
      <c r="D5777" t="n">
        <v>3.50379784108942</v>
      </c>
    </row>
    <row r="5778">
      <c r="A5778" t="inlineStr">
        <is>
          <t>St. Lucia</t>
        </is>
      </c>
      <c r="B5778" t="inlineStr">
        <is>
          <t>LCA</t>
        </is>
      </c>
      <c r="C5778" t="n">
        <v>2000</v>
      </c>
      <c r="D5778" t="n">
        <v>3.7107860871361</v>
      </c>
    </row>
    <row r="5779">
      <c r="A5779" t="inlineStr">
        <is>
          <t>St. Lucia</t>
        </is>
      </c>
      <c r="B5779" t="inlineStr">
        <is>
          <t>LCA</t>
        </is>
      </c>
      <c r="C5779" t="n">
        <v>2001</v>
      </c>
      <c r="D5779" t="n">
        <v>5.30722081028547</v>
      </c>
    </row>
    <row r="5780">
      <c r="A5780" t="inlineStr">
        <is>
          <t>St. Lucia</t>
        </is>
      </c>
      <c r="B5780" t="inlineStr">
        <is>
          <t>LCA</t>
        </is>
      </c>
      <c r="C5780" t="n">
        <v>2002</v>
      </c>
      <c r="D5780" t="n">
        <v>-0.255536626916508</v>
      </c>
    </row>
    <row r="5781">
      <c r="A5781" t="inlineStr">
        <is>
          <t>St. Lucia</t>
        </is>
      </c>
      <c r="B5781" t="inlineStr">
        <is>
          <t>LCA</t>
        </is>
      </c>
      <c r="C5781" t="n">
        <v>2003</v>
      </c>
      <c r="D5781" t="n">
        <v>1.03425372426221</v>
      </c>
    </row>
    <row r="5782">
      <c r="A5782" t="inlineStr">
        <is>
          <t>St. Lucia</t>
        </is>
      </c>
      <c r="B5782" t="inlineStr">
        <is>
          <t>LCA</t>
        </is>
      </c>
      <c r="C5782" t="n">
        <v>2004</v>
      </c>
      <c r="D5782" t="n">
        <v>1.46036814425245</v>
      </c>
    </row>
    <row r="5783">
      <c r="A5783" t="inlineStr">
        <is>
          <t>St. Lucia</t>
        </is>
      </c>
      <c r="B5783" t="inlineStr">
        <is>
          <t>LCA</t>
        </is>
      </c>
      <c r="C5783" t="n">
        <v>2005</v>
      </c>
      <c r="D5783" t="n">
        <v>3.89827370759476</v>
      </c>
    </row>
    <row r="5784">
      <c r="A5784" t="inlineStr">
        <is>
          <t>St. Lucia</t>
        </is>
      </c>
      <c r="B5784" t="inlineStr">
        <is>
          <t>LCA</t>
        </is>
      </c>
      <c r="C5784" t="n">
        <v>2006</v>
      </c>
      <c r="D5784" t="n">
        <v>2.39562082529168</v>
      </c>
    </row>
    <row r="5785">
      <c r="A5785" t="inlineStr">
        <is>
          <t>St. Lucia</t>
        </is>
      </c>
      <c r="B5785" t="inlineStr">
        <is>
          <t>LCA</t>
        </is>
      </c>
      <c r="C5785" t="n">
        <v>2007</v>
      </c>
      <c r="D5785" t="n">
        <v>2.82310373736929</v>
      </c>
    </row>
    <row r="5786">
      <c r="A5786" t="inlineStr">
        <is>
          <t>St. Lucia</t>
        </is>
      </c>
      <c r="B5786" t="inlineStr">
        <is>
          <t>LCA</t>
        </is>
      </c>
      <c r="C5786" t="n">
        <v>2008</v>
      </c>
      <c r="D5786" t="n">
        <v>5.54954769383937</v>
      </c>
    </row>
    <row r="5787">
      <c r="A5787" t="inlineStr">
        <is>
          <t>St. Lucia</t>
        </is>
      </c>
      <c r="B5787" t="inlineStr">
        <is>
          <t>LCA</t>
        </is>
      </c>
      <c r="C5787" t="n">
        <v>2009</v>
      </c>
      <c r="D5787" t="n">
        <v>-0.156936087168669</v>
      </c>
    </row>
    <row r="5788">
      <c r="A5788" t="inlineStr">
        <is>
          <t>St. Lucia</t>
        </is>
      </c>
      <c r="B5788" t="inlineStr">
        <is>
          <t>LCA</t>
        </is>
      </c>
      <c r="C5788" t="n">
        <v>2010</v>
      </c>
      <c r="D5788" t="n">
        <v>3.25034409180129</v>
      </c>
    </row>
    <row r="5789">
      <c r="A5789" t="inlineStr">
        <is>
          <t>St. Lucia</t>
        </is>
      </c>
      <c r="B5789" t="inlineStr">
        <is>
          <t>LCA</t>
        </is>
      </c>
      <c r="C5789" t="n">
        <v>2011</v>
      </c>
      <c r="D5789" t="n">
        <v>2.76940794144093</v>
      </c>
    </row>
    <row r="5790">
      <c r="A5790" t="inlineStr">
        <is>
          <t>St. Lucia</t>
        </is>
      </c>
      <c r="B5790" t="inlineStr">
        <is>
          <t>LCA</t>
        </is>
      </c>
      <c r="C5790" t="n">
        <v>2012</v>
      </c>
      <c r="D5790" t="n">
        <v>4.17763587102515</v>
      </c>
    </row>
    <row r="5791">
      <c r="A5791" t="inlineStr">
        <is>
          <t>St. Lucia</t>
        </is>
      </c>
      <c r="B5791" t="inlineStr">
        <is>
          <t>LCA</t>
        </is>
      </c>
      <c r="C5791" t="n">
        <v>2013</v>
      </c>
      <c r="D5791" t="n">
        <v>1.46856511035428</v>
      </c>
    </row>
    <row r="5792">
      <c r="A5792" t="inlineStr">
        <is>
          <t>St. Lucia</t>
        </is>
      </c>
      <c r="B5792" t="inlineStr">
        <is>
          <t>LCA</t>
        </is>
      </c>
      <c r="C5792" t="n">
        <v>2014</v>
      </c>
      <c r="D5792" t="n">
        <v>3.51695551369241</v>
      </c>
    </row>
    <row r="5793">
      <c r="A5793" t="inlineStr">
        <is>
          <t>St. Lucia</t>
        </is>
      </c>
      <c r="B5793" t="inlineStr">
        <is>
          <t>LCA</t>
        </is>
      </c>
      <c r="C5793" t="n">
        <v>2015</v>
      </c>
      <c r="D5793" t="n">
        <v>-0.983600952696996</v>
      </c>
    </row>
    <row r="5794">
      <c r="A5794" t="inlineStr">
        <is>
          <t>St. Lucia</t>
        </is>
      </c>
      <c r="B5794" t="inlineStr">
        <is>
          <t>LCA</t>
        </is>
      </c>
      <c r="C5794" t="n">
        <v>2016</v>
      </c>
      <c r="D5794" t="n">
        <v>-3.07821765676927</v>
      </c>
    </row>
    <row r="5795">
      <c r="A5795" t="inlineStr">
        <is>
          <t>St. Lucia</t>
        </is>
      </c>
      <c r="B5795" t="inlineStr">
        <is>
          <t>LCA</t>
        </is>
      </c>
      <c r="C5795" t="n">
        <v>2017</v>
      </c>
      <c r="D5795" t="n">
        <v>0.104262078958441</v>
      </c>
    </row>
    <row r="5796">
      <c r="A5796" t="inlineStr">
        <is>
          <t>St. Lucia</t>
        </is>
      </c>
      <c r="B5796" t="inlineStr">
        <is>
          <t>LCA</t>
        </is>
      </c>
      <c r="C5796" t="n">
        <v>2018</v>
      </c>
      <c r="D5796" t="n">
        <v>1.93561893150602</v>
      </c>
    </row>
    <row r="5797">
      <c r="A5797" t="inlineStr">
        <is>
          <t>St. Lucia</t>
        </is>
      </c>
      <c r="B5797" t="inlineStr">
        <is>
          <t>LCA</t>
        </is>
      </c>
      <c r="C5797" t="n">
        <v>2019</v>
      </c>
      <c r="D5797" t="n">
        <v>0.539087559191757</v>
      </c>
    </row>
    <row r="5798">
      <c r="A5798" t="inlineStr">
        <is>
          <t>St. Lucia</t>
        </is>
      </c>
      <c r="B5798" t="inlineStr">
        <is>
          <t>LCA</t>
        </is>
      </c>
      <c r="C5798" t="n">
        <v>2020</v>
      </c>
      <c r="D5798" t="n">
        <v>-1.75580833517594</v>
      </c>
    </row>
    <row r="5799">
      <c r="A5799" t="inlineStr">
        <is>
          <t>St. Lucia</t>
        </is>
      </c>
      <c r="B5799" t="inlineStr">
        <is>
          <t>LCA</t>
        </is>
      </c>
      <c r="C5799" t="n">
        <v>2021</v>
      </c>
      <c r="D5799" t="n">
        <v>2.41070312174393</v>
      </c>
    </row>
    <row r="5800">
      <c r="A5800" t="inlineStr">
        <is>
          <t>St. Lucia</t>
        </is>
      </c>
      <c r="B5800" t="inlineStr">
        <is>
          <t>LCA</t>
        </is>
      </c>
      <c r="C5800" t="n">
        <v>2022</v>
      </c>
      <c r="D5800" t="n">
        <v>6.37814695133351</v>
      </c>
    </row>
    <row r="5801">
      <c r="A5801" t="inlineStr">
        <is>
          <t>St. Lucia</t>
        </is>
      </c>
      <c r="B5801" t="inlineStr">
        <is>
          <t>LCA</t>
        </is>
      </c>
      <c r="C5801" t="n">
        <v>2023</v>
      </c>
      <c r="D5801" t="n">
        <v>4.07060821926204</v>
      </c>
    </row>
    <row r="5802">
      <c r="A5802" t="inlineStr">
        <is>
          <t>Latin America &amp; Caribbean</t>
        </is>
      </c>
      <c r="B5802" t="inlineStr">
        <is>
          <t>LCN</t>
        </is>
      </c>
      <c r="C5802" t="n">
        <v>1967</v>
      </c>
      <c r="D5802" t="n">
        <v>3.01694847502148</v>
      </c>
    </row>
    <row r="5803">
      <c r="A5803" t="inlineStr">
        <is>
          <t>Latin America &amp; Caribbean</t>
        </is>
      </c>
      <c r="B5803" t="inlineStr">
        <is>
          <t>LCN</t>
        </is>
      </c>
      <c r="C5803" t="n">
        <v>1968</v>
      </c>
      <c r="D5803" t="n">
        <v>4.09389143106836</v>
      </c>
    </row>
    <row r="5804">
      <c r="A5804" t="inlineStr">
        <is>
          <t>Latin America &amp; Caribbean</t>
        </is>
      </c>
      <c r="B5804" t="inlineStr">
        <is>
          <t>LCN</t>
        </is>
      </c>
      <c r="C5804" t="n">
        <v>1969</v>
      </c>
      <c r="D5804" t="n">
        <v>2.62934083658332</v>
      </c>
    </row>
    <row r="5805">
      <c r="A5805" t="inlineStr">
        <is>
          <t>Latin America &amp; Caribbean</t>
        </is>
      </c>
      <c r="B5805" t="inlineStr">
        <is>
          <t>LCN</t>
        </is>
      </c>
      <c r="C5805" t="n">
        <v>1970</v>
      </c>
      <c r="D5805" t="n">
        <v>4.65229749303154</v>
      </c>
    </row>
    <row r="5806">
      <c r="A5806" t="inlineStr">
        <is>
          <t>Latin America &amp; Caribbean</t>
        </is>
      </c>
      <c r="B5806" t="inlineStr">
        <is>
          <t>LCN</t>
        </is>
      </c>
      <c r="C5806" t="n">
        <v>1971</v>
      </c>
      <c r="D5806" t="n">
        <v>4.78411438154619</v>
      </c>
    </row>
    <row r="5807">
      <c r="A5807" t="inlineStr">
        <is>
          <t>Latin America &amp; Caribbean</t>
        </is>
      </c>
      <c r="B5807" t="inlineStr">
        <is>
          <t>LCN</t>
        </is>
      </c>
      <c r="C5807" t="n">
        <v>1972</v>
      </c>
      <c r="D5807" t="n">
        <v>6.67117766528369</v>
      </c>
    </row>
    <row r="5808">
      <c r="A5808" t="inlineStr">
        <is>
          <t>Latin America &amp; Caribbean</t>
        </is>
      </c>
      <c r="B5808" t="inlineStr">
        <is>
          <t>LCN</t>
        </is>
      </c>
      <c r="C5808" t="n">
        <v>1973</v>
      </c>
      <c r="D5808" t="n">
        <v>13.618317345838</v>
      </c>
    </row>
    <row r="5809">
      <c r="A5809" t="inlineStr">
        <is>
          <t>Latin America &amp; Caribbean</t>
        </is>
      </c>
      <c r="B5809" t="inlineStr">
        <is>
          <t>LCN</t>
        </is>
      </c>
      <c r="C5809" t="n">
        <v>1974</v>
      </c>
      <c r="D5809" t="n">
        <v>23.2440485325972</v>
      </c>
    </row>
    <row r="5810">
      <c r="A5810" t="inlineStr">
        <is>
          <t>Latin America &amp; Caribbean</t>
        </is>
      </c>
      <c r="B5810" t="inlineStr">
        <is>
          <t>LCN</t>
        </is>
      </c>
      <c r="C5810" t="n">
        <v>1975</v>
      </c>
      <c r="D5810" t="n">
        <v>16.7735703245816</v>
      </c>
    </row>
    <row r="5811">
      <c r="A5811" t="inlineStr">
        <is>
          <t>Latin America &amp; Caribbean</t>
        </is>
      </c>
      <c r="B5811" t="inlineStr">
        <is>
          <t>LCN</t>
        </is>
      </c>
      <c r="C5811" t="n">
        <v>1976</v>
      </c>
      <c r="D5811" t="n">
        <v>9.793653275346511</v>
      </c>
    </row>
    <row r="5812">
      <c r="A5812" t="inlineStr">
        <is>
          <t>Latin America &amp; Caribbean</t>
        </is>
      </c>
      <c r="B5812" t="inlineStr">
        <is>
          <t>LCN</t>
        </is>
      </c>
      <c r="C5812" t="n">
        <v>1977</v>
      </c>
      <c r="D5812" t="n">
        <v>10.6889574207751</v>
      </c>
    </row>
    <row r="5813">
      <c r="A5813" t="inlineStr">
        <is>
          <t>Latin America &amp; Caribbean</t>
        </is>
      </c>
      <c r="B5813" t="inlineStr">
        <is>
          <t>LCN</t>
        </is>
      </c>
      <c r="C5813" t="n">
        <v>1978</v>
      </c>
      <c r="D5813" t="n">
        <v>10.3061292222965</v>
      </c>
    </row>
    <row r="5814">
      <c r="A5814" t="inlineStr">
        <is>
          <t>Latin America &amp; Caribbean</t>
        </is>
      </c>
      <c r="B5814" t="inlineStr">
        <is>
          <t>LCN</t>
        </is>
      </c>
      <c r="C5814" t="n">
        <v>1979</v>
      </c>
      <c r="D5814" t="n">
        <v>14.7221703689992</v>
      </c>
    </row>
    <row r="5815">
      <c r="A5815" t="inlineStr">
        <is>
          <t>Latin America &amp; Caribbean</t>
        </is>
      </c>
      <c r="B5815" t="inlineStr">
        <is>
          <t>LCN</t>
        </is>
      </c>
      <c r="C5815" t="n">
        <v>1980</v>
      </c>
      <c r="D5815" t="n">
        <v>17.9199241406267</v>
      </c>
    </row>
    <row r="5816">
      <c r="A5816" t="inlineStr">
        <is>
          <t>Latin America &amp; Caribbean</t>
        </is>
      </c>
      <c r="B5816" t="inlineStr">
        <is>
          <t>LCN</t>
        </is>
      </c>
      <c r="C5816" t="n">
        <v>1981</v>
      </c>
      <c r="D5816" t="n">
        <v>14.0479686718868</v>
      </c>
    </row>
    <row r="5817">
      <c r="A5817" t="inlineStr">
        <is>
          <t>Latin America &amp; Caribbean</t>
        </is>
      </c>
      <c r="B5817" t="inlineStr">
        <is>
          <t>LCN</t>
        </is>
      </c>
      <c r="C5817" t="n">
        <v>1982</v>
      </c>
      <c r="D5817" t="n">
        <v>7.81274141216489</v>
      </c>
    </row>
    <row r="5818">
      <c r="A5818" t="inlineStr">
        <is>
          <t>Latin America &amp; Caribbean</t>
        </is>
      </c>
      <c r="B5818" t="inlineStr">
        <is>
          <t>LCN</t>
        </is>
      </c>
      <c r="C5818" t="n">
        <v>1983</v>
      </c>
      <c r="D5818" t="n">
        <v>10.2436633526545</v>
      </c>
    </row>
    <row r="5819">
      <c r="A5819" t="inlineStr">
        <is>
          <t>Latin America &amp; Caribbean</t>
        </is>
      </c>
      <c r="B5819" t="inlineStr">
        <is>
          <t>LCN</t>
        </is>
      </c>
      <c r="C5819" t="n">
        <v>1984</v>
      </c>
      <c r="D5819" t="n">
        <v>11.5071695057309</v>
      </c>
    </row>
    <row r="5820">
      <c r="A5820" t="inlineStr">
        <is>
          <t>Latin America &amp; Caribbean</t>
        </is>
      </c>
      <c r="B5820" t="inlineStr">
        <is>
          <t>LCN</t>
        </is>
      </c>
      <c r="C5820" t="n">
        <v>1985</v>
      </c>
      <c r="D5820" t="n">
        <v>12.9616863143474</v>
      </c>
    </row>
    <row r="5821">
      <c r="A5821" t="inlineStr">
        <is>
          <t>Latin America &amp; Caribbean</t>
        </is>
      </c>
      <c r="B5821" t="inlineStr">
        <is>
          <t>LCN</t>
        </is>
      </c>
      <c r="C5821" t="n">
        <v>1986</v>
      </c>
      <c r="D5821" t="n">
        <v>9.764369243420621</v>
      </c>
    </row>
    <row r="5822">
      <c r="A5822" t="inlineStr">
        <is>
          <t>Latin America &amp; Caribbean</t>
        </is>
      </c>
      <c r="B5822" t="inlineStr">
        <is>
          <t>LCN</t>
        </is>
      </c>
      <c r="C5822" t="n">
        <v>1987</v>
      </c>
      <c r="D5822" t="n">
        <v>11.5375361337893</v>
      </c>
    </row>
    <row r="5823">
      <c r="A5823" t="inlineStr">
        <is>
          <t>Latin America &amp; Caribbean</t>
        </is>
      </c>
      <c r="B5823" t="inlineStr">
        <is>
          <t>LCN</t>
        </is>
      </c>
      <c r="C5823" t="n">
        <v>1988</v>
      </c>
      <c r="D5823" t="n">
        <v>8.012628905724119</v>
      </c>
    </row>
    <row r="5824">
      <c r="A5824" t="inlineStr">
        <is>
          <t>Latin America &amp; Caribbean</t>
        </is>
      </c>
      <c r="B5824" t="inlineStr">
        <is>
          <t>LCN</t>
        </is>
      </c>
      <c r="C5824" t="n">
        <v>1989</v>
      </c>
      <c r="D5824" t="n">
        <v>11.4096320065762</v>
      </c>
    </row>
    <row r="5825">
      <c r="A5825" t="inlineStr">
        <is>
          <t>Latin America &amp; Caribbean</t>
        </is>
      </c>
      <c r="B5825" t="inlineStr">
        <is>
          <t>LCN</t>
        </is>
      </c>
      <c r="C5825" t="n">
        <v>1990</v>
      </c>
      <c r="D5825" t="n">
        <v>21.5079881732679</v>
      </c>
    </row>
    <row r="5826">
      <c r="A5826" t="inlineStr">
        <is>
          <t>Latin America &amp; Caribbean</t>
        </is>
      </c>
      <c r="B5826" t="inlineStr">
        <is>
          <t>LCN</t>
        </is>
      </c>
      <c r="C5826" t="n">
        <v>1991</v>
      </c>
      <c r="D5826" t="n">
        <v>21.6157411224449</v>
      </c>
    </row>
    <row r="5827">
      <c r="A5827" t="inlineStr">
        <is>
          <t>Latin America &amp; Caribbean</t>
        </is>
      </c>
      <c r="B5827" t="inlineStr">
        <is>
          <t>LCN</t>
        </is>
      </c>
      <c r="C5827" t="n">
        <v>1992</v>
      </c>
      <c r="D5827" t="n">
        <v>10.6301996893038</v>
      </c>
    </row>
    <row r="5828">
      <c r="A5828" t="inlineStr">
        <is>
          <t>Latin America &amp; Caribbean</t>
        </is>
      </c>
      <c r="B5828" t="inlineStr">
        <is>
          <t>LCN</t>
        </is>
      </c>
      <c r="C5828" t="n">
        <v>1993</v>
      </c>
      <c r="D5828" t="n">
        <v>10.2636237496549</v>
      </c>
    </row>
    <row r="5829">
      <c r="A5829" t="inlineStr">
        <is>
          <t>Latin America &amp; Caribbean</t>
        </is>
      </c>
      <c r="B5829" t="inlineStr">
        <is>
          <t>LCN</t>
        </is>
      </c>
      <c r="C5829" t="n">
        <v>1994</v>
      </c>
      <c r="D5829" t="n">
        <v>9.70025033516308</v>
      </c>
    </row>
    <row r="5830">
      <c r="A5830" t="inlineStr">
        <is>
          <t>Latin America &amp; Caribbean</t>
        </is>
      </c>
      <c r="B5830" t="inlineStr">
        <is>
          <t>LCN</t>
        </is>
      </c>
      <c r="C5830" t="n">
        <v>1995</v>
      </c>
      <c r="D5830" t="n">
        <v>10.1932067630745</v>
      </c>
    </row>
    <row r="5831">
      <c r="A5831" t="inlineStr">
        <is>
          <t>Latin America &amp; Caribbean</t>
        </is>
      </c>
      <c r="B5831" t="inlineStr">
        <is>
          <t>LCN</t>
        </is>
      </c>
      <c r="C5831" t="n">
        <v>1996</v>
      </c>
      <c r="D5831" t="n">
        <v>7.35911781788767</v>
      </c>
    </row>
    <row r="5832">
      <c r="A5832" t="inlineStr">
        <is>
          <t>Latin America &amp; Caribbean</t>
        </is>
      </c>
      <c r="B5832" t="inlineStr">
        <is>
          <t>LCN</t>
        </is>
      </c>
      <c r="C5832" t="n">
        <v>1997</v>
      </c>
      <c r="D5832" t="n">
        <v>6.94956608534118</v>
      </c>
    </row>
    <row r="5833">
      <c r="A5833" t="inlineStr">
        <is>
          <t>Latin America &amp; Caribbean</t>
        </is>
      </c>
      <c r="B5833" t="inlineStr">
        <is>
          <t>LCN</t>
        </is>
      </c>
      <c r="C5833" t="n">
        <v>1998</v>
      </c>
      <c r="D5833" t="n">
        <v>5.11024954517559</v>
      </c>
    </row>
    <row r="5834">
      <c r="A5834" t="inlineStr">
        <is>
          <t>Latin America &amp; Caribbean</t>
        </is>
      </c>
      <c r="B5834" t="inlineStr">
        <is>
          <t>LCN</t>
        </is>
      </c>
      <c r="C5834" t="n">
        <v>1999</v>
      </c>
      <c r="D5834" t="n">
        <v>3.45439793587507</v>
      </c>
    </row>
    <row r="5835">
      <c r="A5835" t="inlineStr">
        <is>
          <t>Latin America &amp; Caribbean</t>
        </is>
      </c>
      <c r="B5835" t="inlineStr">
        <is>
          <t>LCN</t>
        </is>
      </c>
      <c r="C5835" t="n">
        <v>2000</v>
      </c>
      <c r="D5835" t="n">
        <v>4.60822998872598</v>
      </c>
    </row>
    <row r="5836">
      <c r="A5836" t="inlineStr">
        <is>
          <t>Latin America &amp; Caribbean</t>
        </is>
      </c>
      <c r="B5836" t="inlineStr">
        <is>
          <t>LCN</t>
        </is>
      </c>
      <c r="C5836" t="n">
        <v>2001</v>
      </c>
      <c r="D5836" t="n">
        <v>4.05508061344645</v>
      </c>
    </row>
    <row r="5837">
      <c r="A5837" t="inlineStr">
        <is>
          <t>Latin America &amp; Caribbean</t>
        </is>
      </c>
      <c r="B5837" t="inlineStr">
        <is>
          <t>LCN</t>
        </is>
      </c>
      <c r="C5837" t="n">
        <v>2002</v>
      </c>
      <c r="D5837" t="n">
        <v>3.95011663721593</v>
      </c>
    </row>
    <row r="5838">
      <c r="A5838" t="inlineStr">
        <is>
          <t>Latin America &amp; Caribbean</t>
        </is>
      </c>
      <c r="B5838" t="inlineStr">
        <is>
          <t>LCN</t>
        </is>
      </c>
      <c r="C5838" t="n">
        <v>2003</v>
      </c>
      <c r="D5838" t="n">
        <v>3.73373566167644</v>
      </c>
    </row>
    <row r="5839">
      <c r="A5839" t="inlineStr">
        <is>
          <t>Latin America &amp; Caribbean</t>
        </is>
      </c>
      <c r="B5839" t="inlineStr">
        <is>
          <t>LCN</t>
        </is>
      </c>
      <c r="C5839" t="n">
        <v>2004</v>
      </c>
      <c r="D5839" t="n">
        <v>4.38032286534608</v>
      </c>
    </row>
    <row r="5840">
      <c r="A5840" t="inlineStr">
        <is>
          <t>Latin America &amp; Caribbean</t>
        </is>
      </c>
      <c r="B5840" t="inlineStr">
        <is>
          <t>LCN</t>
        </is>
      </c>
      <c r="C5840" t="n">
        <v>2005</v>
      </c>
      <c r="D5840" t="n">
        <v>4.44057565687912</v>
      </c>
    </row>
    <row r="5841">
      <c r="A5841" t="inlineStr">
        <is>
          <t>Latin America &amp; Caribbean</t>
        </is>
      </c>
      <c r="B5841" t="inlineStr">
        <is>
          <t>LCN</t>
        </is>
      </c>
      <c r="C5841" t="n">
        <v>2006</v>
      </c>
      <c r="D5841" t="n">
        <v>4.25195321977967</v>
      </c>
    </row>
    <row r="5842">
      <c r="A5842" t="inlineStr">
        <is>
          <t>Latin America &amp; Caribbean</t>
        </is>
      </c>
      <c r="B5842" t="inlineStr">
        <is>
          <t>LCN</t>
        </is>
      </c>
      <c r="C5842" t="n">
        <v>2007</v>
      </c>
      <c r="D5842" t="n">
        <v>4.57808572377153</v>
      </c>
    </row>
    <row r="5843">
      <c r="A5843" t="inlineStr">
        <is>
          <t>Latin America &amp; Caribbean</t>
        </is>
      </c>
      <c r="B5843" t="inlineStr">
        <is>
          <t>LCN</t>
        </is>
      </c>
      <c r="C5843" t="n">
        <v>2008</v>
      </c>
      <c r="D5843" t="n">
        <v>8.108108108107819</v>
      </c>
    </row>
    <row r="5844">
      <c r="A5844" t="inlineStr">
        <is>
          <t>Latin America &amp; Caribbean</t>
        </is>
      </c>
      <c r="B5844" t="inlineStr">
        <is>
          <t>LCN</t>
        </is>
      </c>
      <c r="C5844" t="n">
        <v>2009</v>
      </c>
      <c r="D5844" t="n">
        <v>2.50049988756384</v>
      </c>
    </row>
    <row r="5845">
      <c r="A5845" t="inlineStr">
        <is>
          <t>Latin America &amp; Caribbean</t>
        </is>
      </c>
      <c r="B5845" t="inlineStr">
        <is>
          <t>LCN</t>
        </is>
      </c>
      <c r="C5845" t="n">
        <v>2010</v>
      </c>
      <c r="D5845" t="n">
        <v>3.491288726188</v>
      </c>
    </row>
    <row r="5846">
      <c r="A5846" t="inlineStr">
        <is>
          <t>Latin America &amp; Caribbean</t>
        </is>
      </c>
      <c r="B5846" t="inlineStr">
        <is>
          <t>LCN</t>
        </is>
      </c>
      <c r="C5846" t="n">
        <v>2011</v>
      </c>
      <c r="D5846" t="n">
        <v>4.9777356370697</v>
      </c>
    </row>
    <row r="5847">
      <c r="A5847" t="inlineStr">
        <is>
          <t>Latin America &amp; Caribbean</t>
        </is>
      </c>
      <c r="B5847" t="inlineStr">
        <is>
          <t>LCN</t>
        </is>
      </c>
      <c r="C5847" t="n">
        <v>2012</v>
      </c>
      <c r="D5847" t="n">
        <v>3.78180754679678</v>
      </c>
    </row>
    <row r="5848">
      <c r="A5848" t="inlineStr">
        <is>
          <t>Latin America &amp; Caribbean</t>
        </is>
      </c>
      <c r="B5848" t="inlineStr">
        <is>
          <t>LCN</t>
        </is>
      </c>
      <c r="C5848" t="n">
        <v>2013</v>
      </c>
      <c r="D5848" t="n">
        <v>2.5286478853837</v>
      </c>
    </row>
    <row r="5849">
      <c r="A5849" t="inlineStr">
        <is>
          <t>Latin America &amp; Caribbean</t>
        </is>
      </c>
      <c r="B5849" t="inlineStr">
        <is>
          <t>LCN</t>
        </is>
      </c>
      <c r="C5849" t="n">
        <v>2014</v>
      </c>
      <c r="D5849" t="n">
        <v>3.38341272749477</v>
      </c>
    </row>
    <row r="5850">
      <c r="A5850" t="inlineStr">
        <is>
          <t>Latin America &amp; Caribbean</t>
        </is>
      </c>
      <c r="B5850" t="inlineStr">
        <is>
          <t>LCN</t>
        </is>
      </c>
      <c r="C5850" t="n">
        <v>2015</v>
      </c>
      <c r="D5850" t="n">
        <v>1.86148302863371</v>
      </c>
    </row>
    <row r="5851">
      <c r="A5851" t="inlineStr">
        <is>
          <t>Latin America &amp; Caribbean</t>
        </is>
      </c>
      <c r="B5851" t="inlineStr">
        <is>
          <t>LCN</t>
        </is>
      </c>
      <c r="C5851" t="n">
        <v>2016</v>
      </c>
      <c r="D5851" t="n">
        <v>1.65038994431573</v>
      </c>
    </row>
    <row r="5852">
      <c r="A5852" t="inlineStr">
        <is>
          <t>Latin America &amp; Caribbean</t>
        </is>
      </c>
      <c r="B5852" t="inlineStr">
        <is>
          <t>LCN</t>
        </is>
      </c>
      <c r="C5852" t="n">
        <v>2017</v>
      </c>
      <c r="D5852" t="n">
        <v>2.19201010962985</v>
      </c>
    </row>
    <row r="5853">
      <c r="A5853" t="inlineStr">
        <is>
          <t>Latin America &amp; Caribbean</t>
        </is>
      </c>
      <c r="B5853" t="inlineStr">
        <is>
          <t>LCN</t>
        </is>
      </c>
      <c r="C5853" t="n">
        <v>2018</v>
      </c>
      <c r="D5853" t="n">
        <v>2.32414485367921</v>
      </c>
    </row>
    <row r="5854">
      <c r="A5854" t="inlineStr">
        <is>
          <t>Latin America &amp; Caribbean</t>
        </is>
      </c>
      <c r="B5854" t="inlineStr">
        <is>
          <t>LCN</t>
        </is>
      </c>
      <c r="C5854" t="n">
        <v>2019</v>
      </c>
      <c r="D5854" t="n">
        <v>2.25212191358027</v>
      </c>
    </row>
    <row r="5855">
      <c r="A5855" t="inlineStr">
        <is>
          <t>Latin America &amp; Caribbean</t>
        </is>
      </c>
      <c r="B5855" t="inlineStr">
        <is>
          <t>LCN</t>
        </is>
      </c>
      <c r="C5855" t="n">
        <v>2020</v>
      </c>
      <c r="D5855" t="n">
        <v>0.99333702283873</v>
      </c>
    </row>
    <row r="5856">
      <c r="A5856" t="inlineStr">
        <is>
          <t>Latin America &amp; Caribbean</t>
        </is>
      </c>
      <c r="B5856" t="inlineStr">
        <is>
          <t>LCN</t>
        </is>
      </c>
      <c r="C5856" t="n">
        <v>2021</v>
      </c>
      <c r="D5856" t="n">
        <v>3.49505757399448</v>
      </c>
    </row>
    <row r="5857">
      <c r="A5857" t="inlineStr">
        <is>
          <t>Latin America &amp; Caribbean</t>
        </is>
      </c>
      <c r="B5857" t="inlineStr">
        <is>
          <t>LCN</t>
        </is>
      </c>
      <c r="C5857" t="n">
        <v>2022</v>
      </c>
      <c r="D5857" t="n">
        <v>7.7806152516404</v>
      </c>
    </row>
    <row r="5858">
      <c r="A5858" t="inlineStr">
        <is>
          <t>Latin America &amp; Caribbean</t>
        </is>
      </c>
      <c r="B5858" t="inlineStr">
        <is>
          <t>LCN</t>
        </is>
      </c>
      <c r="C5858" t="n">
        <v>2023</v>
      </c>
      <c r="D5858" t="n">
        <v>4.63066263911662</v>
      </c>
    </row>
    <row r="5859">
      <c r="A5859" t="inlineStr">
        <is>
          <t>Least developed countries: UN classification</t>
        </is>
      </c>
      <c r="B5859" t="inlineStr">
        <is>
          <t>LDC</t>
        </is>
      </c>
      <c r="C5859" t="n">
        <v>1986</v>
      </c>
      <c r="D5859" t="n">
        <v>9.325461900076521</v>
      </c>
    </row>
    <row r="5860">
      <c r="A5860" t="inlineStr">
        <is>
          <t>Least developed countries: UN classification</t>
        </is>
      </c>
      <c r="B5860" t="inlineStr">
        <is>
          <t>LDC</t>
        </is>
      </c>
      <c r="C5860" t="n">
        <v>1987</v>
      </c>
      <c r="D5860" t="n">
        <v>9.01351931463752</v>
      </c>
    </row>
    <row r="5861">
      <c r="A5861" t="inlineStr">
        <is>
          <t>Least developed countries: UN classification</t>
        </is>
      </c>
      <c r="B5861" t="inlineStr">
        <is>
          <t>LDC</t>
        </is>
      </c>
      <c r="C5861" t="n">
        <v>1988</v>
      </c>
      <c r="D5861" t="n">
        <v>10.2196875039765</v>
      </c>
    </row>
    <row r="5862">
      <c r="A5862" t="inlineStr">
        <is>
          <t>Least developed countries: UN classification</t>
        </is>
      </c>
      <c r="B5862" t="inlineStr">
        <is>
          <t>LDC</t>
        </is>
      </c>
      <c r="C5862" t="n">
        <v>1989</v>
      </c>
      <c r="D5862" t="n">
        <v>8.929941428940261</v>
      </c>
    </row>
    <row r="5863">
      <c r="A5863" t="inlineStr">
        <is>
          <t>Least developed countries: UN classification</t>
        </is>
      </c>
      <c r="B5863" t="inlineStr">
        <is>
          <t>LDC</t>
        </is>
      </c>
      <c r="C5863" t="n">
        <v>1990</v>
      </c>
      <c r="D5863" t="n">
        <v>8.488646496506959</v>
      </c>
    </row>
    <row r="5864">
      <c r="A5864" t="inlineStr">
        <is>
          <t>Least developed countries: UN classification</t>
        </is>
      </c>
      <c r="B5864" t="inlineStr">
        <is>
          <t>LDC</t>
        </is>
      </c>
      <c r="C5864" t="n">
        <v>1991</v>
      </c>
      <c r="D5864" t="n">
        <v>14.2458446087478</v>
      </c>
    </row>
    <row r="5865">
      <c r="A5865" t="inlineStr">
        <is>
          <t>Least developed countries: UN classification</t>
        </is>
      </c>
      <c r="B5865" t="inlineStr">
        <is>
          <t>LDC</t>
        </is>
      </c>
      <c r="C5865" t="n">
        <v>1992</v>
      </c>
      <c r="D5865" t="n">
        <v>10.6393021897439</v>
      </c>
    </row>
    <row r="5866">
      <c r="A5866" t="inlineStr">
        <is>
          <t>Least developed countries: UN classification</t>
        </is>
      </c>
      <c r="B5866" t="inlineStr">
        <is>
          <t>LDC</t>
        </is>
      </c>
      <c r="C5866" t="n">
        <v>1993</v>
      </c>
      <c r="D5866" t="n">
        <v>9.370344159714611</v>
      </c>
    </row>
    <row r="5867">
      <c r="A5867" t="inlineStr">
        <is>
          <t>Least developed countries: UN classification</t>
        </is>
      </c>
      <c r="B5867" t="inlineStr">
        <is>
          <t>LDC</t>
        </is>
      </c>
      <c r="C5867" t="n">
        <v>1994</v>
      </c>
      <c r="D5867" t="n">
        <v>25.1778762249963</v>
      </c>
    </row>
    <row r="5868">
      <c r="A5868" t="inlineStr">
        <is>
          <t>Least developed countries: UN classification</t>
        </is>
      </c>
      <c r="B5868" t="inlineStr">
        <is>
          <t>LDC</t>
        </is>
      </c>
      <c r="C5868" t="n">
        <v>1995</v>
      </c>
      <c r="D5868" t="n">
        <v>15.4480258352528</v>
      </c>
    </row>
    <row r="5869">
      <c r="A5869" t="inlineStr">
        <is>
          <t>Least developed countries: UN classification</t>
        </is>
      </c>
      <c r="B5869" t="inlineStr">
        <is>
          <t>LDC</t>
        </is>
      </c>
      <c r="C5869" t="n">
        <v>1996</v>
      </c>
      <c r="D5869" t="n">
        <v>9.330314585319281</v>
      </c>
    </row>
    <row r="5870">
      <c r="A5870" t="inlineStr">
        <is>
          <t>Least developed countries: UN classification</t>
        </is>
      </c>
      <c r="B5870" t="inlineStr">
        <is>
          <t>LDC</t>
        </is>
      </c>
      <c r="C5870" t="n">
        <v>1997</v>
      </c>
      <c r="D5870" t="n">
        <v>8.022107666317501</v>
      </c>
    </row>
    <row r="5871">
      <c r="A5871" t="inlineStr">
        <is>
          <t>Least developed countries: UN classification</t>
        </is>
      </c>
      <c r="B5871" t="inlineStr">
        <is>
          <t>LDC</t>
        </is>
      </c>
      <c r="C5871" t="n">
        <v>1998</v>
      </c>
      <c r="D5871" t="n">
        <v>7.11191114210706</v>
      </c>
    </row>
    <row r="5872">
      <c r="A5872" t="inlineStr">
        <is>
          <t>Least developed countries: UN classification</t>
        </is>
      </c>
      <c r="B5872" t="inlineStr">
        <is>
          <t>LDC</t>
        </is>
      </c>
      <c r="C5872" t="n">
        <v>1999</v>
      </c>
      <c r="D5872" t="n">
        <v>4.92577256142325</v>
      </c>
    </row>
    <row r="5873">
      <c r="A5873" t="inlineStr">
        <is>
          <t>Least developed countries: UN classification</t>
        </is>
      </c>
      <c r="B5873" t="inlineStr">
        <is>
          <t>LDC</t>
        </is>
      </c>
      <c r="C5873" t="n">
        <v>2000</v>
      </c>
      <c r="D5873" t="n">
        <v>3.89952980284712</v>
      </c>
    </row>
    <row r="5874">
      <c r="A5874" t="inlineStr">
        <is>
          <t>Least developed countries: UN classification</t>
        </is>
      </c>
      <c r="B5874" t="inlineStr">
        <is>
          <t>LDC</t>
        </is>
      </c>
      <c r="C5874" t="n">
        <v>2001</v>
      </c>
      <c r="D5874" t="n">
        <v>4.7148963468961</v>
      </c>
    </row>
    <row r="5875">
      <c r="A5875" t="inlineStr">
        <is>
          <t>Least developed countries: UN classification</t>
        </is>
      </c>
      <c r="B5875" t="inlineStr">
        <is>
          <t>LDC</t>
        </is>
      </c>
      <c r="C5875" t="n">
        <v>2002</v>
      </c>
      <c r="D5875" t="n">
        <v>4.46426400734842</v>
      </c>
    </row>
    <row r="5876">
      <c r="A5876" t="inlineStr">
        <is>
          <t>Least developed countries: UN classification</t>
        </is>
      </c>
      <c r="B5876" t="inlineStr">
        <is>
          <t>LDC</t>
        </is>
      </c>
      <c r="C5876" t="n">
        <v>2003</v>
      </c>
      <c r="D5876" t="n">
        <v>6.48943208673338</v>
      </c>
    </row>
    <row r="5877">
      <c r="A5877" t="inlineStr">
        <is>
          <t>Least developed countries: UN classification</t>
        </is>
      </c>
      <c r="B5877" t="inlineStr">
        <is>
          <t>LDC</t>
        </is>
      </c>
      <c r="C5877" t="n">
        <v>2004</v>
      </c>
      <c r="D5877" t="n">
        <v>4.53421374129692</v>
      </c>
    </row>
    <row r="5878">
      <c r="A5878" t="inlineStr">
        <is>
          <t>Least developed countries: UN classification</t>
        </is>
      </c>
      <c r="B5878" t="inlineStr">
        <is>
          <t>LDC</t>
        </is>
      </c>
      <c r="C5878" t="n">
        <v>2005</v>
      </c>
      <c r="D5878" t="n">
        <v>7.56408061709869</v>
      </c>
    </row>
    <row r="5879">
      <c r="A5879" t="inlineStr">
        <is>
          <t>Least developed countries: UN classification</t>
        </is>
      </c>
      <c r="B5879" t="inlineStr">
        <is>
          <t>LDC</t>
        </is>
      </c>
      <c r="C5879" t="n">
        <v>2006</v>
      </c>
      <c r="D5879" t="n">
        <v>6.85246617854621</v>
      </c>
    </row>
    <row r="5880">
      <c r="A5880" t="inlineStr">
        <is>
          <t>Least developed countries: UN classification</t>
        </is>
      </c>
      <c r="B5880" t="inlineStr">
        <is>
          <t>LDC</t>
        </is>
      </c>
      <c r="C5880" t="n">
        <v>2007</v>
      </c>
      <c r="D5880" t="n">
        <v>7.78556896236768</v>
      </c>
    </row>
    <row r="5881">
      <c r="A5881" t="inlineStr">
        <is>
          <t>Least developed countries: UN classification</t>
        </is>
      </c>
      <c r="B5881" t="inlineStr">
        <is>
          <t>LDC</t>
        </is>
      </c>
      <c r="C5881" t="n">
        <v>2008</v>
      </c>
      <c r="D5881" t="n">
        <v>11.010388006835</v>
      </c>
    </row>
    <row r="5882">
      <c r="A5882" t="inlineStr">
        <is>
          <t>Least developed countries: UN classification</t>
        </is>
      </c>
      <c r="B5882" t="inlineStr">
        <is>
          <t>LDC</t>
        </is>
      </c>
      <c r="C5882" t="n">
        <v>2009</v>
      </c>
      <c r="D5882" t="n">
        <v>4.56150687670983</v>
      </c>
    </row>
    <row r="5883">
      <c r="A5883" t="inlineStr">
        <is>
          <t>Least developed countries: UN classification</t>
        </is>
      </c>
      <c r="B5883" t="inlineStr">
        <is>
          <t>LDC</t>
        </is>
      </c>
      <c r="C5883" t="n">
        <v>2010</v>
      </c>
      <c r="D5883" t="n">
        <v>5.04968075857402</v>
      </c>
    </row>
    <row r="5884">
      <c r="A5884" t="inlineStr">
        <is>
          <t>Least developed countries: UN classification</t>
        </is>
      </c>
      <c r="B5884" t="inlineStr">
        <is>
          <t>LDC</t>
        </is>
      </c>
      <c r="C5884" t="n">
        <v>2011</v>
      </c>
      <c r="D5884" t="n">
        <v>6.61038986512481</v>
      </c>
    </row>
    <row r="5885">
      <c r="A5885" t="inlineStr">
        <is>
          <t>Least developed countries: UN classification</t>
        </is>
      </c>
      <c r="B5885" t="inlineStr">
        <is>
          <t>LDC</t>
        </is>
      </c>
      <c r="C5885" t="n">
        <v>2012</v>
      </c>
      <c r="D5885" t="n">
        <v>6.31474450315196</v>
      </c>
    </row>
    <row r="5886">
      <c r="A5886" t="inlineStr">
        <is>
          <t>Least developed countries: UN classification</t>
        </is>
      </c>
      <c r="B5886" t="inlineStr">
        <is>
          <t>LDC</t>
        </is>
      </c>
      <c r="C5886" t="n">
        <v>2013</v>
      </c>
      <c r="D5886" t="n">
        <v>5.52412877994266</v>
      </c>
    </row>
    <row r="5887">
      <c r="A5887" t="inlineStr">
        <is>
          <t>Least developed countries: UN classification</t>
        </is>
      </c>
      <c r="B5887" t="inlineStr">
        <is>
          <t>LDC</t>
        </is>
      </c>
      <c r="C5887" t="n">
        <v>2014</v>
      </c>
      <c r="D5887" t="n">
        <v>4.26729770529532</v>
      </c>
    </row>
    <row r="5888">
      <c r="A5888" t="inlineStr">
        <is>
          <t>Least developed countries: UN classification</t>
        </is>
      </c>
      <c r="B5888" t="inlineStr">
        <is>
          <t>LDC</t>
        </is>
      </c>
      <c r="C5888" t="n">
        <v>2015</v>
      </c>
      <c r="D5888" t="n">
        <v>3.55075967356746</v>
      </c>
    </row>
    <row r="5889">
      <c r="A5889" t="inlineStr">
        <is>
          <t>Least developed countries: UN classification</t>
        </is>
      </c>
      <c r="B5889" t="inlineStr">
        <is>
          <t>LDC</t>
        </is>
      </c>
      <c r="C5889" t="n">
        <v>2016</v>
      </c>
      <c r="D5889" t="n">
        <v>5.51352572692995</v>
      </c>
    </row>
    <row r="5890">
      <c r="A5890" t="inlineStr">
        <is>
          <t>Least developed countries: UN classification</t>
        </is>
      </c>
      <c r="B5890" t="inlineStr">
        <is>
          <t>LDC</t>
        </is>
      </c>
      <c r="C5890" t="n">
        <v>2017</v>
      </c>
      <c r="D5890" t="n">
        <v>4.77424402935677</v>
      </c>
    </row>
    <row r="5891">
      <c r="A5891" t="inlineStr">
        <is>
          <t>Least developed countries: UN classification</t>
        </is>
      </c>
      <c r="B5891" t="inlineStr">
        <is>
          <t>LDC</t>
        </is>
      </c>
      <c r="C5891" t="n">
        <v>2018</v>
      </c>
      <c r="D5891" t="n">
        <v>3.47796666914955</v>
      </c>
    </row>
    <row r="5892">
      <c r="A5892" t="inlineStr">
        <is>
          <t>Least developed countries: UN classification</t>
        </is>
      </c>
      <c r="B5892" t="inlineStr">
        <is>
          <t>LDC</t>
        </is>
      </c>
      <c r="C5892" t="n">
        <v>2019</v>
      </c>
      <c r="D5892" t="n">
        <v>3.32090626980376</v>
      </c>
    </row>
    <row r="5893">
      <c r="A5893" t="inlineStr">
        <is>
          <t>Least developed countries: UN classification</t>
        </is>
      </c>
      <c r="B5893" t="inlineStr">
        <is>
          <t>LDC</t>
        </is>
      </c>
      <c r="C5893" t="n">
        <v>2020</v>
      </c>
      <c r="D5893" t="n">
        <v>4.4641443723286</v>
      </c>
    </row>
    <row r="5894">
      <c r="A5894" t="inlineStr">
        <is>
          <t>Least developed countries: UN classification</t>
        </is>
      </c>
      <c r="B5894" t="inlineStr">
        <is>
          <t>LDC</t>
        </is>
      </c>
      <c r="C5894" t="n">
        <v>2021</v>
      </c>
      <c r="D5894" t="n">
        <v>4.1862150652352</v>
      </c>
    </row>
    <row r="5895">
      <c r="A5895" t="inlineStr">
        <is>
          <t>Least developed countries: UN classification</t>
        </is>
      </c>
      <c r="B5895" t="inlineStr">
        <is>
          <t>LDC</t>
        </is>
      </c>
      <c r="C5895" t="n">
        <v>2022</v>
      </c>
      <c r="D5895" t="n">
        <v>9.393838774565911</v>
      </c>
    </row>
    <row r="5896">
      <c r="A5896" t="inlineStr">
        <is>
          <t>Least developed countries: UN classification</t>
        </is>
      </c>
      <c r="B5896" t="inlineStr">
        <is>
          <t>LDC</t>
        </is>
      </c>
      <c r="C5896" t="n">
        <v>2023</v>
      </c>
      <c r="D5896" t="n">
        <v>7.12697482131851</v>
      </c>
    </row>
    <row r="5897">
      <c r="A5897" t="inlineStr">
        <is>
          <t>Low income</t>
        </is>
      </c>
      <c r="B5897" t="inlineStr">
        <is>
          <t>LIC</t>
        </is>
      </c>
      <c r="C5897" t="n">
        <v>1981</v>
      </c>
      <c r="D5897" t="n">
        <v>12.1673943487938</v>
      </c>
    </row>
    <row r="5898">
      <c r="A5898" t="inlineStr">
        <is>
          <t>Low income</t>
        </is>
      </c>
      <c r="B5898" t="inlineStr">
        <is>
          <t>LIC</t>
        </is>
      </c>
      <c r="C5898" t="n">
        <v>1982</v>
      </c>
      <c r="D5898" t="n">
        <v>12.0597652081337</v>
      </c>
    </row>
    <row r="5899">
      <c r="A5899" t="inlineStr">
        <is>
          <t>Low income</t>
        </is>
      </c>
      <c r="B5899" t="inlineStr">
        <is>
          <t>LIC</t>
        </is>
      </c>
      <c r="C5899" t="n">
        <v>1983</v>
      </c>
      <c r="D5899" t="n">
        <v>9.355465079861499</v>
      </c>
    </row>
    <row r="5900">
      <c r="A5900" t="inlineStr">
        <is>
          <t>Low income</t>
        </is>
      </c>
      <c r="B5900" t="inlineStr">
        <is>
          <t>LIC</t>
        </is>
      </c>
      <c r="C5900" t="n">
        <v>1984</v>
      </c>
      <c r="D5900" t="n">
        <v>9.543069574546919</v>
      </c>
    </row>
    <row r="5901">
      <c r="A5901" t="inlineStr">
        <is>
          <t>Low income</t>
        </is>
      </c>
      <c r="B5901" t="inlineStr">
        <is>
          <t>LIC</t>
        </is>
      </c>
      <c r="C5901" t="n">
        <v>1985</v>
      </c>
      <c r="D5901" t="n">
        <v>10.4714081120526</v>
      </c>
    </row>
    <row r="5902">
      <c r="A5902" t="inlineStr">
        <is>
          <t>Low income</t>
        </is>
      </c>
      <c r="B5902" t="inlineStr">
        <is>
          <t>LIC</t>
        </is>
      </c>
      <c r="C5902" t="n">
        <v>1986</v>
      </c>
      <c r="D5902" t="n">
        <v>3.18488388764978</v>
      </c>
    </row>
    <row r="5903">
      <c r="A5903" t="inlineStr">
        <is>
          <t>Low income</t>
        </is>
      </c>
      <c r="B5903" t="inlineStr">
        <is>
          <t>LIC</t>
        </is>
      </c>
      <c r="C5903" t="n">
        <v>1987</v>
      </c>
      <c r="D5903" t="n">
        <v>5.62312627382231</v>
      </c>
    </row>
    <row r="5904">
      <c r="A5904" t="inlineStr">
        <is>
          <t>Low income</t>
        </is>
      </c>
      <c r="B5904" t="inlineStr">
        <is>
          <t>LIC</t>
        </is>
      </c>
      <c r="C5904" t="n">
        <v>1988</v>
      </c>
      <c r="D5904" t="n">
        <v>11.6905868876763</v>
      </c>
    </row>
    <row r="5905">
      <c r="A5905" t="inlineStr">
        <is>
          <t>Low income</t>
        </is>
      </c>
      <c r="B5905" t="inlineStr">
        <is>
          <t>LIC</t>
        </is>
      </c>
      <c r="C5905" t="n">
        <v>1989</v>
      </c>
      <c r="D5905" t="n">
        <v>8.046158634873199</v>
      </c>
    </row>
    <row r="5906">
      <c r="A5906" t="inlineStr">
        <is>
          <t>Low income</t>
        </is>
      </c>
      <c r="B5906" t="inlineStr">
        <is>
          <t>LIC</t>
        </is>
      </c>
      <c r="C5906" t="n">
        <v>1990</v>
      </c>
      <c r="D5906" t="n">
        <v>6.07732540412944</v>
      </c>
    </row>
    <row r="5907">
      <c r="A5907" t="inlineStr">
        <is>
          <t>Low income</t>
        </is>
      </c>
      <c r="B5907" t="inlineStr">
        <is>
          <t>LIC</t>
        </is>
      </c>
      <c r="C5907" t="n">
        <v>1991</v>
      </c>
      <c r="D5907" t="n">
        <v>8.99693873494331</v>
      </c>
    </row>
    <row r="5908">
      <c r="A5908" t="inlineStr">
        <is>
          <t>Low income</t>
        </is>
      </c>
      <c r="B5908" t="inlineStr">
        <is>
          <t>LIC</t>
        </is>
      </c>
      <c r="C5908" t="n">
        <v>1992</v>
      </c>
      <c r="D5908" t="n">
        <v>9.56041187600816</v>
      </c>
    </row>
    <row r="5909">
      <c r="A5909" t="inlineStr">
        <is>
          <t>Low income</t>
        </is>
      </c>
      <c r="B5909" t="inlineStr">
        <is>
          <t>LIC</t>
        </is>
      </c>
      <c r="C5909" t="n">
        <v>1993</v>
      </c>
      <c r="D5909" t="n">
        <v>9.67934658067928</v>
      </c>
    </row>
    <row r="5910">
      <c r="A5910" t="inlineStr">
        <is>
          <t>Low income</t>
        </is>
      </c>
      <c r="B5910" t="inlineStr">
        <is>
          <t>LIC</t>
        </is>
      </c>
      <c r="C5910" t="n">
        <v>1994</v>
      </c>
      <c r="D5910" t="n">
        <v>25.1778762249963</v>
      </c>
    </row>
    <row r="5911">
      <c r="A5911" t="inlineStr">
        <is>
          <t>Low income</t>
        </is>
      </c>
      <c r="B5911" t="inlineStr">
        <is>
          <t>LIC</t>
        </is>
      </c>
      <c r="C5911" t="n">
        <v>1995</v>
      </c>
      <c r="D5911" t="n">
        <v>16.4335034524163</v>
      </c>
    </row>
    <row r="5912">
      <c r="A5912" t="inlineStr">
        <is>
          <t>Low income</t>
        </is>
      </c>
      <c r="B5912" t="inlineStr">
        <is>
          <t>LIC</t>
        </is>
      </c>
      <c r="C5912" t="n">
        <v>1996</v>
      </c>
      <c r="D5912" t="n">
        <v>7.83063091721076</v>
      </c>
    </row>
    <row r="5913">
      <c r="A5913" t="inlineStr">
        <is>
          <t>Low income</t>
        </is>
      </c>
      <c r="B5913" t="inlineStr">
        <is>
          <t>LIC</t>
        </is>
      </c>
      <c r="C5913" t="n">
        <v>1997</v>
      </c>
      <c r="D5913" t="n">
        <v>5.02931986431365</v>
      </c>
    </row>
    <row r="5914">
      <c r="A5914" t="inlineStr">
        <is>
          <t>Low income</t>
        </is>
      </c>
      <c r="B5914" t="inlineStr">
        <is>
          <t>LIC</t>
        </is>
      </c>
      <c r="C5914" t="n">
        <v>1998</v>
      </c>
      <c r="D5914" t="n">
        <v>4.81617460932022</v>
      </c>
    </row>
    <row r="5915">
      <c r="A5915" t="inlineStr">
        <is>
          <t>Low income</t>
        </is>
      </c>
      <c r="B5915" t="inlineStr">
        <is>
          <t>LIC</t>
        </is>
      </c>
      <c r="C5915" t="n">
        <v>1999</v>
      </c>
      <c r="D5915" t="n">
        <v>1.66610532426106</v>
      </c>
    </row>
    <row r="5916">
      <c r="A5916" t="inlineStr">
        <is>
          <t>Low income</t>
        </is>
      </c>
      <c r="B5916" t="inlineStr">
        <is>
          <t>LIC</t>
        </is>
      </c>
      <c r="C5916" t="n">
        <v>2000</v>
      </c>
      <c r="D5916" t="n">
        <v>3.60731123299653</v>
      </c>
    </row>
    <row r="5917">
      <c r="A5917" t="inlineStr">
        <is>
          <t>Low income</t>
        </is>
      </c>
      <c r="B5917" t="inlineStr">
        <is>
          <t>LIC</t>
        </is>
      </c>
      <c r="C5917" t="n">
        <v>2001</v>
      </c>
      <c r="D5917" t="n">
        <v>4.24905518796216</v>
      </c>
    </row>
    <row r="5918">
      <c r="A5918" t="inlineStr">
        <is>
          <t>Low income</t>
        </is>
      </c>
      <c r="B5918" t="inlineStr">
        <is>
          <t>LIC</t>
        </is>
      </c>
      <c r="C5918" t="n">
        <v>2002</v>
      </c>
      <c r="D5918" t="n">
        <v>3.30012175283749</v>
      </c>
    </row>
    <row r="5919">
      <c r="A5919" t="inlineStr">
        <is>
          <t>Low income</t>
        </is>
      </c>
      <c r="B5919" t="inlineStr">
        <is>
          <t>LIC</t>
        </is>
      </c>
      <c r="C5919" t="n">
        <v>2003</v>
      </c>
      <c r="D5919" t="n">
        <v>6.48943208673338</v>
      </c>
    </row>
    <row r="5920">
      <c r="A5920" t="inlineStr">
        <is>
          <t>Low income</t>
        </is>
      </c>
      <c r="B5920" t="inlineStr">
        <is>
          <t>LIC</t>
        </is>
      </c>
      <c r="C5920" t="n">
        <v>2004</v>
      </c>
      <c r="D5920" t="n">
        <v>3.99438400815971</v>
      </c>
    </row>
    <row r="5921">
      <c r="A5921" t="inlineStr">
        <is>
          <t>Low income</t>
        </is>
      </c>
      <c r="B5921" t="inlineStr">
        <is>
          <t>LIC</t>
        </is>
      </c>
      <c r="C5921" t="n">
        <v>2005</v>
      </c>
      <c r="D5921" t="n">
        <v>8.448726422995319</v>
      </c>
    </row>
    <row r="5922">
      <c r="A5922" t="inlineStr">
        <is>
          <t>Low income</t>
        </is>
      </c>
      <c r="B5922" t="inlineStr">
        <is>
          <t>LIC</t>
        </is>
      </c>
      <c r="C5922" t="n">
        <v>2006</v>
      </c>
      <c r="D5922" t="n">
        <v>7.31067613561864</v>
      </c>
    </row>
    <row r="5923">
      <c r="A5923" t="inlineStr">
        <is>
          <t>Low income</t>
        </is>
      </c>
      <c r="B5923" t="inlineStr">
        <is>
          <t>LIC</t>
        </is>
      </c>
      <c r="C5923" t="n">
        <v>2007</v>
      </c>
      <c r="D5923" t="n">
        <v>7.9286638492638</v>
      </c>
    </row>
    <row r="5924">
      <c r="A5924" t="inlineStr">
        <is>
          <t>Low income</t>
        </is>
      </c>
      <c r="B5924" t="inlineStr">
        <is>
          <t>LIC</t>
        </is>
      </c>
      <c r="C5924" t="n">
        <v>2008</v>
      </c>
      <c r="D5924" t="n">
        <v>11.6779827154953</v>
      </c>
    </row>
    <row r="5925">
      <c r="A5925" t="inlineStr">
        <is>
          <t>Low income</t>
        </is>
      </c>
      <c r="B5925" t="inlineStr">
        <is>
          <t>LIC</t>
        </is>
      </c>
      <c r="C5925" t="n">
        <v>2009</v>
      </c>
      <c r="D5925" t="n">
        <v>5.00627361534043</v>
      </c>
    </row>
    <row r="5926">
      <c r="A5926" t="inlineStr">
        <is>
          <t>Low income</t>
        </is>
      </c>
      <c r="B5926" t="inlineStr">
        <is>
          <t>LIC</t>
        </is>
      </c>
      <c r="C5926" t="n">
        <v>2010</v>
      </c>
      <c r="D5926" t="n">
        <v>4.3974138315007</v>
      </c>
    </row>
    <row r="5927">
      <c r="A5927" t="inlineStr">
        <is>
          <t>Low income</t>
        </is>
      </c>
      <c r="B5927" t="inlineStr">
        <is>
          <t>LIC</t>
        </is>
      </c>
      <c r="C5927" t="n">
        <v>2011</v>
      </c>
      <c r="D5927" t="n">
        <v>7.6228226284852</v>
      </c>
    </row>
    <row r="5928">
      <c r="A5928" t="inlineStr">
        <is>
          <t>Low income</t>
        </is>
      </c>
      <c r="B5928" t="inlineStr">
        <is>
          <t>LIC</t>
        </is>
      </c>
      <c r="C5928" t="n">
        <v>2012</v>
      </c>
      <c r="D5928" t="n">
        <v>6.83178703418548</v>
      </c>
    </row>
    <row r="5929">
      <c r="A5929" t="inlineStr">
        <is>
          <t>Low income</t>
        </is>
      </c>
      <c r="B5929" t="inlineStr">
        <is>
          <t>LIC</t>
        </is>
      </c>
      <c r="C5929" t="n">
        <v>2013</v>
      </c>
      <c r="D5929" t="n">
        <v>5.69912989637382</v>
      </c>
    </row>
    <row r="5930">
      <c r="A5930" t="inlineStr">
        <is>
          <t>Low income</t>
        </is>
      </c>
      <c r="B5930" t="inlineStr">
        <is>
          <t>LIC</t>
        </is>
      </c>
      <c r="C5930" t="n">
        <v>2014</v>
      </c>
      <c r="D5930" t="n">
        <v>4.40535234185293</v>
      </c>
    </row>
    <row r="5931">
      <c r="A5931" t="inlineStr">
        <is>
          <t>Low income</t>
        </is>
      </c>
      <c r="B5931" t="inlineStr">
        <is>
          <t>LIC</t>
        </is>
      </c>
      <c r="C5931" t="n">
        <v>2015</v>
      </c>
      <c r="D5931" t="n">
        <v>4.96090778162717</v>
      </c>
    </row>
    <row r="5932">
      <c r="A5932" t="inlineStr">
        <is>
          <t>Low income</t>
        </is>
      </c>
      <c r="B5932" t="inlineStr">
        <is>
          <t>LIC</t>
        </is>
      </c>
      <c r="C5932" t="n">
        <v>2016</v>
      </c>
      <c r="D5932" t="n">
        <v>5.87106681385445</v>
      </c>
    </row>
    <row r="5933">
      <c r="A5933" t="inlineStr">
        <is>
          <t>Low income</t>
        </is>
      </c>
      <c r="B5933" t="inlineStr">
        <is>
          <t>LIC</t>
        </is>
      </c>
      <c r="C5933" t="n">
        <v>2017</v>
      </c>
      <c r="D5933" t="n">
        <v>8.27953672260832</v>
      </c>
    </row>
    <row r="5934">
      <c r="A5934" t="inlineStr">
        <is>
          <t>Low income</t>
        </is>
      </c>
      <c r="B5934" t="inlineStr">
        <is>
          <t>LIC</t>
        </is>
      </c>
      <c r="C5934" t="n">
        <v>2018</v>
      </c>
      <c r="D5934" t="n">
        <v>2.96760366004456</v>
      </c>
    </row>
    <row r="5935">
      <c r="A5935" t="inlineStr">
        <is>
          <t>Low income</t>
        </is>
      </c>
      <c r="B5935" t="inlineStr">
        <is>
          <t>LIC</t>
        </is>
      </c>
      <c r="C5935" t="n">
        <v>2019</v>
      </c>
      <c r="D5935" t="n">
        <v>2.867588034469</v>
      </c>
    </row>
    <row r="5936">
      <c r="A5936" t="inlineStr">
        <is>
          <t>Low income</t>
        </is>
      </c>
      <c r="B5936" t="inlineStr">
        <is>
          <t>LIC</t>
        </is>
      </c>
      <c r="C5936" t="n">
        <v>2020</v>
      </c>
      <c r="D5936" t="n">
        <v>5.03301614357542</v>
      </c>
    </row>
    <row r="5937">
      <c r="A5937" t="inlineStr">
        <is>
          <t>Low income</t>
        </is>
      </c>
      <c r="B5937" t="inlineStr">
        <is>
          <t>LIC</t>
        </is>
      </c>
      <c r="C5937" t="n">
        <v>2021</v>
      </c>
      <c r="D5937" t="n">
        <v>5.47272729806339</v>
      </c>
    </row>
    <row r="5938">
      <c r="A5938" t="inlineStr">
        <is>
          <t>Low income</t>
        </is>
      </c>
      <c r="B5938" t="inlineStr">
        <is>
          <t>LIC</t>
        </is>
      </c>
      <c r="C5938" t="n">
        <v>2022</v>
      </c>
      <c r="D5938" t="n">
        <v>9.95043894711641</v>
      </c>
    </row>
    <row r="5939">
      <c r="A5939" t="inlineStr">
        <is>
          <t>Low income</t>
        </is>
      </c>
      <c r="B5939" t="inlineStr">
        <is>
          <t>LIC</t>
        </is>
      </c>
      <c r="C5939" t="n">
        <v>2023</v>
      </c>
      <c r="D5939" t="n">
        <v>8.500650785883691</v>
      </c>
    </row>
    <row r="5940">
      <c r="A5940" t="inlineStr">
        <is>
          <t>Sri Lanka</t>
        </is>
      </c>
      <c r="B5940" t="inlineStr">
        <is>
          <t>LKA</t>
        </is>
      </c>
      <c r="C5940" t="n">
        <v>1960</v>
      </c>
      <c r="D5940" t="n">
        <v>-1.54467680609201</v>
      </c>
    </row>
    <row r="5941">
      <c r="A5941" t="inlineStr">
        <is>
          <t>Sri Lanka</t>
        </is>
      </c>
      <c r="B5941" t="inlineStr">
        <is>
          <t>LKA</t>
        </is>
      </c>
      <c r="C5941" t="n">
        <v>1961</v>
      </c>
      <c r="D5941" t="n">
        <v>1.1344436397999</v>
      </c>
    </row>
    <row r="5942">
      <c r="A5942" t="inlineStr">
        <is>
          <t>Sri Lanka</t>
        </is>
      </c>
      <c r="B5942" t="inlineStr">
        <is>
          <t>LKA</t>
        </is>
      </c>
      <c r="C5942" t="n">
        <v>1962</v>
      </c>
      <c r="D5942" t="n">
        <v>1.50357995251549</v>
      </c>
    </row>
    <row r="5943">
      <c r="A5943" t="inlineStr">
        <is>
          <t>Sri Lanka</t>
        </is>
      </c>
      <c r="B5943" t="inlineStr">
        <is>
          <t>LKA</t>
        </is>
      </c>
      <c r="C5943" t="n">
        <v>1963</v>
      </c>
      <c r="D5943" t="n">
        <v>2.27290539996214</v>
      </c>
    </row>
    <row r="5944">
      <c r="A5944" t="inlineStr">
        <is>
          <t>Sri Lanka</t>
        </is>
      </c>
      <c r="B5944" t="inlineStr">
        <is>
          <t>LKA</t>
        </is>
      </c>
      <c r="C5944" t="n">
        <v>1964</v>
      </c>
      <c r="D5944" t="n">
        <v>3.19564717604592</v>
      </c>
    </row>
    <row r="5945">
      <c r="A5945" t="inlineStr">
        <is>
          <t>Sri Lanka</t>
        </is>
      </c>
      <c r="B5945" t="inlineStr">
        <is>
          <t>LKA</t>
        </is>
      </c>
      <c r="C5945" t="n">
        <v>1965</v>
      </c>
      <c r="D5945" t="n">
        <v>0.222783306254021</v>
      </c>
    </row>
    <row r="5946">
      <c r="A5946" t="inlineStr">
        <is>
          <t>Sri Lanka</t>
        </is>
      </c>
      <c r="B5946" t="inlineStr">
        <is>
          <t>LKA</t>
        </is>
      </c>
      <c r="C5946" t="n">
        <v>1966</v>
      </c>
      <c r="D5946" t="n">
        <v>-0.155601659973846</v>
      </c>
    </row>
    <row r="5947">
      <c r="A5947" t="inlineStr">
        <is>
          <t>Sri Lanka</t>
        </is>
      </c>
      <c r="B5947" t="inlineStr">
        <is>
          <t>LKA</t>
        </is>
      </c>
      <c r="C5947" t="n">
        <v>1967</v>
      </c>
      <c r="D5947" t="n">
        <v>2.18923933203517</v>
      </c>
    </row>
    <row r="5948">
      <c r="A5948" t="inlineStr">
        <is>
          <t>Sri Lanka</t>
        </is>
      </c>
      <c r="B5948" t="inlineStr">
        <is>
          <t>LKA</t>
        </is>
      </c>
      <c r="C5948" t="n">
        <v>1968</v>
      </c>
      <c r="D5948" t="n">
        <v>5.86056644898579</v>
      </c>
    </row>
    <row r="5949">
      <c r="A5949" t="inlineStr">
        <is>
          <t>Sri Lanka</t>
        </is>
      </c>
      <c r="B5949" t="inlineStr">
        <is>
          <t>LKA</t>
        </is>
      </c>
      <c r="C5949" t="n">
        <v>1969</v>
      </c>
      <c r="D5949" t="n">
        <v>7.45695273372576</v>
      </c>
    </row>
    <row r="5950">
      <c r="A5950" t="inlineStr">
        <is>
          <t>Sri Lanka</t>
        </is>
      </c>
      <c r="B5950" t="inlineStr">
        <is>
          <t>LKA</t>
        </is>
      </c>
      <c r="C5950" t="n">
        <v>1970</v>
      </c>
      <c r="D5950" t="n">
        <v>5.86695607765968</v>
      </c>
    </row>
    <row r="5951">
      <c r="A5951" t="inlineStr">
        <is>
          <t>Sri Lanka</t>
        </is>
      </c>
      <c r="B5951" t="inlineStr">
        <is>
          <t>LKA</t>
        </is>
      </c>
      <c r="C5951" t="n">
        <v>1971</v>
      </c>
      <c r="D5951" t="n">
        <v>2.66538020859991</v>
      </c>
    </row>
    <row r="5952">
      <c r="A5952" t="inlineStr">
        <is>
          <t>Sri Lanka</t>
        </is>
      </c>
      <c r="B5952" t="inlineStr">
        <is>
          <t>LKA</t>
        </is>
      </c>
      <c r="C5952" t="n">
        <v>1972</v>
      </c>
      <c r="D5952" t="n">
        <v>6.34948605013613</v>
      </c>
    </row>
    <row r="5953">
      <c r="A5953" t="inlineStr">
        <is>
          <t>Sri Lanka</t>
        </is>
      </c>
      <c r="B5953" t="inlineStr">
        <is>
          <t>LKA</t>
        </is>
      </c>
      <c r="C5953" t="n">
        <v>1973</v>
      </c>
      <c r="D5953" t="n">
        <v>9.62664310171122</v>
      </c>
    </row>
    <row r="5954">
      <c r="A5954" t="inlineStr">
        <is>
          <t>Sri Lanka</t>
        </is>
      </c>
      <c r="B5954" t="inlineStr">
        <is>
          <t>LKA</t>
        </is>
      </c>
      <c r="C5954" t="n">
        <v>1974</v>
      </c>
      <c r="D5954" t="n">
        <v>12.3028867952472</v>
      </c>
    </row>
    <row r="5955">
      <c r="A5955" t="inlineStr">
        <is>
          <t>Sri Lanka</t>
        </is>
      </c>
      <c r="B5955" t="inlineStr">
        <is>
          <t>LKA</t>
        </is>
      </c>
      <c r="C5955" t="n">
        <v>1975</v>
      </c>
      <c r="D5955" t="n">
        <v>6.62599255320979</v>
      </c>
    </row>
    <row r="5956">
      <c r="A5956" t="inlineStr">
        <is>
          <t>Sri Lanka</t>
        </is>
      </c>
      <c r="B5956" t="inlineStr">
        <is>
          <t>LKA</t>
        </is>
      </c>
      <c r="C5956" t="n">
        <v>1976</v>
      </c>
      <c r="D5956" t="n">
        <v>1.3295186805823</v>
      </c>
    </row>
    <row r="5957">
      <c r="A5957" t="inlineStr">
        <is>
          <t>Sri Lanka</t>
        </is>
      </c>
      <c r="B5957" t="inlineStr">
        <is>
          <t>LKA</t>
        </is>
      </c>
      <c r="C5957" t="n">
        <v>1977</v>
      </c>
      <c r="D5957" t="n">
        <v>1.22487958802845</v>
      </c>
    </row>
    <row r="5958">
      <c r="A5958" t="inlineStr">
        <is>
          <t>Sri Lanka</t>
        </is>
      </c>
      <c r="B5958" t="inlineStr">
        <is>
          <t>LKA</t>
        </is>
      </c>
      <c r="C5958" t="n">
        <v>1978</v>
      </c>
      <c r="D5958" t="n">
        <v>12.141597276466</v>
      </c>
    </row>
    <row r="5959">
      <c r="A5959" t="inlineStr">
        <is>
          <t>Sri Lanka</t>
        </is>
      </c>
      <c r="B5959" t="inlineStr">
        <is>
          <t>LKA</t>
        </is>
      </c>
      <c r="C5959" t="n">
        <v>1979</v>
      </c>
      <c r="D5959" t="n">
        <v>10.731921430873</v>
      </c>
    </row>
    <row r="5960">
      <c r="A5960" t="inlineStr">
        <is>
          <t>Sri Lanka</t>
        </is>
      </c>
      <c r="B5960" t="inlineStr">
        <is>
          <t>LKA</t>
        </is>
      </c>
      <c r="C5960" t="n">
        <v>1980</v>
      </c>
      <c r="D5960" t="n">
        <v>26.1454101014465</v>
      </c>
    </row>
    <row r="5961">
      <c r="A5961" t="inlineStr">
        <is>
          <t>Sri Lanka</t>
        </is>
      </c>
      <c r="B5961" t="inlineStr">
        <is>
          <t>LKA</t>
        </is>
      </c>
      <c r="C5961" t="n">
        <v>1981</v>
      </c>
      <c r="D5961" t="n">
        <v>17.9689954960101</v>
      </c>
    </row>
    <row r="5962">
      <c r="A5962" t="inlineStr">
        <is>
          <t>Sri Lanka</t>
        </is>
      </c>
      <c r="B5962" t="inlineStr">
        <is>
          <t>LKA</t>
        </is>
      </c>
      <c r="C5962" t="n">
        <v>1982</v>
      </c>
      <c r="D5962" t="n">
        <v>10.8257491675687</v>
      </c>
    </row>
    <row r="5963">
      <c r="A5963" t="inlineStr">
        <is>
          <t>Sri Lanka</t>
        </is>
      </c>
      <c r="B5963" t="inlineStr">
        <is>
          <t>LKA</t>
        </is>
      </c>
      <c r="C5963" t="n">
        <v>1983</v>
      </c>
      <c r="D5963" t="n">
        <v>13.9643880065001</v>
      </c>
    </row>
    <row r="5964">
      <c r="A5964" t="inlineStr">
        <is>
          <t>Sri Lanka</t>
        </is>
      </c>
      <c r="B5964" t="inlineStr">
        <is>
          <t>LKA</t>
        </is>
      </c>
      <c r="C5964" t="n">
        <v>1984</v>
      </c>
      <c r="D5964" t="n">
        <v>16.6382537479217</v>
      </c>
    </row>
    <row r="5965">
      <c r="A5965" t="inlineStr">
        <is>
          <t>Sri Lanka</t>
        </is>
      </c>
      <c r="B5965" t="inlineStr">
        <is>
          <t>LKA</t>
        </is>
      </c>
      <c r="C5965" t="n">
        <v>1985</v>
      </c>
      <c r="D5965" t="n">
        <v>1.48118012235429</v>
      </c>
    </row>
    <row r="5966">
      <c r="A5966" t="inlineStr">
        <is>
          <t>Sri Lanka</t>
        </is>
      </c>
      <c r="B5966" t="inlineStr">
        <is>
          <t>LKA</t>
        </is>
      </c>
      <c r="C5966" t="n">
        <v>1986</v>
      </c>
      <c r="D5966" t="n">
        <v>7.97636193570627</v>
      </c>
    </row>
    <row r="5967">
      <c r="A5967" t="inlineStr">
        <is>
          <t>Sri Lanka</t>
        </is>
      </c>
      <c r="B5967" t="inlineStr">
        <is>
          <t>LKA</t>
        </is>
      </c>
      <c r="C5967" t="n">
        <v>1987</v>
      </c>
      <c r="D5967" t="n">
        <v>7.71716560559269</v>
      </c>
    </row>
    <row r="5968">
      <c r="A5968" t="inlineStr">
        <is>
          <t>Sri Lanka</t>
        </is>
      </c>
      <c r="B5968" t="inlineStr">
        <is>
          <t>LKA</t>
        </is>
      </c>
      <c r="C5968" t="n">
        <v>1988</v>
      </c>
      <c r="D5968" t="n">
        <v>13.9915489002075</v>
      </c>
    </row>
    <row r="5969">
      <c r="A5969" t="inlineStr">
        <is>
          <t>Sri Lanka</t>
        </is>
      </c>
      <c r="B5969" t="inlineStr">
        <is>
          <t>LKA</t>
        </is>
      </c>
      <c r="C5969" t="n">
        <v>1989</v>
      </c>
      <c r="D5969" t="n">
        <v>11.5675360890558</v>
      </c>
    </row>
    <row r="5970">
      <c r="A5970" t="inlineStr">
        <is>
          <t>Sri Lanka</t>
        </is>
      </c>
      <c r="B5970" t="inlineStr">
        <is>
          <t>LKA</t>
        </is>
      </c>
      <c r="C5970" t="n">
        <v>1990</v>
      </c>
      <c r="D5970" t="n">
        <v>21.495252052759</v>
      </c>
    </row>
    <row r="5971">
      <c r="A5971" t="inlineStr">
        <is>
          <t>Sri Lanka</t>
        </is>
      </c>
      <c r="B5971" t="inlineStr">
        <is>
          <t>LKA</t>
        </is>
      </c>
      <c r="C5971" t="n">
        <v>1991</v>
      </c>
      <c r="D5971" t="n">
        <v>12.1856307214389</v>
      </c>
    </row>
    <row r="5972">
      <c r="A5972" t="inlineStr">
        <is>
          <t>Sri Lanka</t>
        </is>
      </c>
      <c r="B5972" t="inlineStr">
        <is>
          <t>LKA</t>
        </is>
      </c>
      <c r="C5972" t="n">
        <v>1992</v>
      </c>
      <c r="D5972" t="n">
        <v>11.3834370512206</v>
      </c>
    </row>
    <row r="5973">
      <c r="A5973" t="inlineStr">
        <is>
          <t>Sri Lanka</t>
        </is>
      </c>
      <c r="B5973" t="inlineStr">
        <is>
          <t>LKA</t>
        </is>
      </c>
      <c r="C5973" t="n">
        <v>1993</v>
      </c>
      <c r="D5973" t="n">
        <v>11.7467370174946</v>
      </c>
    </row>
    <row r="5974">
      <c r="A5974" t="inlineStr">
        <is>
          <t>Sri Lanka</t>
        </is>
      </c>
      <c r="B5974" t="inlineStr">
        <is>
          <t>LKA</t>
        </is>
      </c>
      <c r="C5974" t="n">
        <v>1994</v>
      </c>
      <c r="D5974" t="n">
        <v>8.44871248698348</v>
      </c>
    </row>
    <row r="5975">
      <c r="A5975" t="inlineStr">
        <is>
          <t>Sri Lanka</t>
        </is>
      </c>
      <c r="B5975" t="inlineStr">
        <is>
          <t>LKA</t>
        </is>
      </c>
      <c r="C5975" t="n">
        <v>1995</v>
      </c>
      <c r="D5975" t="n">
        <v>7.67484873449805</v>
      </c>
    </row>
    <row r="5976">
      <c r="A5976" t="inlineStr">
        <is>
          <t>Sri Lanka</t>
        </is>
      </c>
      <c r="B5976" t="inlineStr">
        <is>
          <t>LKA</t>
        </is>
      </c>
      <c r="C5976" t="n">
        <v>1996</v>
      </c>
      <c r="D5976" t="n">
        <v>15.9358310447214</v>
      </c>
    </row>
    <row r="5977">
      <c r="A5977" t="inlineStr">
        <is>
          <t>Sri Lanka</t>
        </is>
      </c>
      <c r="B5977" t="inlineStr">
        <is>
          <t>LKA</t>
        </is>
      </c>
      <c r="C5977" t="n">
        <v>1997</v>
      </c>
      <c r="D5977" t="n">
        <v>9.57369626405162</v>
      </c>
    </row>
    <row r="5978">
      <c r="A5978" t="inlineStr">
        <is>
          <t>Sri Lanka</t>
        </is>
      </c>
      <c r="B5978" t="inlineStr">
        <is>
          <t>LKA</t>
        </is>
      </c>
      <c r="C5978" t="n">
        <v>1998</v>
      </c>
      <c r="D5978" t="n">
        <v>9.364243006832289</v>
      </c>
    </row>
    <row r="5979">
      <c r="A5979" t="inlineStr">
        <is>
          <t>Sri Lanka</t>
        </is>
      </c>
      <c r="B5979" t="inlineStr">
        <is>
          <t>LKA</t>
        </is>
      </c>
      <c r="C5979" t="n">
        <v>1999</v>
      </c>
      <c r="D5979" t="n">
        <v>4.69170563048438</v>
      </c>
    </row>
    <row r="5980">
      <c r="A5980" t="inlineStr">
        <is>
          <t>Sri Lanka</t>
        </is>
      </c>
      <c r="B5980" t="inlineStr">
        <is>
          <t>LKA</t>
        </is>
      </c>
      <c r="C5980" t="n">
        <v>2000</v>
      </c>
      <c r="D5980" t="n">
        <v>6.17627591012045</v>
      </c>
    </row>
    <row r="5981">
      <c r="A5981" t="inlineStr">
        <is>
          <t>Sri Lanka</t>
        </is>
      </c>
      <c r="B5981" t="inlineStr">
        <is>
          <t>LKA</t>
        </is>
      </c>
      <c r="C5981" t="n">
        <v>2001</v>
      </c>
      <c r="D5981" t="n">
        <v>14.15845579912</v>
      </c>
    </row>
    <row r="5982">
      <c r="A5982" t="inlineStr">
        <is>
          <t>Sri Lanka</t>
        </is>
      </c>
      <c r="B5982" t="inlineStr">
        <is>
          <t>LKA</t>
        </is>
      </c>
      <c r="C5982" t="n">
        <v>2002</v>
      </c>
      <c r="D5982" t="n">
        <v>9.55103167007251</v>
      </c>
    </row>
    <row r="5983">
      <c r="A5983" t="inlineStr">
        <is>
          <t>Sri Lanka</t>
        </is>
      </c>
      <c r="B5983" t="inlineStr">
        <is>
          <t>LKA</t>
        </is>
      </c>
      <c r="C5983" t="n">
        <v>2003</v>
      </c>
      <c r="D5983" t="n">
        <v>6.31463787051174</v>
      </c>
    </row>
    <row r="5984">
      <c r="A5984" t="inlineStr">
        <is>
          <t>Sri Lanka</t>
        </is>
      </c>
      <c r="B5984" t="inlineStr">
        <is>
          <t>LKA</t>
        </is>
      </c>
      <c r="C5984" t="n">
        <v>2004</v>
      </c>
      <c r="D5984" t="n">
        <v>7.57592582995856</v>
      </c>
    </row>
    <row r="5985">
      <c r="A5985" t="inlineStr">
        <is>
          <t>Sri Lanka</t>
        </is>
      </c>
      <c r="B5985" t="inlineStr">
        <is>
          <t>LKA</t>
        </is>
      </c>
      <c r="C5985" t="n">
        <v>2005</v>
      </c>
      <c r="D5985" t="n">
        <v>11.6396860971118</v>
      </c>
    </row>
    <row r="5986">
      <c r="A5986" t="inlineStr">
        <is>
          <t>Sri Lanka</t>
        </is>
      </c>
      <c r="B5986" t="inlineStr">
        <is>
          <t>LKA</t>
        </is>
      </c>
      <c r="C5986" t="n">
        <v>2006</v>
      </c>
      <c r="D5986" t="n">
        <v>10.0201836057035</v>
      </c>
    </row>
    <row r="5987">
      <c r="A5987" t="inlineStr">
        <is>
          <t>Sri Lanka</t>
        </is>
      </c>
      <c r="B5987" t="inlineStr">
        <is>
          <t>LKA</t>
        </is>
      </c>
      <c r="C5987" t="n">
        <v>2007</v>
      </c>
      <c r="D5987" t="n">
        <v>15.8421114924843</v>
      </c>
    </row>
    <row r="5988">
      <c r="A5988" t="inlineStr">
        <is>
          <t>Sri Lanka</t>
        </is>
      </c>
      <c r="B5988" t="inlineStr">
        <is>
          <t>LKA</t>
        </is>
      </c>
      <c r="C5988" t="n">
        <v>2008</v>
      </c>
      <c r="D5988" t="n">
        <v>22.5644955300126</v>
      </c>
    </row>
    <row r="5989">
      <c r="A5989" t="inlineStr">
        <is>
          <t>Sri Lanka</t>
        </is>
      </c>
      <c r="B5989" t="inlineStr">
        <is>
          <t>LKA</t>
        </is>
      </c>
      <c r="C5989" t="n">
        <v>2009</v>
      </c>
      <c r="D5989" t="n">
        <v>3.46496322106074</v>
      </c>
    </row>
    <row r="5990">
      <c r="A5990" t="inlineStr">
        <is>
          <t>Sri Lanka</t>
        </is>
      </c>
      <c r="B5990" t="inlineStr">
        <is>
          <t>LKA</t>
        </is>
      </c>
      <c r="C5990" t="n">
        <v>2010</v>
      </c>
      <c r="D5990" t="n">
        <v>6.2176488930462</v>
      </c>
    </row>
    <row r="5991">
      <c r="A5991" t="inlineStr">
        <is>
          <t>Sri Lanka</t>
        </is>
      </c>
      <c r="B5991" t="inlineStr">
        <is>
          <t>LKA</t>
        </is>
      </c>
      <c r="C5991" t="n">
        <v>2011</v>
      </c>
      <c r="D5991" t="n">
        <v>6.7167684358854</v>
      </c>
    </row>
    <row r="5992">
      <c r="A5992" t="inlineStr">
        <is>
          <t>Sri Lanka</t>
        </is>
      </c>
      <c r="B5992" t="inlineStr">
        <is>
          <t>LKA</t>
        </is>
      </c>
      <c r="C5992" t="n">
        <v>2012</v>
      </c>
      <c r="D5992" t="n">
        <v>7.54291373239437</v>
      </c>
    </row>
    <row r="5993">
      <c r="A5993" t="inlineStr">
        <is>
          <t>Sri Lanka</t>
        </is>
      </c>
      <c r="B5993" t="inlineStr">
        <is>
          <t>LKA</t>
        </is>
      </c>
      <c r="C5993" t="n">
        <v>2013</v>
      </c>
      <c r="D5993" t="n">
        <v>6.90845034828452</v>
      </c>
    </row>
    <row r="5994">
      <c r="A5994" t="inlineStr">
        <is>
          <t>Sri Lanka</t>
        </is>
      </c>
      <c r="B5994" t="inlineStr">
        <is>
          <t>LKA</t>
        </is>
      </c>
      <c r="C5994" t="n">
        <v>2014</v>
      </c>
      <c r="D5994" t="n">
        <v>3.1790022823606</v>
      </c>
    </row>
    <row r="5995">
      <c r="A5995" t="inlineStr">
        <is>
          <t>Sri Lanka</t>
        </is>
      </c>
      <c r="B5995" t="inlineStr">
        <is>
          <t>LKA</t>
        </is>
      </c>
      <c r="C5995" t="n">
        <v>2015</v>
      </c>
      <c r="D5995" t="n">
        <v>3.76836783062096</v>
      </c>
    </row>
    <row r="5996">
      <c r="A5996" t="inlineStr">
        <is>
          <t>Sri Lanka</t>
        </is>
      </c>
      <c r="B5996" t="inlineStr">
        <is>
          <t>LKA</t>
        </is>
      </c>
      <c r="C5996" t="n">
        <v>2016</v>
      </c>
      <c r="D5996" t="n">
        <v>3.9588884659307</v>
      </c>
    </row>
    <row r="5997">
      <c r="A5997" t="inlineStr">
        <is>
          <t>Sri Lanka</t>
        </is>
      </c>
      <c r="B5997" t="inlineStr">
        <is>
          <t>LKA</t>
        </is>
      </c>
      <c r="C5997" t="n">
        <v>2017</v>
      </c>
      <c r="D5997" t="n">
        <v>7.70413767850602</v>
      </c>
    </row>
    <row r="5998">
      <c r="A5998" t="inlineStr">
        <is>
          <t>Sri Lanka</t>
        </is>
      </c>
      <c r="B5998" t="inlineStr">
        <is>
          <t>LKA</t>
        </is>
      </c>
      <c r="C5998" t="n">
        <v>2018</v>
      </c>
      <c r="D5998" t="n">
        <v>2.135037737132</v>
      </c>
    </row>
    <row r="5999">
      <c r="A5999" t="inlineStr">
        <is>
          <t>Sri Lanka</t>
        </is>
      </c>
      <c r="B5999" t="inlineStr">
        <is>
          <t>LKA</t>
        </is>
      </c>
      <c r="C5999" t="n">
        <v>2019</v>
      </c>
      <c r="D5999" t="n">
        <v>3.52839358231811</v>
      </c>
    </row>
    <row r="6000">
      <c r="A6000" t="inlineStr">
        <is>
          <t>Sri Lanka</t>
        </is>
      </c>
      <c r="B6000" t="inlineStr">
        <is>
          <t>LKA</t>
        </is>
      </c>
      <c r="C6000" t="n">
        <v>2020</v>
      </c>
      <c r="D6000" t="n">
        <v>6.15394508391738</v>
      </c>
    </row>
    <row r="6001">
      <c r="A6001" t="inlineStr">
        <is>
          <t>Sri Lanka</t>
        </is>
      </c>
      <c r="B6001" t="inlineStr">
        <is>
          <t>LKA</t>
        </is>
      </c>
      <c r="C6001" t="n">
        <v>2021</v>
      </c>
      <c r="D6001" t="n">
        <v>7.01478071238195</v>
      </c>
    </row>
    <row r="6002">
      <c r="A6002" t="inlineStr">
        <is>
          <t>Sri Lanka</t>
        </is>
      </c>
      <c r="B6002" t="inlineStr">
        <is>
          <t>LKA</t>
        </is>
      </c>
      <c r="C6002" t="n">
        <v>2022</v>
      </c>
      <c r="D6002" t="n">
        <v>49.7211021114327</v>
      </c>
    </row>
    <row r="6003">
      <c r="A6003" t="inlineStr">
        <is>
          <t>Sri Lanka</t>
        </is>
      </c>
      <c r="B6003" t="inlineStr">
        <is>
          <t>LKA</t>
        </is>
      </c>
      <c r="C6003" t="n">
        <v>2023</v>
      </c>
      <c r="D6003" t="n">
        <v>16.5411742279832</v>
      </c>
    </row>
    <row r="6004">
      <c r="A6004" t="inlineStr">
        <is>
          <t>Sri Lanka</t>
        </is>
      </c>
      <c r="B6004" t="inlineStr">
        <is>
          <t>LKA</t>
        </is>
      </c>
      <c r="C6004" t="n">
        <v>2024</v>
      </c>
      <c r="D6004" t="n">
        <v>-0.42936004906973</v>
      </c>
    </row>
    <row r="6005">
      <c r="A6005" t="inlineStr">
        <is>
          <t>Lower middle income</t>
        </is>
      </c>
      <c r="B6005" t="inlineStr">
        <is>
          <t>LMC</t>
        </is>
      </c>
      <c r="C6005" t="n">
        <v>1980</v>
      </c>
      <c r="D6005" t="n">
        <v>14.2713421163126</v>
      </c>
    </row>
    <row r="6006">
      <c r="A6006" t="inlineStr">
        <is>
          <t>Lower middle income</t>
        </is>
      </c>
      <c r="B6006" t="inlineStr">
        <is>
          <t>LMC</t>
        </is>
      </c>
      <c r="C6006" t="n">
        <v>1981</v>
      </c>
      <c r="D6006" t="n">
        <v>11.8799135925283</v>
      </c>
    </row>
    <row r="6007">
      <c r="A6007" t="inlineStr">
        <is>
          <t>Lower middle income</t>
        </is>
      </c>
      <c r="B6007" t="inlineStr">
        <is>
          <t>LMC</t>
        </is>
      </c>
      <c r="C6007" t="n">
        <v>1982</v>
      </c>
      <c r="D6007" t="n">
        <v>10.5278072972983</v>
      </c>
    </row>
    <row r="6008">
      <c r="A6008" t="inlineStr">
        <is>
          <t>Lower middle income</t>
        </is>
      </c>
      <c r="B6008" t="inlineStr">
        <is>
          <t>LMC</t>
        </is>
      </c>
      <c r="C6008" t="n">
        <v>1983</v>
      </c>
      <c r="D6008" t="n">
        <v>11.5675243834069</v>
      </c>
    </row>
    <row r="6009">
      <c r="A6009" t="inlineStr">
        <is>
          <t>Lower middle income</t>
        </is>
      </c>
      <c r="B6009" t="inlineStr">
        <is>
          <t>LMC</t>
        </is>
      </c>
      <c r="C6009" t="n">
        <v>1984</v>
      </c>
      <c r="D6009" t="n">
        <v>10.9838625715774</v>
      </c>
    </row>
    <row r="6010">
      <c r="A6010" t="inlineStr">
        <is>
          <t>Lower middle income</t>
        </is>
      </c>
      <c r="B6010" t="inlineStr">
        <is>
          <t>LMC</t>
        </is>
      </c>
      <c r="C6010" t="n">
        <v>1985</v>
      </c>
      <c r="D6010" t="n">
        <v>7.7286389008592</v>
      </c>
    </row>
    <row r="6011">
      <c r="A6011" t="inlineStr">
        <is>
          <t>Lower middle income</t>
        </is>
      </c>
      <c r="B6011" t="inlineStr">
        <is>
          <t>LMC</t>
        </is>
      </c>
      <c r="C6011" t="n">
        <v>1986</v>
      </c>
      <c r="D6011" t="n">
        <v>8.35304133136604</v>
      </c>
    </row>
    <row r="6012">
      <c r="A6012" t="inlineStr">
        <is>
          <t>Lower middle income</t>
        </is>
      </c>
      <c r="B6012" t="inlineStr">
        <is>
          <t>LMC</t>
        </is>
      </c>
      <c r="C6012" t="n">
        <v>1987</v>
      </c>
      <c r="D6012" t="n">
        <v>8.2258064516129</v>
      </c>
    </row>
    <row r="6013">
      <c r="A6013" t="inlineStr">
        <is>
          <t>Lower middle income</t>
        </is>
      </c>
      <c r="B6013" t="inlineStr">
        <is>
          <t>LMC</t>
        </is>
      </c>
      <c r="C6013" t="n">
        <v>1988</v>
      </c>
      <c r="D6013" t="n">
        <v>8.91047020013381</v>
      </c>
    </row>
    <row r="6014">
      <c r="A6014" t="inlineStr">
        <is>
          <t>Lower middle income</t>
        </is>
      </c>
      <c r="B6014" t="inlineStr">
        <is>
          <t>LMC</t>
        </is>
      </c>
      <c r="C6014" t="n">
        <v>1989</v>
      </c>
      <c r="D6014" t="n">
        <v>8.84688691232552</v>
      </c>
    </row>
    <row r="6015">
      <c r="A6015" t="inlineStr">
        <is>
          <t>Lower middle income</t>
        </is>
      </c>
      <c r="B6015" t="inlineStr">
        <is>
          <t>LMC</t>
        </is>
      </c>
      <c r="C6015" t="n">
        <v>1990</v>
      </c>
      <c r="D6015" t="n">
        <v>10.6535057862491</v>
      </c>
    </row>
    <row r="6016">
      <c r="A6016" t="inlineStr">
        <is>
          <t>Lower middle income</t>
        </is>
      </c>
      <c r="B6016" t="inlineStr">
        <is>
          <t>LMC</t>
        </is>
      </c>
      <c r="C6016" t="n">
        <v>1991</v>
      </c>
      <c r="D6016" t="n">
        <v>12.641073023816</v>
      </c>
    </row>
    <row r="6017">
      <c r="A6017" t="inlineStr">
        <is>
          <t>Lower middle income</t>
        </is>
      </c>
      <c r="B6017" t="inlineStr">
        <is>
          <t>LMC</t>
        </is>
      </c>
      <c r="C6017" t="n">
        <v>1992</v>
      </c>
      <c r="D6017" t="n">
        <v>9.960323207397209</v>
      </c>
    </row>
    <row r="6018">
      <c r="A6018" t="inlineStr">
        <is>
          <t>Lower middle income</t>
        </is>
      </c>
      <c r="B6018" t="inlineStr">
        <is>
          <t>LMC</t>
        </is>
      </c>
      <c r="C6018" t="n">
        <v>1993</v>
      </c>
      <c r="D6018" t="n">
        <v>8.52787695688003</v>
      </c>
    </row>
    <row r="6019">
      <c r="A6019" t="inlineStr">
        <is>
          <t>Lower middle income</t>
        </is>
      </c>
      <c r="B6019" t="inlineStr">
        <is>
          <t>LMC</t>
        </is>
      </c>
      <c r="C6019" t="n">
        <v>1994</v>
      </c>
      <c r="D6019" t="n">
        <v>12.0803818909762</v>
      </c>
    </row>
    <row r="6020">
      <c r="A6020" t="inlineStr">
        <is>
          <t>Lower middle income</t>
        </is>
      </c>
      <c r="B6020" t="inlineStr">
        <is>
          <t>LMC</t>
        </is>
      </c>
      <c r="C6020" t="n">
        <v>1995</v>
      </c>
      <c r="D6020" t="n">
        <v>9.91121323211838</v>
      </c>
    </row>
    <row r="6021">
      <c r="A6021" t="inlineStr">
        <is>
          <t>Lower middle income</t>
        </is>
      </c>
      <c r="B6021" t="inlineStr">
        <is>
          <t>LMC</t>
        </is>
      </c>
      <c r="C6021" t="n">
        <v>1996</v>
      </c>
      <c r="D6021" t="n">
        <v>8.92061987701987</v>
      </c>
    </row>
    <row r="6022">
      <c r="A6022" t="inlineStr">
        <is>
          <t>Lower middle income</t>
        </is>
      </c>
      <c r="B6022" t="inlineStr">
        <is>
          <t>LMC</t>
        </is>
      </c>
      <c r="C6022" t="n">
        <v>1997</v>
      </c>
      <c r="D6022" t="n">
        <v>7.10616656859383</v>
      </c>
    </row>
    <row r="6023">
      <c r="A6023" t="inlineStr">
        <is>
          <t>Lower middle income</t>
        </is>
      </c>
      <c r="B6023" t="inlineStr">
        <is>
          <t>LMC</t>
        </is>
      </c>
      <c r="C6023" t="n">
        <v>1998</v>
      </c>
      <c r="D6023" t="n">
        <v>8.256101795935461</v>
      </c>
    </row>
    <row r="6024">
      <c r="A6024" t="inlineStr">
        <is>
          <t>Lower middle income</t>
        </is>
      </c>
      <c r="B6024" t="inlineStr">
        <is>
          <t>LMC</t>
        </is>
      </c>
      <c r="C6024" t="n">
        <v>1999</v>
      </c>
      <c r="D6024" t="n">
        <v>4.69170563048438</v>
      </c>
    </row>
    <row r="6025">
      <c r="A6025" t="inlineStr">
        <is>
          <t>Lower middle income</t>
        </is>
      </c>
      <c r="B6025" t="inlineStr">
        <is>
          <t>LMC</t>
        </is>
      </c>
      <c r="C6025" t="n">
        <v>2000</v>
      </c>
      <c r="D6025" t="n">
        <v>4.01077836057766</v>
      </c>
    </row>
    <row r="6026">
      <c r="A6026" t="inlineStr">
        <is>
          <t>Lower middle income</t>
        </is>
      </c>
      <c r="B6026" t="inlineStr">
        <is>
          <t>LMC</t>
        </is>
      </c>
      <c r="C6026" t="n">
        <v>2001</v>
      </c>
      <c r="D6026" t="n">
        <v>4.36152914007262</v>
      </c>
    </row>
    <row r="6027">
      <c r="A6027" t="inlineStr">
        <is>
          <t>Lower middle income</t>
        </is>
      </c>
      <c r="B6027" t="inlineStr">
        <is>
          <t>LMC</t>
        </is>
      </c>
      <c r="C6027" t="n">
        <v>2002</v>
      </c>
      <c r="D6027" t="n">
        <v>3.75017465778466</v>
      </c>
    </row>
    <row r="6028">
      <c r="A6028" t="inlineStr">
        <is>
          <t>Lower middle income</t>
        </is>
      </c>
      <c r="B6028" t="inlineStr">
        <is>
          <t>LMC</t>
        </is>
      </c>
      <c r="C6028" t="n">
        <v>2003</v>
      </c>
      <c r="D6028" t="n">
        <v>4.45540429025096</v>
      </c>
    </row>
    <row r="6029">
      <c r="A6029" t="inlineStr">
        <is>
          <t>Lower middle income</t>
        </is>
      </c>
      <c r="B6029" t="inlineStr">
        <is>
          <t>LMC</t>
        </is>
      </c>
      <c r="C6029" t="n">
        <v>2004</v>
      </c>
      <c r="D6029" t="n">
        <v>4.50460331603898</v>
      </c>
    </row>
    <row r="6030">
      <c r="A6030" t="inlineStr">
        <is>
          <t>Lower middle income</t>
        </is>
      </c>
      <c r="B6030" t="inlineStr">
        <is>
          <t>LMC</t>
        </is>
      </c>
      <c r="C6030" t="n">
        <v>2005</v>
      </c>
      <c r="D6030" t="n">
        <v>5.36452085832343</v>
      </c>
    </row>
    <row r="6031">
      <c r="A6031" t="inlineStr">
        <is>
          <t>Lower middle income</t>
        </is>
      </c>
      <c r="B6031" t="inlineStr">
        <is>
          <t>LMC</t>
        </is>
      </c>
      <c r="C6031" t="n">
        <v>2006</v>
      </c>
      <c r="D6031" t="n">
        <v>6.07271879734293</v>
      </c>
    </row>
    <row r="6032">
      <c r="A6032" t="inlineStr">
        <is>
          <t>Lower middle income</t>
        </is>
      </c>
      <c r="B6032" t="inlineStr">
        <is>
          <t>LMC</t>
        </is>
      </c>
      <c r="C6032" t="n">
        <v>2007</v>
      </c>
      <c r="D6032" t="n">
        <v>6.7467212176692</v>
      </c>
    </row>
    <row r="6033">
      <c r="A6033" t="inlineStr">
        <is>
          <t>Lower middle income</t>
        </is>
      </c>
      <c r="B6033" t="inlineStr">
        <is>
          <t>LMC</t>
        </is>
      </c>
      <c r="C6033" t="n">
        <v>2008</v>
      </c>
      <c r="D6033" t="n">
        <v>11.4846669599236</v>
      </c>
    </row>
    <row r="6034">
      <c r="A6034" t="inlineStr">
        <is>
          <t>Lower middle income</t>
        </is>
      </c>
      <c r="B6034" t="inlineStr">
        <is>
          <t>LMC</t>
        </is>
      </c>
      <c r="C6034" t="n">
        <v>2009</v>
      </c>
      <c r="D6034" t="n">
        <v>4.36234829325718</v>
      </c>
    </row>
    <row r="6035">
      <c r="A6035" t="inlineStr">
        <is>
          <t>Lower middle income</t>
        </is>
      </c>
      <c r="B6035" t="inlineStr">
        <is>
          <t>LMC</t>
        </is>
      </c>
      <c r="C6035" t="n">
        <v>2010</v>
      </c>
      <c r="D6035" t="n">
        <v>4.76311627525449</v>
      </c>
    </row>
    <row r="6036">
      <c r="A6036" t="inlineStr">
        <is>
          <t>Lower middle income</t>
        </is>
      </c>
      <c r="B6036" t="inlineStr">
        <is>
          <t>LMC</t>
        </is>
      </c>
      <c r="C6036" t="n">
        <v>2011</v>
      </c>
      <c r="D6036" t="n">
        <v>6.33279483849042</v>
      </c>
    </row>
    <row r="6037">
      <c r="A6037" t="inlineStr">
        <is>
          <t>Lower middle income</t>
        </is>
      </c>
      <c r="B6037" t="inlineStr">
        <is>
          <t>LMC</t>
        </is>
      </c>
      <c r="C6037" t="n">
        <v>2012</v>
      </c>
      <c r="D6037" t="n">
        <v>5.83116601031462</v>
      </c>
    </row>
    <row r="6038">
      <c r="A6038" t="inlineStr">
        <is>
          <t>Lower middle income</t>
        </is>
      </c>
      <c r="B6038" t="inlineStr">
        <is>
          <t>LMC</t>
        </is>
      </c>
      <c r="C6038" t="n">
        <v>2013</v>
      </c>
      <c r="D6038" t="n">
        <v>5.31623531326689</v>
      </c>
    </row>
    <row r="6039">
      <c r="A6039" t="inlineStr">
        <is>
          <t>Lower middle income</t>
        </is>
      </c>
      <c r="B6039" t="inlineStr">
        <is>
          <t>LMC</t>
        </is>
      </c>
      <c r="C6039" t="n">
        <v>2014</v>
      </c>
      <c r="D6039" t="n">
        <v>4.78942509009216</v>
      </c>
    </row>
    <row r="6040">
      <c r="A6040" t="inlineStr">
        <is>
          <t>Lower middle income</t>
        </is>
      </c>
      <c r="B6040" t="inlineStr">
        <is>
          <t>LMC</t>
        </is>
      </c>
      <c r="C6040" t="n">
        <v>2015</v>
      </c>
      <c r="D6040" t="n">
        <v>3.23658600886781</v>
      </c>
    </row>
    <row r="6041">
      <c r="A6041" t="inlineStr">
        <is>
          <t>Lower middle income</t>
        </is>
      </c>
      <c r="B6041" t="inlineStr">
        <is>
          <t>LMC</t>
        </is>
      </c>
      <c r="C6041" t="n">
        <v>2016</v>
      </c>
      <c r="D6041" t="n">
        <v>3.20522434559745</v>
      </c>
    </row>
    <row r="6042">
      <c r="A6042" t="inlineStr">
        <is>
          <t>Lower middle income</t>
        </is>
      </c>
      <c r="B6042" t="inlineStr">
        <is>
          <t>LMC</t>
        </is>
      </c>
      <c r="C6042" t="n">
        <v>2017</v>
      </c>
      <c r="D6042" t="n">
        <v>3.52025688811617</v>
      </c>
    </row>
    <row r="6043">
      <c r="A6043" t="inlineStr">
        <is>
          <t>Lower middle income</t>
        </is>
      </c>
      <c r="B6043" t="inlineStr">
        <is>
          <t>LMC</t>
        </is>
      </c>
      <c r="C6043" t="n">
        <v>2018</v>
      </c>
      <c r="D6043" t="n">
        <v>4.0611633875107</v>
      </c>
    </row>
    <row r="6044">
      <c r="A6044" t="inlineStr">
        <is>
          <t>Lower middle income</t>
        </is>
      </c>
      <c r="B6044" t="inlineStr">
        <is>
          <t>LMC</t>
        </is>
      </c>
      <c r="C6044" t="n">
        <v>2019</v>
      </c>
      <c r="D6044" t="n">
        <v>3.31925372703827</v>
      </c>
    </row>
    <row r="6045">
      <c r="A6045" t="inlineStr">
        <is>
          <t>Lower middle income</t>
        </is>
      </c>
      <c r="B6045" t="inlineStr">
        <is>
          <t>LMC</t>
        </is>
      </c>
      <c r="C6045" t="n">
        <v>2020</v>
      </c>
      <c r="D6045" t="n">
        <v>4.87167398565555</v>
      </c>
    </row>
    <row r="6046">
      <c r="A6046" t="inlineStr">
        <is>
          <t>Lower middle income</t>
        </is>
      </c>
      <c r="B6046" t="inlineStr">
        <is>
          <t>LMC</t>
        </is>
      </c>
      <c r="C6046" t="n">
        <v>2021</v>
      </c>
      <c r="D6046" t="n">
        <v>4.14968003360264</v>
      </c>
    </row>
    <row r="6047">
      <c r="A6047" t="inlineStr">
        <is>
          <t>Lower middle income</t>
        </is>
      </c>
      <c r="B6047" t="inlineStr">
        <is>
          <t>LMC</t>
        </is>
      </c>
      <c r="C6047" t="n">
        <v>2022</v>
      </c>
      <c r="D6047" t="n">
        <v>7.69695437176898</v>
      </c>
    </row>
    <row r="6048">
      <c r="A6048" t="inlineStr">
        <is>
          <t>Lower middle income</t>
        </is>
      </c>
      <c r="B6048" t="inlineStr">
        <is>
          <t>LMC</t>
        </is>
      </c>
      <c r="C6048" t="n">
        <v>2023</v>
      </c>
      <c r="D6048" t="n">
        <v>7.38281384280984</v>
      </c>
    </row>
    <row r="6049">
      <c r="A6049" t="inlineStr">
        <is>
          <t>Low &amp; middle income</t>
        </is>
      </c>
      <c r="B6049" t="inlineStr">
        <is>
          <t>LMY</t>
        </is>
      </c>
      <c r="C6049" t="n">
        <v>1977</v>
      </c>
      <c r="D6049" t="n">
        <v>11.9658119658116</v>
      </c>
    </row>
    <row r="6050">
      <c r="A6050" t="inlineStr">
        <is>
          <t>Low &amp; middle income</t>
        </is>
      </c>
      <c r="B6050" t="inlineStr">
        <is>
          <t>LMY</t>
        </is>
      </c>
      <c r="C6050" t="n">
        <v>1978</v>
      </c>
      <c r="D6050" t="n">
        <v>9.04398827010362</v>
      </c>
    </row>
    <row r="6051">
      <c r="A6051" t="inlineStr">
        <is>
          <t>Low &amp; middle income</t>
        </is>
      </c>
      <c r="B6051" t="inlineStr">
        <is>
          <t>LMY</t>
        </is>
      </c>
      <c r="C6051" t="n">
        <v>1981</v>
      </c>
      <c r="D6051" t="n">
        <v>12.8572077921642</v>
      </c>
    </row>
    <row r="6052">
      <c r="A6052" t="inlineStr">
        <is>
          <t>Low &amp; middle income</t>
        </is>
      </c>
      <c r="B6052" t="inlineStr">
        <is>
          <t>LMY</t>
        </is>
      </c>
      <c r="C6052" t="n">
        <v>1982</v>
      </c>
      <c r="D6052" t="n">
        <v>10.8318097738171</v>
      </c>
    </row>
    <row r="6053">
      <c r="A6053" t="inlineStr">
        <is>
          <t>Low &amp; middle income</t>
        </is>
      </c>
      <c r="B6053" t="inlineStr">
        <is>
          <t>LMY</t>
        </is>
      </c>
      <c r="C6053" t="n">
        <v>1983</v>
      </c>
      <c r="D6053" t="n">
        <v>10.620753648024</v>
      </c>
    </row>
    <row r="6054">
      <c r="A6054" t="inlineStr">
        <is>
          <t>Low &amp; middle income</t>
        </is>
      </c>
      <c r="B6054" t="inlineStr">
        <is>
          <t>LMY</t>
        </is>
      </c>
      <c r="C6054" t="n">
        <v>1984</v>
      </c>
      <c r="D6054" t="n">
        <v>10.284098213138</v>
      </c>
    </row>
    <row r="6055">
      <c r="A6055" t="inlineStr">
        <is>
          <t>Low &amp; middle income</t>
        </is>
      </c>
      <c r="B6055" t="inlineStr">
        <is>
          <t>LMY</t>
        </is>
      </c>
      <c r="C6055" t="n">
        <v>1985</v>
      </c>
      <c r="D6055" t="n">
        <v>9.09050118887493</v>
      </c>
    </row>
    <row r="6056">
      <c r="A6056" t="inlineStr">
        <is>
          <t>Low &amp; middle income</t>
        </is>
      </c>
      <c r="B6056" t="inlineStr">
        <is>
          <t>LMY</t>
        </is>
      </c>
      <c r="C6056" t="n">
        <v>1986</v>
      </c>
      <c r="D6056" t="n">
        <v>8.73163995704628</v>
      </c>
    </row>
    <row r="6057">
      <c r="A6057" t="inlineStr">
        <is>
          <t>Low &amp; middle income</t>
        </is>
      </c>
      <c r="B6057" t="inlineStr">
        <is>
          <t>LMY</t>
        </is>
      </c>
      <c r="C6057" t="n">
        <v>1987</v>
      </c>
      <c r="D6057" t="n">
        <v>8.189074494810811</v>
      </c>
    </row>
    <row r="6058">
      <c r="A6058" t="inlineStr">
        <is>
          <t>Low &amp; middle income</t>
        </is>
      </c>
      <c r="B6058" t="inlineStr">
        <is>
          <t>LMY</t>
        </is>
      </c>
      <c r="C6058" t="n">
        <v>1988</v>
      </c>
      <c r="D6058" t="n">
        <v>9.071158757800241</v>
      </c>
    </row>
    <row r="6059">
      <c r="A6059" t="inlineStr">
        <is>
          <t>Low &amp; middle income</t>
        </is>
      </c>
      <c r="B6059" t="inlineStr">
        <is>
          <t>LMY</t>
        </is>
      </c>
      <c r="C6059" t="n">
        <v>1989</v>
      </c>
      <c r="D6059" t="n">
        <v>8.929941428940261</v>
      </c>
    </row>
    <row r="6060">
      <c r="A6060" t="inlineStr">
        <is>
          <t>Low &amp; middle income</t>
        </is>
      </c>
      <c r="B6060" t="inlineStr">
        <is>
          <t>LMY</t>
        </is>
      </c>
      <c r="C6060" t="n">
        <v>1990</v>
      </c>
      <c r="D6060" t="n">
        <v>10.3326720542949</v>
      </c>
    </row>
    <row r="6061">
      <c r="A6061" t="inlineStr">
        <is>
          <t>Low &amp; middle income</t>
        </is>
      </c>
      <c r="B6061" t="inlineStr">
        <is>
          <t>LMY</t>
        </is>
      </c>
      <c r="C6061" t="n">
        <v>1991</v>
      </c>
      <c r="D6061" t="n">
        <v>12.2751729438893</v>
      </c>
    </row>
    <row r="6062">
      <c r="A6062" t="inlineStr">
        <is>
          <t>Low &amp; middle income</t>
        </is>
      </c>
      <c r="B6062" t="inlineStr">
        <is>
          <t>LMY</t>
        </is>
      </c>
      <c r="C6062" t="n">
        <v>1992</v>
      </c>
      <c r="D6062" t="n">
        <v>10.0510173716465</v>
      </c>
    </row>
    <row r="6063">
      <c r="A6063" t="inlineStr">
        <is>
          <t>Low &amp; middle income</t>
        </is>
      </c>
      <c r="B6063" t="inlineStr">
        <is>
          <t>LMY</t>
        </is>
      </c>
      <c r="C6063" t="n">
        <v>1993</v>
      </c>
      <c r="D6063" t="n">
        <v>9.991012982153039</v>
      </c>
    </row>
    <row r="6064">
      <c r="A6064" t="inlineStr">
        <is>
          <t>Low &amp; middle income</t>
        </is>
      </c>
      <c r="B6064" t="inlineStr">
        <is>
          <t>LMY</t>
        </is>
      </c>
      <c r="C6064" t="n">
        <v>1994</v>
      </c>
      <c r="D6064" t="n">
        <v>20.5661948376355</v>
      </c>
    </row>
    <row r="6065">
      <c r="A6065" t="inlineStr">
        <is>
          <t>Low &amp; middle income</t>
        </is>
      </c>
      <c r="B6065" t="inlineStr">
        <is>
          <t>LMY</t>
        </is>
      </c>
      <c r="C6065" t="n">
        <v>1995</v>
      </c>
      <c r="D6065" t="n">
        <v>11.7086471154257</v>
      </c>
    </row>
    <row r="6066">
      <c r="A6066" t="inlineStr">
        <is>
          <t>Low &amp; middle income</t>
        </is>
      </c>
      <c r="B6066" t="inlineStr">
        <is>
          <t>LMY</t>
        </is>
      </c>
      <c r="C6066" t="n">
        <v>1996</v>
      </c>
      <c r="D6066" t="n">
        <v>8.97715233826453</v>
      </c>
    </row>
    <row r="6067">
      <c r="A6067" t="inlineStr">
        <is>
          <t>Low &amp; middle income</t>
        </is>
      </c>
      <c r="B6067" t="inlineStr">
        <is>
          <t>LMY</t>
        </is>
      </c>
      <c r="C6067" t="n">
        <v>1997</v>
      </c>
      <c r="D6067" t="n">
        <v>7.08761762948726</v>
      </c>
    </row>
    <row r="6068">
      <c r="A6068" t="inlineStr">
        <is>
          <t>Low &amp; middle income</t>
        </is>
      </c>
      <c r="B6068" t="inlineStr">
        <is>
          <t>LMY</t>
        </is>
      </c>
      <c r="C6068" t="n">
        <v>1998</v>
      </c>
      <c r="D6068" t="n">
        <v>6.88054521037351</v>
      </c>
    </row>
    <row r="6069">
      <c r="A6069" t="inlineStr">
        <is>
          <t>Low &amp; middle income</t>
        </is>
      </c>
      <c r="B6069" t="inlineStr">
        <is>
          <t>LMY</t>
        </is>
      </c>
      <c r="C6069" t="n">
        <v>1999</v>
      </c>
      <c r="D6069" t="n">
        <v>4.68076300543016</v>
      </c>
    </row>
    <row r="6070">
      <c r="A6070" t="inlineStr">
        <is>
          <t>Low &amp; middle income</t>
        </is>
      </c>
      <c r="B6070" t="inlineStr">
        <is>
          <t>LMY</t>
        </is>
      </c>
      <c r="C6070" t="n">
        <v>2000</v>
      </c>
      <c r="D6070" t="n">
        <v>4.06396201382596</v>
      </c>
    </row>
    <row r="6071">
      <c r="A6071" t="inlineStr">
        <is>
          <t>Low &amp; middle income</t>
        </is>
      </c>
      <c r="B6071" t="inlineStr">
        <is>
          <t>LMY</t>
        </is>
      </c>
      <c r="C6071" t="n">
        <v>2001</v>
      </c>
      <c r="D6071" t="n">
        <v>5.07745045522496</v>
      </c>
    </row>
    <row r="6072">
      <c r="A6072" t="inlineStr">
        <is>
          <t>Low &amp; middle income</t>
        </is>
      </c>
      <c r="B6072" t="inlineStr">
        <is>
          <t>LMY</t>
        </is>
      </c>
      <c r="C6072" t="n">
        <v>2002</v>
      </c>
      <c r="D6072" t="n">
        <v>4.24026660688645</v>
      </c>
    </row>
    <row r="6073">
      <c r="A6073" t="inlineStr">
        <is>
          <t>Low &amp; middle income</t>
        </is>
      </c>
      <c r="B6073" t="inlineStr">
        <is>
          <t>LMY</t>
        </is>
      </c>
      <c r="C6073" t="n">
        <v>2003</v>
      </c>
      <c r="D6073" t="n">
        <v>5.14044825095998</v>
      </c>
    </row>
    <row r="6074">
      <c r="A6074" t="inlineStr">
        <is>
          <t>Low &amp; middle income</t>
        </is>
      </c>
      <c r="B6074" t="inlineStr">
        <is>
          <t>LMY</t>
        </is>
      </c>
      <c r="C6074" t="n">
        <v>2004</v>
      </c>
      <c r="D6074" t="n">
        <v>4.50460331603898</v>
      </c>
    </row>
    <row r="6075">
      <c r="A6075" t="inlineStr">
        <is>
          <t>Low &amp; middle income</t>
        </is>
      </c>
      <c r="B6075" t="inlineStr">
        <is>
          <t>LMY</t>
        </is>
      </c>
      <c r="C6075" t="n">
        <v>2005</v>
      </c>
      <c r="D6075" t="n">
        <v>6.42755278070087</v>
      </c>
    </row>
    <row r="6076">
      <c r="A6076" t="inlineStr">
        <is>
          <t>Low &amp; middle income</t>
        </is>
      </c>
      <c r="B6076" t="inlineStr">
        <is>
          <t>LMY</t>
        </is>
      </c>
      <c r="C6076" t="n">
        <v>2006</v>
      </c>
      <c r="D6076" t="n">
        <v>6.07271879734293</v>
      </c>
    </row>
    <row r="6077">
      <c r="A6077" t="inlineStr">
        <is>
          <t>Low &amp; middle income</t>
        </is>
      </c>
      <c r="B6077" t="inlineStr">
        <is>
          <t>LMY</t>
        </is>
      </c>
      <c r="C6077" t="n">
        <v>2007</v>
      </c>
      <c r="D6077" t="n">
        <v>6.25098782993553</v>
      </c>
    </row>
    <row r="6078">
      <c r="A6078" t="inlineStr">
        <is>
          <t>Low &amp; middle income</t>
        </is>
      </c>
      <c r="B6078" t="inlineStr">
        <is>
          <t>LMY</t>
        </is>
      </c>
      <c r="C6078" t="n">
        <v>2008</v>
      </c>
      <c r="D6078" t="n">
        <v>10.3607288954998</v>
      </c>
    </row>
    <row r="6079">
      <c r="A6079" t="inlineStr">
        <is>
          <t>Low &amp; middle income</t>
        </is>
      </c>
      <c r="B6079" t="inlineStr">
        <is>
          <t>LMY</t>
        </is>
      </c>
      <c r="C6079" t="n">
        <v>2009</v>
      </c>
      <c r="D6079" t="n">
        <v>4.21903052064628</v>
      </c>
    </row>
    <row r="6080">
      <c r="A6080" t="inlineStr">
        <is>
          <t>Low &amp; middle income</t>
        </is>
      </c>
      <c r="B6080" t="inlineStr">
        <is>
          <t>LMY</t>
        </is>
      </c>
      <c r="C6080" t="n">
        <v>2010</v>
      </c>
      <c r="D6080" t="n">
        <v>4.27707052915122</v>
      </c>
    </row>
    <row r="6081">
      <c r="A6081" t="inlineStr">
        <is>
          <t>Low &amp; middle income</t>
        </is>
      </c>
      <c r="B6081" t="inlineStr">
        <is>
          <t>LMY</t>
        </is>
      </c>
      <c r="C6081" t="n">
        <v>2011</v>
      </c>
      <c r="D6081" t="n">
        <v>6.16077553828671</v>
      </c>
    </row>
    <row r="6082">
      <c r="A6082" t="inlineStr">
        <is>
          <t>Low &amp; middle income</t>
        </is>
      </c>
      <c r="B6082" t="inlineStr">
        <is>
          <t>LMY</t>
        </is>
      </c>
      <c r="C6082" t="n">
        <v>2012</v>
      </c>
      <c r="D6082" t="n">
        <v>5.01804155429246</v>
      </c>
    </row>
    <row r="6083">
      <c r="A6083" t="inlineStr">
        <is>
          <t>Low &amp; middle income</t>
        </is>
      </c>
      <c r="B6083" t="inlineStr">
        <is>
          <t>LMY</t>
        </is>
      </c>
      <c r="C6083" t="n">
        <v>2013</v>
      </c>
      <c r="D6083" t="n">
        <v>4.76502404779142</v>
      </c>
    </row>
    <row r="6084">
      <c r="A6084" t="inlineStr">
        <is>
          <t>Low &amp; middle income</t>
        </is>
      </c>
      <c r="B6084" t="inlineStr">
        <is>
          <t>LMY</t>
        </is>
      </c>
      <c r="C6084" t="n">
        <v>2014</v>
      </c>
      <c r="D6084" t="n">
        <v>3.56179436381993</v>
      </c>
    </row>
    <row r="6085">
      <c r="A6085" t="inlineStr">
        <is>
          <t>Low &amp; middle income</t>
        </is>
      </c>
      <c r="B6085" t="inlineStr">
        <is>
          <t>LMY</t>
        </is>
      </c>
      <c r="C6085" t="n">
        <v>2015</v>
      </c>
      <c r="D6085" t="n">
        <v>3.21844513655931</v>
      </c>
    </row>
    <row r="6086">
      <c r="A6086" t="inlineStr">
        <is>
          <t>Low &amp; middle income</t>
        </is>
      </c>
      <c r="B6086" t="inlineStr">
        <is>
          <t>LMY</t>
        </is>
      </c>
      <c r="C6086" t="n">
        <v>2016</v>
      </c>
      <c r="D6086" t="n">
        <v>3.01913975139128</v>
      </c>
    </row>
    <row r="6087">
      <c r="A6087" t="inlineStr">
        <is>
          <t>Low &amp; middle income</t>
        </is>
      </c>
      <c r="B6087" t="inlineStr">
        <is>
          <t>LMY</t>
        </is>
      </c>
      <c r="C6087" t="n">
        <v>2017</v>
      </c>
      <c r="D6087" t="n">
        <v>3.66699702675908</v>
      </c>
    </row>
    <row r="6088">
      <c r="A6088" t="inlineStr">
        <is>
          <t>Low &amp; middle income</t>
        </is>
      </c>
      <c r="B6088" t="inlineStr">
        <is>
          <t>LMY</t>
        </is>
      </c>
      <c r="C6088" t="n">
        <v>2018</v>
      </c>
      <c r="D6088" t="n">
        <v>3.23929245939142</v>
      </c>
    </row>
    <row r="6089">
      <c r="A6089" t="inlineStr">
        <is>
          <t>Low &amp; middle income</t>
        </is>
      </c>
      <c r="B6089" t="inlineStr">
        <is>
          <t>LMY</t>
        </is>
      </c>
      <c r="C6089" t="n">
        <v>2019</v>
      </c>
      <c r="D6089" t="n">
        <v>2.74176382475803</v>
      </c>
    </row>
    <row r="6090">
      <c r="A6090" t="inlineStr">
        <is>
          <t>Low &amp; middle income</t>
        </is>
      </c>
      <c r="B6090" t="inlineStr">
        <is>
          <t>LMY</t>
        </is>
      </c>
      <c r="C6090" t="n">
        <v>2020</v>
      </c>
      <c r="D6090" t="n">
        <v>2.99313555869917</v>
      </c>
    </row>
    <row r="6091">
      <c r="A6091" t="inlineStr">
        <is>
          <t>Low &amp; middle income</t>
        </is>
      </c>
      <c r="B6091" t="inlineStr">
        <is>
          <t>LMY</t>
        </is>
      </c>
      <c r="C6091" t="n">
        <v>2021</v>
      </c>
      <c r="D6091" t="n">
        <v>4.22278962033194</v>
      </c>
    </row>
    <row r="6092">
      <c r="A6092" t="inlineStr">
        <is>
          <t>Low &amp; middle income</t>
        </is>
      </c>
      <c r="B6092" t="inlineStr">
        <is>
          <t>LMY</t>
        </is>
      </c>
      <c r="C6092" t="n">
        <v>2022</v>
      </c>
      <c r="D6092" t="n">
        <v>8.32008377271927</v>
      </c>
    </row>
    <row r="6093">
      <c r="A6093" t="inlineStr">
        <is>
          <t>Low &amp; middle income</t>
        </is>
      </c>
      <c r="B6093" t="inlineStr">
        <is>
          <t>LMY</t>
        </is>
      </c>
      <c r="C6093" t="n">
        <v>2023</v>
      </c>
      <c r="D6093" t="n">
        <v>6.09114152504141</v>
      </c>
    </row>
    <row r="6094">
      <c r="A6094" t="inlineStr">
        <is>
          <t>Lesotho</t>
        </is>
      </c>
      <c r="B6094" t="inlineStr">
        <is>
          <t>LSO</t>
        </is>
      </c>
      <c r="C6094" t="n">
        <v>1974</v>
      </c>
      <c r="D6094" t="n">
        <v>13.4228345165924</v>
      </c>
    </row>
    <row r="6095">
      <c r="A6095" t="inlineStr">
        <is>
          <t>Lesotho</t>
        </is>
      </c>
      <c r="B6095" t="inlineStr">
        <is>
          <t>LSO</t>
        </is>
      </c>
      <c r="C6095" t="n">
        <v>1975</v>
      </c>
      <c r="D6095" t="n">
        <v>14.2119396819426</v>
      </c>
    </row>
    <row r="6096">
      <c r="A6096" t="inlineStr">
        <is>
          <t>Lesotho</t>
        </is>
      </c>
      <c r="B6096" t="inlineStr">
        <is>
          <t>LSO</t>
        </is>
      </c>
      <c r="C6096" t="n">
        <v>1976</v>
      </c>
      <c r="D6096" t="n">
        <v>11.4125519984136</v>
      </c>
    </row>
    <row r="6097">
      <c r="A6097" t="inlineStr">
        <is>
          <t>Lesotho</t>
        </is>
      </c>
      <c r="B6097" t="inlineStr">
        <is>
          <t>LSO</t>
        </is>
      </c>
      <c r="C6097" t="n">
        <v>1977</v>
      </c>
      <c r="D6097" t="n">
        <v>16.6883116885552</v>
      </c>
    </row>
    <row r="6098">
      <c r="A6098" t="inlineStr">
        <is>
          <t>Lesotho</t>
        </is>
      </c>
      <c r="B6098" t="inlineStr">
        <is>
          <t>LSO</t>
        </is>
      </c>
      <c r="C6098" t="n">
        <v>1978</v>
      </c>
      <c r="D6098" t="n">
        <v>13.4835790118489</v>
      </c>
    </row>
    <row r="6099">
      <c r="A6099" t="inlineStr">
        <is>
          <t>Lesotho</t>
        </is>
      </c>
      <c r="B6099" t="inlineStr">
        <is>
          <t>LSO</t>
        </is>
      </c>
      <c r="C6099" t="n">
        <v>1979</v>
      </c>
      <c r="D6099" t="n">
        <v>16.0035523977478</v>
      </c>
    </row>
    <row r="6100">
      <c r="A6100" t="inlineStr">
        <is>
          <t>Lesotho</t>
        </is>
      </c>
      <c r="B6100" t="inlineStr">
        <is>
          <t>LSO</t>
        </is>
      </c>
      <c r="C6100" t="n">
        <v>1980</v>
      </c>
      <c r="D6100" t="n">
        <v>16.2748416182533</v>
      </c>
    </row>
    <row r="6101">
      <c r="A6101" t="inlineStr">
        <is>
          <t>Lesotho</t>
        </is>
      </c>
      <c r="B6101" t="inlineStr">
        <is>
          <t>LSO</t>
        </is>
      </c>
      <c r="C6101" t="n">
        <v>1981</v>
      </c>
      <c r="D6101" t="n">
        <v>12.413261372398</v>
      </c>
    </row>
    <row r="6102">
      <c r="A6102" t="inlineStr">
        <is>
          <t>Lesotho</t>
        </is>
      </c>
      <c r="B6102" t="inlineStr">
        <is>
          <t>LSO</t>
        </is>
      </c>
      <c r="C6102" t="n">
        <v>1982</v>
      </c>
      <c r="D6102" t="n">
        <v>12.1399176954734</v>
      </c>
    </row>
    <row r="6103">
      <c r="A6103" t="inlineStr">
        <is>
          <t>Lesotho</t>
        </is>
      </c>
      <c r="B6103" t="inlineStr">
        <is>
          <t>LSO</t>
        </is>
      </c>
      <c r="C6103" t="n">
        <v>1983</v>
      </c>
      <c r="D6103" t="n">
        <v>17.4923547400614</v>
      </c>
    </row>
    <row r="6104">
      <c r="A6104" t="inlineStr">
        <is>
          <t>Lesotho</t>
        </is>
      </c>
      <c r="B6104" t="inlineStr">
        <is>
          <t>LSO</t>
        </is>
      </c>
      <c r="C6104" t="n">
        <v>1984</v>
      </c>
      <c r="D6104" t="n">
        <v>10.9838625715774</v>
      </c>
    </row>
    <row r="6105">
      <c r="A6105" t="inlineStr">
        <is>
          <t>Lesotho</t>
        </is>
      </c>
      <c r="B6105" t="inlineStr">
        <is>
          <t>LSO</t>
        </is>
      </c>
      <c r="C6105" t="n">
        <v>1985</v>
      </c>
      <c r="D6105" t="n">
        <v>13.3208255159471</v>
      </c>
    </row>
    <row r="6106">
      <c r="A6106" t="inlineStr">
        <is>
          <t>Lesotho</t>
        </is>
      </c>
      <c r="B6106" t="inlineStr">
        <is>
          <t>LSO</t>
        </is>
      </c>
      <c r="C6106" t="n">
        <v>1986</v>
      </c>
      <c r="D6106" t="n">
        <v>18.0049668874172</v>
      </c>
    </row>
    <row r="6107">
      <c r="A6107" t="inlineStr">
        <is>
          <t>Lesotho</t>
        </is>
      </c>
      <c r="B6107" t="inlineStr">
        <is>
          <t>LSO</t>
        </is>
      </c>
      <c r="C6107" t="n">
        <v>1987</v>
      </c>
      <c r="D6107" t="n">
        <v>11.750263065591</v>
      </c>
    </row>
    <row r="6108">
      <c r="A6108" t="inlineStr">
        <is>
          <t>Lesotho</t>
        </is>
      </c>
      <c r="B6108" t="inlineStr">
        <is>
          <t>LSO</t>
        </is>
      </c>
      <c r="C6108" t="n">
        <v>1988</v>
      </c>
      <c r="D6108" t="n">
        <v>11.4563716258632</v>
      </c>
    </row>
    <row r="6109">
      <c r="A6109" t="inlineStr">
        <is>
          <t>Lesotho</t>
        </is>
      </c>
      <c r="B6109" t="inlineStr">
        <is>
          <t>LSO</t>
        </is>
      </c>
      <c r="C6109" t="n">
        <v>1989</v>
      </c>
      <c r="D6109" t="n">
        <v>14.7282455646297</v>
      </c>
    </row>
    <row r="6110">
      <c r="A6110" t="inlineStr">
        <is>
          <t>Lesotho</t>
        </is>
      </c>
      <c r="B6110" t="inlineStr">
        <is>
          <t>LSO</t>
        </is>
      </c>
      <c r="C6110" t="n">
        <v>1990</v>
      </c>
      <c r="D6110" t="n">
        <v>11.6347569955818</v>
      </c>
    </row>
    <row r="6111">
      <c r="A6111" t="inlineStr">
        <is>
          <t>Lesotho</t>
        </is>
      </c>
      <c r="B6111" t="inlineStr">
        <is>
          <t>LSO</t>
        </is>
      </c>
      <c r="C6111" t="n">
        <v>1991</v>
      </c>
      <c r="D6111" t="n">
        <v>17.6781002638523</v>
      </c>
    </row>
    <row r="6112">
      <c r="A6112" t="inlineStr">
        <is>
          <t>Lesotho</t>
        </is>
      </c>
      <c r="B6112" t="inlineStr">
        <is>
          <t>LSO</t>
        </is>
      </c>
      <c r="C6112" t="n">
        <v>1992</v>
      </c>
      <c r="D6112" t="n">
        <v>17.2085201793721</v>
      </c>
    </row>
    <row r="6113">
      <c r="A6113" t="inlineStr">
        <is>
          <t>Lesotho</t>
        </is>
      </c>
      <c r="B6113" t="inlineStr">
        <is>
          <t>LSO</t>
        </is>
      </c>
      <c r="C6113" t="n">
        <v>1993</v>
      </c>
      <c r="D6113" t="n">
        <v>13.1356607683724</v>
      </c>
    </row>
    <row r="6114">
      <c r="A6114" t="inlineStr">
        <is>
          <t>Lesotho</t>
        </is>
      </c>
      <c r="B6114" t="inlineStr">
        <is>
          <t>LSO</t>
        </is>
      </c>
      <c r="C6114" t="n">
        <v>1994</v>
      </c>
      <c r="D6114" t="n">
        <v>8.214738621953019</v>
      </c>
    </row>
    <row r="6115">
      <c r="A6115" t="inlineStr">
        <is>
          <t>Lesotho</t>
        </is>
      </c>
      <c r="B6115" t="inlineStr">
        <is>
          <t>LSO</t>
        </is>
      </c>
      <c r="C6115" t="n">
        <v>1995</v>
      </c>
      <c r="D6115" t="n">
        <v>9.270833333333229</v>
      </c>
    </row>
    <row r="6116">
      <c r="A6116" t="inlineStr">
        <is>
          <t>Lesotho</t>
        </is>
      </c>
      <c r="B6116" t="inlineStr">
        <is>
          <t>LSO</t>
        </is>
      </c>
      <c r="C6116" t="n">
        <v>1996</v>
      </c>
      <c r="D6116" t="n">
        <v>9.330314585319281</v>
      </c>
    </row>
    <row r="6117">
      <c r="A6117" t="inlineStr">
        <is>
          <t>Lesotho</t>
        </is>
      </c>
      <c r="B6117" t="inlineStr">
        <is>
          <t>LSO</t>
        </is>
      </c>
      <c r="C6117" t="n">
        <v>2000</v>
      </c>
      <c r="D6117" t="n">
        <v>6.13197538722696</v>
      </c>
    </row>
    <row r="6118">
      <c r="A6118" t="inlineStr">
        <is>
          <t>Lesotho</t>
        </is>
      </c>
      <c r="B6118" t="inlineStr">
        <is>
          <t>LSO</t>
        </is>
      </c>
      <c r="C6118" t="n">
        <v>2001</v>
      </c>
      <c r="D6118" t="n">
        <v>-9.616153538584721</v>
      </c>
    </row>
    <row r="6119">
      <c r="A6119" t="inlineStr">
        <is>
          <t>Lesotho</t>
        </is>
      </c>
      <c r="B6119" t="inlineStr">
        <is>
          <t>LSO</t>
        </is>
      </c>
      <c r="C6119" t="n">
        <v>2002</v>
      </c>
      <c r="D6119" t="n">
        <v>33.812578338126</v>
      </c>
    </row>
    <row r="6120">
      <c r="A6120" t="inlineStr">
        <is>
          <t>Lesotho</t>
        </is>
      </c>
      <c r="B6120" t="inlineStr">
        <is>
          <t>LSO</t>
        </is>
      </c>
      <c r="C6120" t="n">
        <v>2003</v>
      </c>
      <c r="D6120" t="n">
        <v>6.62916357146762</v>
      </c>
    </row>
    <row r="6121">
      <c r="A6121" t="inlineStr">
        <is>
          <t>Lesotho</t>
        </is>
      </c>
      <c r="B6121" t="inlineStr">
        <is>
          <t>LSO</t>
        </is>
      </c>
      <c r="C6121" t="n">
        <v>2004</v>
      </c>
      <c r="D6121" t="n">
        <v>5.02342068616285</v>
      </c>
    </row>
    <row r="6122">
      <c r="A6122" t="inlineStr">
        <is>
          <t>Lesotho</t>
        </is>
      </c>
      <c r="B6122" t="inlineStr">
        <is>
          <t>LSO</t>
        </is>
      </c>
      <c r="C6122" t="n">
        <v>2005</v>
      </c>
      <c r="D6122" t="n">
        <v>3.43788423057443</v>
      </c>
    </row>
    <row r="6123">
      <c r="A6123" t="inlineStr">
        <is>
          <t>Lesotho</t>
        </is>
      </c>
      <c r="B6123" t="inlineStr">
        <is>
          <t>LSO</t>
        </is>
      </c>
      <c r="C6123" t="n">
        <v>2006</v>
      </c>
      <c r="D6123" t="n">
        <v>6.07271879734293</v>
      </c>
    </row>
    <row r="6124">
      <c r="A6124" t="inlineStr">
        <is>
          <t>Lesotho</t>
        </is>
      </c>
      <c r="B6124" t="inlineStr">
        <is>
          <t>LSO</t>
        </is>
      </c>
      <c r="C6124" t="n">
        <v>2007</v>
      </c>
      <c r="D6124" t="n">
        <v>8.01243669043409</v>
      </c>
    </row>
    <row r="6125">
      <c r="A6125" t="inlineStr">
        <is>
          <t>Lesotho</t>
        </is>
      </c>
      <c r="B6125" t="inlineStr">
        <is>
          <t>LSO</t>
        </is>
      </c>
      <c r="C6125" t="n">
        <v>2008</v>
      </c>
      <c r="D6125" t="n">
        <v>10.7156661309681</v>
      </c>
    </row>
    <row r="6126">
      <c r="A6126" t="inlineStr">
        <is>
          <t>Lesotho</t>
        </is>
      </c>
      <c r="B6126" t="inlineStr">
        <is>
          <t>LSO</t>
        </is>
      </c>
      <c r="C6126" t="n">
        <v>2009</v>
      </c>
      <c r="D6126" t="n">
        <v>-16.8596910540644</v>
      </c>
    </row>
    <row r="6127">
      <c r="A6127" t="inlineStr">
        <is>
          <t>Lesotho</t>
        </is>
      </c>
      <c r="B6127" t="inlineStr">
        <is>
          <t>LSO</t>
        </is>
      </c>
      <c r="C6127" t="n">
        <v>2010</v>
      </c>
      <c r="D6127" t="n">
        <v>-2.40524254598706</v>
      </c>
    </row>
    <row r="6128">
      <c r="A6128" t="inlineStr">
        <is>
          <t>Lesotho</t>
        </is>
      </c>
      <c r="B6128" t="inlineStr">
        <is>
          <t>LSO</t>
        </is>
      </c>
      <c r="C6128" t="n">
        <v>2011</v>
      </c>
      <c r="D6128" t="n">
        <v>5.0366305210156</v>
      </c>
    </row>
    <row r="6129">
      <c r="A6129" t="inlineStr">
        <is>
          <t>Lesotho</t>
        </is>
      </c>
      <c r="B6129" t="inlineStr">
        <is>
          <t>LSO</t>
        </is>
      </c>
      <c r="C6129" t="n">
        <v>2012</v>
      </c>
      <c r="D6129" t="n">
        <v>6.05143662139967</v>
      </c>
    </row>
    <row r="6130">
      <c r="A6130" t="inlineStr">
        <is>
          <t>Lesotho</t>
        </is>
      </c>
      <c r="B6130" t="inlineStr">
        <is>
          <t>LSO</t>
        </is>
      </c>
      <c r="C6130" t="n">
        <v>2013</v>
      </c>
      <c r="D6130" t="n">
        <v>4.86511899496385</v>
      </c>
    </row>
    <row r="6131">
      <c r="A6131" t="inlineStr">
        <is>
          <t>Lesotho</t>
        </is>
      </c>
      <c r="B6131" t="inlineStr">
        <is>
          <t>LSO</t>
        </is>
      </c>
      <c r="C6131" t="n">
        <v>2014</v>
      </c>
      <c r="D6131" t="n">
        <v>5.37028961008587</v>
      </c>
    </row>
    <row r="6132">
      <c r="A6132" t="inlineStr">
        <is>
          <t>Lesotho</t>
        </is>
      </c>
      <c r="B6132" t="inlineStr">
        <is>
          <t>LSO</t>
        </is>
      </c>
      <c r="C6132" t="n">
        <v>2015</v>
      </c>
      <c r="D6132" t="n">
        <v>3.21844513655931</v>
      </c>
    </row>
    <row r="6133">
      <c r="A6133" t="inlineStr">
        <is>
          <t>Lesotho</t>
        </is>
      </c>
      <c r="B6133" t="inlineStr">
        <is>
          <t>LSO</t>
        </is>
      </c>
      <c r="C6133" t="n">
        <v>2016</v>
      </c>
      <c r="D6133" t="n">
        <v>6.59650490696543</v>
      </c>
    </row>
    <row r="6134">
      <c r="A6134" t="inlineStr">
        <is>
          <t>Lesotho</t>
        </is>
      </c>
      <c r="B6134" t="inlineStr">
        <is>
          <t>LSO</t>
        </is>
      </c>
      <c r="C6134" t="n">
        <v>2017</v>
      </c>
      <c r="D6134" t="n">
        <v>4.447699373763</v>
      </c>
    </row>
    <row r="6135">
      <c r="A6135" t="inlineStr">
        <is>
          <t>Lesotho</t>
        </is>
      </c>
      <c r="B6135" t="inlineStr">
        <is>
          <t>LSO</t>
        </is>
      </c>
      <c r="C6135" t="n">
        <v>2018</v>
      </c>
      <c r="D6135" t="n">
        <v>4.7518030162474</v>
      </c>
    </row>
    <row r="6136">
      <c r="A6136" t="inlineStr">
        <is>
          <t>Lesotho</t>
        </is>
      </c>
      <c r="B6136" t="inlineStr">
        <is>
          <t>LSO</t>
        </is>
      </c>
      <c r="C6136" t="n">
        <v>2019</v>
      </c>
      <c r="D6136" t="n">
        <v>5.18708359197982</v>
      </c>
    </row>
    <row r="6137">
      <c r="A6137" t="inlineStr">
        <is>
          <t>Lesotho</t>
        </is>
      </c>
      <c r="B6137" t="inlineStr">
        <is>
          <t>LSO</t>
        </is>
      </c>
      <c r="C6137" t="n">
        <v>2020</v>
      </c>
      <c r="D6137" t="n">
        <v>4.97809676252309</v>
      </c>
    </row>
    <row r="6138">
      <c r="A6138" t="inlineStr">
        <is>
          <t>Lesotho</t>
        </is>
      </c>
      <c r="B6138" t="inlineStr">
        <is>
          <t>LSO</t>
        </is>
      </c>
      <c r="C6138" t="n">
        <v>2021</v>
      </c>
      <c r="D6138" t="n">
        <v>6.04774591950676</v>
      </c>
    </row>
    <row r="6139">
      <c r="A6139" t="inlineStr">
        <is>
          <t>Lesotho</t>
        </is>
      </c>
      <c r="B6139" t="inlineStr">
        <is>
          <t>LSO</t>
        </is>
      </c>
      <c r="C6139" t="n">
        <v>2022</v>
      </c>
      <c r="D6139" t="n">
        <v>8.27180389943028</v>
      </c>
    </row>
    <row r="6140">
      <c r="A6140" t="inlineStr">
        <is>
          <t>Lesotho</t>
        </is>
      </c>
      <c r="B6140" t="inlineStr">
        <is>
          <t>LSO</t>
        </is>
      </c>
      <c r="C6140" t="n">
        <v>2023</v>
      </c>
      <c r="D6140" t="n">
        <v>6.34221743124953</v>
      </c>
    </row>
    <row r="6141">
      <c r="A6141" t="inlineStr">
        <is>
          <t>Lesotho</t>
        </is>
      </c>
      <c r="B6141" t="inlineStr">
        <is>
          <t>LSO</t>
        </is>
      </c>
      <c r="C6141" t="n">
        <v>2024</v>
      </c>
      <c r="D6141" t="n">
        <v>6.10544624245032</v>
      </c>
    </row>
    <row r="6142">
      <c r="A6142" t="inlineStr">
        <is>
          <t>Late-demographic dividend</t>
        </is>
      </c>
      <c r="B6142" t="inlineStr">
        <is>
          <t>LTE</t>
        </is>
      </c>
      <c r="C6142" t="n">
        <v>1987</v>
      </c>
      <c r="D6142" t="n">
        <v>5.75646401118136</v>
      </c>
    </row>
    <row r="6143">
      <c r="A6143" t="inlineStr">
        <is>
          <t>Late-demographic dividend</t>
        </is>
      </c>
      <c r="B6143" t="inlineStr">
        <is>
          <t>LTE</t>
        </is>
      </c>
      <c r="C6143" t="n">
        <v>1988</v>
      </c>
      <c r="D6143" t="n">
        <v>7.19696969696955</v>
      </c>
    </row>
    <row r="6144">
      <c r="A6144" t="inlineStr">
        <is>
          <t>Late-demographic dividend</t>
        </is>
      </c>
      <c r="B6144" t="inlineStr">
        <is>
          <t>LTE</t>
        </is>
      </c>
      <c r="C6144" t="n">
        <v>1989</v>
      </c>
      <c r="D6144" t="n">
        <v>6.18935403382355</v>
      </c>
    </row>
    <row r="6145">
      <c r="A6145" t="inlineStr">
        <is>
          <t>Late-demographic dividend</t>
        </is>
      </c>
      <c r="B6145" t="inlineStr">
        <is>
          <t>LTE</t>
        </is>
      </c>
      <c r="C6145" t="n">
        <v>1990</v>
      </c>
      <c r="D6145" t="n">
        <v>7.60609957743892</v>
      </c>
    </row>
    <row r="6146">
      <c r="A6146" t="inlineStr">
        <is>
          <t>Late-demographic dividend</t>
        </is>
      </c>
      <c r="B6146" t="inlineStr">
        <is>
          <t>LTE</t>
        </is>
      </c>
      <c r="C6146" t="n">
        <v>1991</v>
      </c>
      <c r="D6146" t="n">
        <v>6.9048963274276</v>
      </c>
    </row>
    <row r="6147">
      <c r="A6147" t="inlineStr">
        <is>
          <t>Late-demographic dividend</t>
        </is>
      </c>
      <c r="B6147" t="inlineStr">
        <is>
          <t>LTE</t>
        </is>
      </c>
      <c r="C6147" t="n">
        <v>1992</v>
      </c>
      <c r="D6147" t="n">
        <v>5.82434514637906</v>
      </c>
    </row>
    <row r="6148">
      <c r="A6148" t="inlineStr">
        <is>
          <t>Late-demographic dividend</t>
        </is>
      </c>
      <c r="B6148" t="inlineStr">
        <is>
          <t>LTE</t>
        </is>
      </c>
      <c r="C6148" t="n">
        <v>1993</v>
      </c>
      <c r="D6148" t="n">
        <v>10.6765371840707</v>
      </c>
    </row>
    <row r="6149">
      <c r="A6149" t="inlineStr">
        <is>
          <t>Late-demographic dividend</t>
        </is>
      </c>
      <c r="B6149" t="inlineStr">
        <is>
          <t>LTE</t>
        </is>
      </c>
      <c r="C6149" t="n">
        <v>1994</v>
      </c>
      <c r="D6149" t="n">
        <v>11.4431196444973</v>
      </c>
    </row>
    <row r="6150">
      <c r="A6150" t="inlineStr">
        <is>
          <t>Late-demographic dividend</t>
        </is>
      </c>
      <c r="B6150" t="inlineStr">
        <is>
          <t>LTE</t>
        </is>
      </c>
      <c r="C6150" t="n">
        <v>1995</v>
      </c>
      <c r="D6150" t="n">
        <v>8.01292443952666</v>
      </c>
    </row>
    <row r="6151">
      <c r="A6151" t="inlineStr">
        <is>
          <t>Late-demographic dividend</t>
        </is>
      </c>
      <c r="B6151" t="inlineStr">
        <is>
          <t>LTE</t>
        </is>
      </c>
      <c r="C6151" t="n">
        <v>1996</v>
      </c>
      <c r="D6151" t="n">
        <v>7.22691489532406</v>
      </c>
    </row>
    <row r="6152">
      <c r="A6152" t="inlineStr">
        <is>
          <t>Late-demographic dividend</t>
        </is>
      </c>
      <c r="B6152" t="inlineStr">
        <is>
          <t>LTE</t>
        </is>
      </c>
      <c r="C6152" t="n">
        <v>1997</v>
      </c>
      <c r="D6152" t="n">
        <v>5.87983105743515</v>
      </c>
    </row>
    <row r="6153">
      <c r="A6153" t="inlineStr">
        <is>
          <t>Late-demographic dividend</t>
        </is>
      </c>
      <c r="B6153" t="inlineStr">
        <is>
          <t>LTE</t>
        </is>
      </c>
      <c r="C6153" t="n">
        <v>1998</v>
      </c>
      <c r="D6153" t="n">
        <v>5.44152554019984</v>
      </c>
    </row>
    <row r="6154">
      <c r="A6154" t="inlineStr">
        <is>
          <t>Late-demographic dividend</t>
        </is>
      </c>
      <c r="B6154" t="inlineStr">
        <is>
          <t>LTE</t>
        </is>
      </c>
      <c r="C6154" t="n">
        <v>1999</v>
      </c>
      <c r="D6154" t="n">
        <v>3.3880075420401</v>
      </c>
    </row>
    <row r="6155">
      <c r="A6155" t="inlineStr">
        <is>
          <t>Late-demographic dividend</t>
        </is>
      </c>
      <c r="B6155" t="inlineStr">
        <is>
          <t>LTE</t>
        </is>
      </c>
      <c r="C6155" t="n">
        <v>2000</v>
      </c>
      <c r="D6155" t="n">
        <v>4.10280983042328</v>
      </c>
    </row>
    <row r="6156">
      <c r="A6156" t="inlineStr">
        <is>
          <t>Late-demographic dividend</t>
        </is>
      </c>
      <c r="B6156" t="inlineStr">
        <is>
          <t>LTE</t>
        </is>
      </c>
      <c r="C6156" t="n">
        <v>2001</v>
      </c>
      <c r="D6156" t="n">
        <v>4.64604442058634</v>
      </c>
    </row>
    <row r="6157">
      <c r="A6157" t="inlineStr">
        <is>
          <t>Late-demographic dividend</t>
        </is>
      </c>
      <c r="B6157" t="inlineStr">
        <is>
          <t>LTE</t>
        </is>
      </c>
      <c r="C6157" t="n">
        <v>2002</v>
      </c>
      <c r="D6157" t="n">
        <v>2.80115505180747</v>
      </c>
    </row>
    <row r="6158">
      <c r="A6158" t="inlineStr">
        <is>
          <t>Late-demographic dividend</t>
        </is>
      </c>
      <c r="B6158" t="inlineStr">
        <is>
          <t>LTE</t>
        </is>
      </c>
      <c r="C6158" t="n">
        <v>2003</v>
      </c>
      <c r="D6158" t="n">
        <v>3.23464817293927</v>
      </c>
    </row>
    <row r="6159">
      <c r="A6159" t="inlineStr">
        <is>
          <t>Late-demographic dividend</t>
        </is>
      </c>
      <c r="B6159" t="inlineStr">
        <is>
          <t>LTE</t>
        </is>
      </c>
      <c r="C6159" t="n">
        <v>2004</v>
      </c>
      <c r="D6159" t="n">
        <v>3.85730391367399</v>
      </c>
    </row>
    <row r="6160">
      <c r="A6160" t="inlineStr">
        <is>
          <t>Late-demographic dividend</t>
        </is>
      </c>
      <c r="B6160" t="inlineStr">
        <is>
          <t>LTE</t>
        </is>
      </c>
      <c r="C6160" t="n">
        <v>2005</v>
      </c>
      <c r="D6160" t="n">
        <v>4.14297583631023</v>
      </c>
    </row>
    <row r="6161">
      <c r="A6161" t="inlineStr">
        <is>
          <t>Late-demographic dividend</t>
        </is>
      </c>
      <c r="B6161" t="inlineStr">
        <is>
          <t>LTE</t>
        </is>
      </c>
      <c r="C6161" t="n">
        <v>2006</v>
      </c>
      <c r="D6161" t="n">
        <v>4.3655220300907</v>
      </c>
    </row>
    <row r="6162">
      <c r="A6162" t="inlineStr">
        <is>
          <t>Late-demographic dividend</t>
        </is>
      </c>
      <c r="B6162" t="inlineStr">
        <is>
          <t>LTE</t>
        </is>
      </c>
      <c r="C6162" t="n">
        <v>2007</v>
      </c>
      <c r="D6162" t="n">
        <v>5.43875883876557</v>
      </c>
    </row>
    <row r="6163">
      <c r="A6163" t="inlineStr">
        <is>
          <t>Late-demographic dividend</t>
        </is>
      </c>
      <c r="B6163" t="inlineStr">
        <is>
          <t>LTE</t>
        </is>
      </c>
      <c r="C6163" t="n">
        <v>2008</v>
      </c>
      <c r="D6163" t="n">
        <v>8.955987051777839</v>
      </c>
    </row>
    <row r="6164">
      <c r="A6164" t="inlineStr">
        <is>
          <t>Late-demographic dividend</t>
        </is>
      </c>
      <c r="B6164" t="inlineStr">
        <is>
          <t>LTE</t>
        </is>
      </c>
      <c r="C6164" t="n">
        <v>2009</v>
      </c>
      <c r="D6164" t="n">
        <v>3.04166827698483</v>
      </c>
    </row>
    <row r="6165">
      <c r="A6165" t="inlineStr">
        <is>
          <t>Late-demographic dividend</t>
        </is>
      </c>
      <c r="B6165" t="inlineStr">
        <is>
          <t>LTE</t>
        </is>
      </c>
      <c r="C6165" t="n">
        <v>2010</v>
      </c>
      <c r="D6165" t="n">
        <v>3.29777961339846</v>
      </c>
    </row>
    <row r="6166">
      <c r="A6166" t="inlineStr">
        <is>
          <t>Late-demographic dividend</t>
        </is>
      </c>
      <c r="B6166" t="inlineStr">
        <is>
          <t>LTE</t>
        </is>
      </c>
      <c r="C6166" t="n">
        <v>2011</v>
      </c>
      <c r="D6166" t="n">
        <v>4.3707355993922</v>
      </c>
    </row>
    <row r="6167">
      <c r="A6167" t="inlineStr">
        <is>
          <t>Late-demographic dividend</t>
        </is>
      </c>
      <c r="B6167" t="inlineStr">
        <is>
          <t>LTE</t>
        </is>
      </c>
      <c r="C6167" t="n">
        <v>2012</v>
      </c>
      <c r="D6167" t="n">
        <v>3.31605566687647</v>
      </c>
    </row>
    <row r="6168">
      <c r="A6168" t="inlineStr">
        <is>
          <t>Late-demographic dividend</t>
        </is>
      </c>
      <c r="B6168" t="inlineStr">
        <is>
          <t>LTE</t>
        </is>
      </c>
      <c r="C6168" t="n">
        <v>2013</v>
      </c>
      <c r="D6168" t="n">
        <v>2.68229684085039</v>
      </c>
    </row>
    <row r="6169">
      <c r="A6169" t="inlineStr">
        <is>
          <t>Late-demographic dividend</t>
        </is>
      </c>
      <c r="B6169" t="inlineStr">
        <is>
          <t>LTE</t>
        </is>
      </c>
      <c r="C6169" t="n">
        <v>2014</v>
      </c>
      <c r="D6169" t="n">
        <v>2.04461481539333</v>
      </c>
    </row>
    <row r="6170">
      <c r="A6170" t="inlineStr">
        <is>
          <t>Late-demographic dividend</t>
        </is>
      </c>
      <c r="B6170" t="inlineStr">
        <is>
          <t>LTE</t>
        </is>
      </c>
      <c r="C6170" t="n">
        <v>2015</v>
      </c>
      <c r="D6170" t="n">
        <v>1.5579071134626</v>
      </c>
    </row>
    <row r="6171">
      <c r="A6171" t="inlineStr">
        <is>
          <t>Late-demographic dividend</t>
        </is>
      </c>
      <c r="B6171" t="inlineStr">
        <is>
          <t>LTE</t>
        </is>
      </c>
      <c r="C6171" t="n">
        <v>2016</v>
      </c>
      <c r="D6171" t="n">
        <v>0.977675134719049</v>
      </c>
    </row>
    <row r="6172">
      <c r="A6172" t="inlineStr">
        <is>
          <t>Late-demographic dividend</t>
        </is>
      </c>
      <c r="B6172" t="inlineStr">
        <is>
          <t>LTE</t>
        </is>
      </c>
      <c r="C6172" t="n">
        <v>2017</v>
      </c>
      <c r="D6172" t="n">
        <v>2.17727572689263</v>
      </c>
    </row>
    <row r="6173">
      <c r="A6173" t="inlineStr">
        <is>
          <t>Late-demographic dividend</t>
        </is>
      </c>
      <c r="B6173" t="inlineStr">
        <is>
          <t>LTE</t>
        </is>
      </c>
      <c r="C6173" t="n">
        <v>2018</v>
      </c>
      <c r="D6173" t="n">
        <v>2.47446347118434</v>
      </c>
    </row>
    <row r="6174">
      <c r="A6174" t="inlineStr">
        <is>
          <t>Late-demographic dividend</t>
        </is>
      </c>
      <c r="B6174" t="inlineStr">
        <is>
          <t>LTE</t>
        </is>
      </c>
      <c r="C6174" t="n">
        <v>2019</v>
      </c>
      <c r="D6174" t="n">
        <v>2.16176258133054</v>
      </c>
    </row>
    <row r="6175">
      <c r="A6175" t="inlineStr">
        <is>
          <t>Late-demographic dividend</t>
        </is>
      </c>
      <c r="B6175" t="inlineStr">
        <is>
          <t>LTE</t>
        </is>
      </c>
      <c r="C6175" t="n">
        <v>2020</v>
      </c>
      <c r="D6175" t="n">
        <v>1.93694126694223</v>
      </c>
    </row>
    <row r="6176">
      <c r="A6176" t="inlineStr">
        <is>
          <t>Late-demographic dividend</t>
        </is>
      </c>
      <c r="B6176" t="inlineStr">
        <is>
          <t>LTE</t>
        </is>
      </c>
      <c r="C6176" t="n">
        <v>2021</v>
      </c>
      <c r="D6176" t="n">
        <v>3.49505757399448</v>
      </c>
    </row>
    <row r="6177">
      <c r="A6177" t="inlineStr">
        <is>
          <t>Late-demographic dividend</t>
        </is>
      </c>
      <c r="B6177" t="inlineStr">
        <is>
          <t>LTE</t>
        </is>
      </c>
      <c r="C6177" t="n">
        <v>2022</v>
      </c>
      <c r="D6177" t="n">
        <v>8.518197034835939</v>
      </c>
    </row>
    <row r="6178">
      <c r="A6178" t="inlineStr">
        <is>
          <t>Late-demographic dividend</t>
        </is>
      </c>
      <c r="B6178" t="inlineStr">
        <is>
          <t>LTE</t>
        </is>
      </c>
      <c r="C6178" t="n">
        <v>2023</v>
      </c>
      <c r="D6178" t="n">
        <v>5.9801225620013</v>
      </c>
    </row>
    <row r="6179">
      <c r="A6179" t="inlineStr">
        <is>
          <t>Lithuania</t>
        </is>
      </c>
      <c r="B6179" t="inlineStr">
        <is>
          <t>LTU</t>
        </is>
      </c>
      <c r="C6179" t="n">
        <v>1992</v>
      </c>
      <c r="D6179" t="n">
        <v>1020.62056524354</v>
      </c>
    </row>
    <row r="6180">
      <c r="A6180" t="inlineStr">
        <is>
          <t>Lithuania</t>
        </is>
      </c>
      <c r="B6180" t="inlineStr">
        <is>
          <t>LTU</t>
        </is>
      </c>
      <c r="C6180" t="n">
        <v>1993</v>
      </c>
      <c r="D6180" t="n">
        <v>410.451858561316</v>
      </c>
    </row>
    <row r="6181">
      <c r="A6181" t="inlineStr">
        <is>
          <t>Lithuania</t>
        </is>
      </c>
      <c r="B6181" t="inlineStr">
        <is>
          <t>LTU</t>
        </is>
      </c>
      <c r="C6181" t="n">
        <v>1994</v>
      </c>
      <c r="D6181" t="n">
        <v>72.2546816164428</v>
      </c>
    </row>
    <row r="6182">
      <c r="A6182" t="inlineStr">
        <is>
          <t>Lithuania</t>
        </is>
      </c>
      <c r="B6182" t="inlineStr">
        <is>
          <t>LTU</t>
        </is>
      </c>
      <c r="C6182" t="n">
        <v>1995</v>
      </c>
      <c r="D6182" t="n">
        <v>39.6476290328289</v>
      </c>
    </row>
    <row r="6183">
      <c r="A6183" t="inlineStr">
        <is>
          <t>Lithuania</t>
        </is>
      </c>
      <c r="B6183" t="inlineStr">
        <is>
          <t>LTU</t>
        </is>
      </c>
      <c r="C6183" t="n">
        <v>1996</v>
      </c>
      <c r="D6183" t="n">
        <v>24.62519538645</v>
      </c>
    </row>
    <row r="6184">
      <c r="A6184" t="inlineStr">
        <is>
          <t>Lithuania</t>
        </is>
      </c>
      <c r="B6184" t="inlineStr">
        <is>
          <t>LTU</t>
        </is>
      </c>
      <c r="C6184" t="n">
        <v>1997</v>
      </c>
      <c r="D6184" t="n">
        <v>8.881048484658921</v>
      </c>
    </row>
    <row r="6185">
      <c r="A6185" t="inlineStr">
        <is>
          <t>Lithuania</t>
        </is>
      </c>
      <c r="B6185" t="inlineStr">
        <is>
          <t>LTU</t>
        </is>
      </c>
      <c r="C6185" t="n">
        <v>1998</v>
      </c>
      <c r="D6185" t="n">
        <v>5.06755385841968</v>
      </c>
    </row>
    <row r="6186">
      <c r="A6186" t="inlineStr">
        <is>
          <t>Lithuania</t>
        </is>
      </c>
      <c r="B6186" t="inlineStr">
        <is>
          <t>LTU</t>
        </is>
      </c>
      <c r="C6186" t="n">
        <v>1999</v>
      </c>
      <c r="D6186" t="n">
        <v>0.727550626557424</v>
      </c>
    </row>
    <row r="6187">
      <c r="A6187" t="inlineStr">
        <is>
          <t>Lithuania</t>
        </is>
      </c>
      <c r="B6187" t="inlineStr">
        <is>
          <t>LTU</t>
        </is>
      </c>
      <c r="C6187" t="n">
        <v>2000</v>
      </c>
      <c r="D6187" t="n">
        <v>0.981615478857598</v>
      </c>
    </row>
    <row r="6188">
      <c r="A6188" t="inlineStr">
        <is>
          <t>Lithuania</t>
        </is>
      </c>
      <c r="B6188" t="inlineStr">
        <is>
          <t>LTU</t>
        </is>
      </c>
      <c r="C6188" t="n">
        <v>2001</v>
      </c>
      <c r="D6188" t="n">
        <v>1.36712030817819</v>
      </c>
    </row>
    <row r="6189">
      <c r="A6189" t="inlineStr">
        <is>
          <t>Lithuania</t>
        </is>
      </c>
      <c r="B6189" t="inlineStr">
        <is>
          <t>LTU</t>
        </is>
      </c>
      <c r="C6189" t="n">
        <v>2002</v>
      </c>
      <c r="D6189" t="n">
        <v>0.281506610345575</v>
      </c>
    </row>
    <row r="6190">
      <c r="A6190" t="inlineStr">
        <is>
          <t>Lithuania</t>
        </is>
      </c>
      <c r="B6190" t="inlineStr">
        <is>
          <t>LTU</t>
        </is>
      </c>
      <c r="C6190" t="n">
        <v>2003</v>
      </c>
      <c r="D6190" t="n">
        <v>-1.13430854990247</v>
      </c>
    </row>
    <row r="6191">
      <c r="A6191" t="inlineStr">
        <is>
          <t>Lithuania</t>
        </is>
      </c>
      <c r="B6191" t="inlineStr">
        <is>
          <t>LTU</t>
        </is>
      </c>
      <c r="C6191" t="n">
        <v>2004</v>
      </c>
      <c r="D6191" t="n">
        <v>1.16410252104671</v>
      </c>
    </row>
    <row r="6192">
      <c r="A6192" t="inlineStr">
        <is>
          <t>Lithuania</t>
        </is>
      </c>
      <c r="B6192" t="inlineStr">
        <is>
          <t>LTU</t>
        </is>
      </c>
      <c r="C6192" t="n">
        <v>2005</v>
      </c>
      <c r="D6192" t="n">
        <v>2.65848484065262</v>
      </c>
    </row>
    <row r="6193">
      <c r="A6193" t="inlineStr">
        <is>
          <t>Lithuania</t>
        </is>
      </c>
      <c r="B6193" t="inlineStr">
        <is>
          <t>LTU</t>
        </is>
      </c>
      <c r="C6193" t="n">
        <v>2006</v>
      </c>
      <c r="D6193" t="n">
        <v>3.73912004060664</v>
      </c>
    </row>
    <row r="6194">
      <c r="A6194" t="inlineStr">
        <is>
          <t>Lithuania</t>
        </is>
      </c>
      <c r="B6194" t="inlineStr">
        <is>
          <t>LTU</t>
        </is>
      </c>
      <c r="C6194" t="n">
        <v>2007</v>
      </c>
      <c r="D6194" t="n">
        <v>5.73717382799842</v>
      </c>
    </row>
    <row r="6195">
      <c r="A6195" t="inlineStr">
        <is>
          <t>Lithuania</t>
        </is>
      </c>
      <c r="B6195" t="inlineStr">
        <is>
          <t>LTU</t>
        </is>
      </c>
      <c r="C6195" t="n">
        <v>2008</v>
      </c>
      <c r="D6195" t="n">
        <v>10.9258856241655</v>
      </c>
    </row>
    <row r="6196">
      <c r="A6196" t="inlineStr">
        <is>
          <t>Lithuania</t>
        </is>
      </c>
      <c r="B6196" t="inlineStr">
        <is>
          <t>LTU</t>
        </is>
      </c>
      <c r="C6196" t="n">
        <v>2009</v>
      </c>
      <c r="D6196" t="n">
        <v>4.45304456518535</v>
      </c>
    </row>
    <row r="6197">
      <c r="A6197" t="inlineStr">
        <is>
          <t>Lithuania</t>
        </is>
      </c>
      <c r="B6197" t="inlineStr">
        <is>
          <t>LTU</t>
        </is>
      </c>
      <c r="C6197" t="n">
        <v>2010</v>
      </c>
      <c r="D6197" t="n">
        <v>1.31921362055463</v>
      </c>
    </row>
    <row r="6198">
      <c r="A6198" t="inlineStr">
        <is>
          <t>Lithuania</t>
        </is>
      </c>
      <c r="B6198" t="inlineStr">
        <is>
          <t>LTU</t>
        </is>
      </c>
      <c r="C6198" t="n">
        <v>2011</v>
      </c>
      <c r="D6198" t="n">
        <v>4.13027562645085</v>
      </c>
    </row>
    <row r="6199">
      <c r="A6199" t="inlineStr">
        <is>
          <t>Lithuania</t>
        </is>
      </c>
      <c r="B6199" t="inlineStr">
        <is>
          <t>LTU</t>
        </is>
      </c>
      <c r="C6199" t="n">
        <v>2012</v>
      </c>
      <c r="D6199" t="n">
        <v>3.08998277055417</v>
      </c>
    </row>
    <row r="6200">
      <c r="A6200" t="inlineStr">
        <is>
          <t>Lithuania</t>
        </is>
      </c>
      <c r="B6200" t="inlineStr">
        <is>
          <t>LTU</t>
        </is>
      </c>
      <c r="C6200" t="n">
        <v>2013</v>
      </c>
      <c r="D6200" t="n">
        <v>1.04747937065344</v>
      </c>
    </row>
    <row r="6201">
      <c r="A6201" t="inlineStr">
        <is>
          <t>Lithuania</t>
        </is>
      </c>
      <c r="B6201" t="inlineStr">
        <is>
          <t>LTU</t>
        </is>
      </c>
      <c r="C6201" t="n">
        <v>2014</v>
      </c>
      <c r="D6201" t="n">
        <v>0.103758009433708</v>
      </c>
    </row>
    <row r="6202">
      <c r="A6202" t="inlineStr">
        <is>
          <t>Lithuania</t>
        </is>
      </c>
      <c r="B6202" t="inlineStr">
        <is>
          <t>LTU</t>
        </is>
      </c>
      <c r="C6202" t="n">
        <v>2015</v>
      </c>
      <c r="D6202" t="n">
        <v>-0.884097405500596</v>
      </c>
    </row>
    <row r="6203">
      <c r="A6203" t="inlineStr">
        <is>
          <t>Lithuania</t>
        </is>
      </c>
      <c r="B6203" t="inlineStr">
        <is>
          <t>LTU</t>
        </is>
      </c>
      <c r="C6203" t="n">
        <v>2016</v>
      </c>
      <c r="D6203" t="n">
        <v>0.905525075460342</v>
      </c>
    </row>
    <row r="6204">
      <c r="A6204" t="inlineStr">
        <is>
          <t>Lithuania</t>
        </is>
      </c>
      <c r="B6204" t="inlineStr">
        <is>
          <t>LTU</t>
        </is>
      </c>
      <c r="C6204" t="n">
        <v>2017</v>
      </c>
      <c r="D6204" t="n">
        <v>3.72288862303707</v>
      </c>
    </row>
    <row r="6205">
      <c r="A6205" t="inlineStr">
        <is>
          <t>Lithuania</t>
        </is>
      </c>
      <c r="B6205" t="inlineStr">
        <is>
          <t>LTU</t>
        </is>
      </c>
      <c r="C6205" t="n">
        <v>2018</v>
      </c>
      <c r="D6205" t="n">
        <v>2.69792779208394</v>
      </c>
    </row>
    <row r="6206">
      <c r="A6206" t="inlineStr">
        <is>
          <t>Lithuania</t>
        </is>
      </c>
      <c r="B6206" t="inlineStr">
        <is>
          <t>LTU</t>
        </is>
      </c>
      <c r="C6206" t="n">
        <v>2019</v>
      </c>
      <c r="D6206" t="n">
        <v>2.33450937988027</v>
      </c>
    </row>
    <row r="6207">
      <c r="A6207" t="inlineStr">
        <is>
          <t>Lithuania</t>
        </is>
      </c>
      <c r="B6207" t="inlineStr">
        <is>
          <t>LTU</t>
        </is>
      </c>
      <c r="C6207" t="n">
        <v>2020</v>
      </c>
      <c r="D6207" t="n">
        <v>1.19989444983569</v>
      </c>
    </row>
    <row r="6208">
      <c r="A6208" t="inlineStr">
        <is>
          <t>Lithuania</t>
        </is>
      </c>
      <c r="B6208" t="inlineStr">
        <is>
          <t>LTU</t>
        </is>
      </c>
      <c r="C6208" t="n">
        <v>2021</v>
      </c>
      <c r="D6208" t="n">
        <v>4.68354420903453</v>
      </c>
    </row>
    <row r="6209">
      <c r="A6209" t="inlineStr">
        <is>
          <t>Lithuania</t>
        </is>
      </c>
      <c r="B6209" t="inlineStr">
        <is>
          <t>LTU</t>
        </is>
      </c>
      <c r="C6209" t="n">
        <v>2022</v>
      </c>
      <c r="D6209" t="n">
        <v>19.7050461518394</v>
      </c>
    </row>
    <row r="6210">
      <c r="A6210" t="inlineStr">
        <is>
          <t>Lithuania</t>
        </is>
      </c>
      <c r="B6210" t="inlineStr">
        <is>
          <t>LTU</t>
        </is>
      </c>
      <c r="C6210" t="n">
        <v>2023</v>
      </c>
      <c r="D6210" t="n">
        <v>9.11731962390475</v>
      </c>
    </row>
    <row r="6211">
      <c r="A6211" t="inlineStr">
        <is>
          <t>Lithuania</t>
        </is>
      </c>
      <c r="B6211" t="inlineStr">
        <is>
          <t>LTU</t>
        </is>
      </c>
      <c r="C6211" t="n">
        <v>2024</v>
      </c>
      <c r="D6211" t="n">
        <v>0.715735835228723</v>
      </c>
    </row>
    <row r="6212">
      <c r="A6212" t="inlineStr">
        <is>
          <t>Luxembourg</t>
        </is>
      </c>
      <c r="B6212" t="inlineStr">
        <is>
          <t>LUX</t>
        </is>
      </c>
      <c r="C6212" t="n">
        <v>1960</v>
      </c>
      <c r="D6212" t="n">
        <v>0.449620296389857</v>
      </c>
    </row>
    <row r="6213">
      <c r="A6213" t="inlineStr">
        <is>
          <t>Luxembourg</t>
        </is>
      </c>
      <c r="B6213" t="inlineStr">
        <is>
          <t>LUX</t>
        </is>
      </c>
      <c r="C6213" t="n">
        <v>1961</v>
      </c>
      <c r="D6213" t="n">
        <v>0.48243359063082</v>
      </c>
    </row>
    <row r="6214">
      <c r="A6214" t="inlineStr">
        <is>
          <t>Luxembourg</t>
        </is>
      </c>
      <c r="B6214" t="inlineStr">
        <is>
          <t>LUX</t>
        </is>
      </c>
      <c r="C6214" t="n">
        <v>1962</v>
      </c>
      <c r="D6214" t="n">
        <v>0.895946647339897</v>
      </c>
    </row>
    <row r="6215">
      <c r="A6215" t="inlineStr">
        <is>
          <t>Luxembourg</t>
        </is>
      </c>
      <c r="B6215" t="inlineStr">
        <is>
          <t>LUX</t>
        </is>
      </c>
      <c r="C6215" t="n">
        <v>1963</v>
      </c>
      <c r="D6215" t="n">
        <v>2.87632246212668</v>
      </c>
    </row>
    <row r="6216">
      <c r="A6216" t="inlineStr">
        <is>
          <t>Luxembourg</t>
        </is>
      </c>
      <c r="B6216" t="inlineStr">
        <is>
          <t>LUX</t>
        </is>
      </c>
      <c r="C6216" t="n">
        <v>1964</v>
      </c>
      <c r="D6216" t="n">
        <v>3.09638151245736</v>
      </c>
    </row>
    <row r="6217">
      <c r="A6217" t="inlineStr">
        <is>
          <t>Luxembourg</t>
        </is>
      </c>
      <c r="B6217" t="inlineStr">
        <is>
          <t>LUX</t>
        </is>
      </c>
      <c r="C6217" t="n">
        <v>1965</v>
      </c>
      <c r="D6217" t="n">
        <v>3.33367932929353</v>
      </c>
    </row>
    <row r="6218">
      <c r="A6218" t="inlineStr">
        <is>
          <t>Luxembourg</t>
        </is>
      </c>
      <c r="B6218" t="inlineStr">
        <is>
          <t>LUX</t>
        </is>
      </c>
      <c r="C6218" t="n">
        <v>1966</v>
      </c>
      <c r="D6218" t="n">
        <v>3.33167977254562</v>
      </c>
    </row>
    <row r="6219">
      <c r="A6219" t="inlineStr">
        <is>
          <t>Luxembourg</t>
        </is>
      </c>
      <c r="B6219" t="inlineStr">
        <is>
          <t>LUX</t>
        </is>
      </c>
      <c r="C6219" t="n">
        <v>1967</v>
      </c>
      <c r="D6219" t="n">
        <v>2.16615698739849</v>
      </c>
    </row>
    <row r="6220">
      <c r="A6220" t="inlineStr">
        <is>
          <t>Luxembourg</t>
        </is>
      </c>
      <c r="B6220" t="inlineStr">
        <is>
          <t>LUX</t>
        </is>
      </c>
      <c r="C6220" t="n">
        <v>1968</v>
      </c>
      <c r="D6220" t="n">
        <v>2.62542908963153</v>
      </c>
    </row>
    <row r="6221">
      <c r="A6221" t="inlineStr">
        <is>
          <t>Luxembourg</t>
        </is>
      </c>
      <c r="B6221" t="inlineStr">
        <is>
          <t>LUX</t>
        </is>
      </c>
      <c r="C6221" t="n">
        <v>1969</v>
      </c>
      <c r="D6221" t="n">
        <v>2.29443437047165</v>
      </c>
    </row>
    <row r="6222">
      <c r="A6222" t="inlineStr">
        <is>
          <t>Luxembourg</t>
        </is>
      </c>
      <c r="B6222" t="inlineStr">
        <is>
          <t>LUX</t>
        </is>
      </c>
      <c r="C6222" t="n">
        <v>1970</v>
      </c>
      <c r="D6222" t="n">
        <v>4.63935344389948</v>
      </c>
    </row>
    <row r="6223">
      <c r="A6223" t="inlineStr">
        <is>
          <t>Luxembourg</t>
        </is>
      </c>
      <c r="B6223" t="inlineStr">
        <is>
          <t>LUX</t>
        </is>
      </c>
      <c r="C6223" t="n">
        <v>1971</v>
      </c>
      <c r="D6223" t="n">
        <v>4.67221498041397</v>
      </c>
    </row>
    <row r="6224">
      <c r="A6224" t="inlineStr">
        <is>
          <t>Luxembourg</t>
        </is>
      </c>
      <c r="B6224" t="inlineStr">
        <is>
          <t>LUX</t>
        </is>
      </c>
      <c r="C6224" t="n">
        <v>1972</v>
      </c>
      <c r="D6224" t="n">
        <v>5.22568050555548</v>
      </c>
    </row>
    <row r="6225">
      <c r="A6225" t="inlineStr">
        <is>
          <t>Luxembourg</t>
        </is>
      </c>
      <c r="B6225" t="inlineStr">
        <is>
          <t>LUX</t>
        </is>
      </c>
      <c r="C6225" t="n">
        <v>1973</v>
      </c>
      <c r="D6225" t="n">
        <v>6.06809835910203</v>
      </c>
    </row>
    <row r="6226">
      <c r="A6226" t="inlineStr">
        <is>
          <t>Luxembourg</t>
        </is>
      </c>
      <c r="B6226" t="inlineStr">
        <is>
          <t>LUX</t>
        </is>
      </c>
      <c r="C6226" t="n">
        <v>1974</v>
      </c>
      <c r="D6226" t="n">
        <v>9.540655416605929</v>
      </c>
    </row>
    <row r="6227">
      <c r="A6227" t="inlineStr">
        <is>
          <t>Luxembourg</t>
        </is>
      </c>
      <c r="B6227" t="inlineStr">
        <is>
          <t>LUX</t>
        </is>
      </c>
      <c r="C6227" t="n">
        <v>1975</v>
      </c>
      <c r="D6227" t="n">
        <v>10.7176711339197</v>
      </c>
    </row>
    <row r="6228">
      <c r="A6228" t="inlineStr">
        <is>
          <t>Luxembourg</t>
        </is>
      </c>
      <c r="B6228" t="inlineStr">
        <is>
          <t>LUX</t>
        </is>
      </c>
      <c r="C6228" t="n">
        <v>1976</v>
      </c>
      <c r="D6228" t="n">
        <v>9.797346437162959</v>
      </c>
    </row>
    <row r="6229">
      <c r="A6229" t="inlineStr">
        <is>
          <t>Luxembourg</t>
        </is>
      </c>
      <c r="B6229" t="inlineStr">
        <is>
          <t>LUX</t>
        </is>
      </c>
      <c r="C6229" t="n">
        <v>1977</v>
      </c>
      <c r="D6229" t="n">
        <v>6.70549411450666</v>
      </c>
    </row>
    <row r="6230">
      <c r="A6230" t="inlineStr">
        <is>
          <t>Luxembourg</t>
        </is>
      </c>
      <c r="B6230" t="inlineStr">
        <is>
          <t>LUX</t>
        </is>
      </c>
      <c r="C6230" t="n">
        <v>1978</v>
      </c>
      <c r="D6230" t="n">
        <v>3.09466077424648</v>
      </c>
    </row>
    <row r="6231">
      <c r="A6231" t="inlineStr">
        <is>
          <t>Luxembourg</t>
        </is>
      </c>
      <c r="B6231" t="inlineStr">
        <is>
          <t>LUX</t>
        </is>
      </c>
      <c r="C6231" t="n">
        <v>1979</v>
      </c>
      <c r="D6231" t="n">
        <v>4.54652779042165</v>
      </c>
    </row>
    <row r="6232">
      <c r="A6232" t="inlineStr">
        <is>
          <t>Luxembourg</t>
        </is>
      </c>
      <c r="B6232" t="inlineStr">
        <is>
          <t>LUX</t>
        </is>
      </c>
      <c r="C6232" t="n">
        <v>1980</v>
      </c>
      <c r="D6232" t="n">
        <v>6.29990006244593</v>
      </c>
    </row>
    <row r="6233">
      <c r="A6233" t="inlineStr">
        <is>
          <t>Luxembourg</t>
        </is>
      </c>
      <c r="B6233" t="inlineStr">
        <is>
          <t>LUX</t>
        </is>
      </c>
      <c r="C6233" t="n">
        <v>1981</v>
      </c>
      <c r="D6233" t="n">
        <v>8.07294375934595</v>
      </c>
    </row>
    <row r="6234">
      <c r="A6234" t="inlineStr">
        <is>
          <t>Luxembourg</t>
        </is>
      </c>
      <c r="B6234" t="inlineStr">
        <is>
          <t>LUX</t>
        </is>
      </c>
      <c r="C6234" t="n">
        <v>1982</v>
      </c>
      <c r="D6234" t="n">
        <v>9.35705099427382</v>
      </c>
    </row>
    <row r="6235">
      <c r="A6235" t="inlineStr">
        <is>
          <t>Luxembourg</t>
        </is>
      </c>
      <c r="B6235" t="inlineStr">
        <is>
          <t>LUX</t>
        </is>
      </c>
      <c r="C6235" t="n">
        <v>1983</v>
      </c>
      <c r="D6235" t="n">
        <v>8.669271598085221</v>
      </c>
    </row>
    <row r="6236">
      <c r="A6236" t="inlineStr">
        <is>
          <t>Luxembourg</t>
        </is>
      </c>
      <c r="B6236" t="inlineStr">
        <is>
          <t>LUX</t>
        </is>
      </c>
      <c r="C6236" t="n">
        <v>1984</v>
      </c>
      <c r="D6236" t="n">
        <v>6.43585780786993</v>
      </c>
    </row>
    <row r="6237">
      <c r="A6237" t="inlineStr">
        <is>
          <t>Luxembourg</t>
        </is>
      </c>
      <c r="B6237" t="inlineStr">
        <is>
          <t>LUX</t>
        </is>
      </c>
      <c r="C6237" t="n">
        <v>1985</v>
      </c>
      <c r="D6237" t="n">
        <v>4.09358778530093</v>
      </c>
    </row>
    <row r="6238">
      <c r="A6238" t="inlineStr">
        <is>
          <t>Luxembourg</t>
        </is>
      </c>
      <c r="B6238" t="inlineStr">
        <is>
          <t>LUX</t>
        </is>
      </c>
      <c r="C6238" t="n">
        <v>1986</v>
      </c>
      <c r="D6238" t="n">
        <v>0.294563408545436</v>
      </c>
    </row>
    <row r="6239">
      <c r="A6239" t="inlineStr">
        <is>
          <t>Luxembourg</t>
        </is>
      </c>
      <c r="B6239" t="inlineStr">
        <is>
          <t>LUX</t>
        </is>
      </c>
      <c r="C6239" t="n">
        <v>1987</v>
      </c>
      <c r="D6239" t="n">
        <v>-0.0566629093891044</v>
      </c>
    </row>
    <row r="6240">
      <c r="A6240" t="inlineStr">
        <is>
          <t>Luxembourg</t>
        </is>
      </c>
      <c r="B6240" t="inlineStr">
        <is>
          <t>LUX</t>
        </is>
      </c>
      <c r="C6240" t="n">
        <v>1988</v>
      </c>
      <c r="D6240" t="n">
        <v>1.43659056634904</v>
      </c>
    </row>
    <row r="6241">
      <c r="A6241" t="inlineStr">
        <is>
          <t>Luxembourg</t>
        </is>
      </c>
      <c r="B6241" t="inlineStr">
        <is>
          <t>LUX</t>
        </is>
      </c>
      <c r="C6241" t="n">
        <v>1989</v>
      </c>
      <c r="D6241" t="n">
        <v>3.37095887290443</v>
      </c>
    </row>
    <row r="6242">
      <c r="A6242" t="inlineStr">
        <is>
          <t>Luxembourg</t>
        </is>
      </c>
      <c r="B6242" t="inlineStr">
        <is>
          <t>LUX</t>
        </is>
      </c>
      <c r="C6242" t="n">
        <v>1990</v>
      </c>
      <c r="D6242" t="n">
        <v>3.25376659083639</v>
      </c>
    </row>
    <row r="6243">
      <c r="A6243" t="inlineStr">
        <is>
          <t>Luxembourg</t>
        </is>
      </c>
      <c r="B6243" t="inlineStr">
        <is>
          <t>LUX</t>
        </is>
      </c>
      <c r="C6243" t="n">
        <v>1991</v>
      </c>
      <c r="D6243" t="n">
        <v>3.11835659874851</v>
      </c>
    </row>
    <row r="6244">
      <c r="A6244" t="inlineStr">
        <is>
          <t>Luxembourg</t>
        </is>
      </c>
      <c r="B6244" t="inlineStr">
        <is>
          <t>LUX</t>
        </is>
      </c>
      <c r="C6244" t="n">
        <v>1992</v>
      </c>
      <c r="D6244" t="n">
        <v>3.15417375961789</v>
      </c>
    </row>
    <row r="6245">
      <c r="A6245" t="inlineStr">
        <is>
          <t>Luxembourg</t>
        </is>
      </c>
      <c r="B6245" t="inlineStr">
        <is>
          <t>LUX</t>
        </is>
      </c>
      <c r="C6245" t="n">
        <v>1993</v>
      </c>
      <c r="D6245" t="n">
        <v>3.58809818535164</v>
      </c>
    </row>
    <row r="6246">
      <c r="A6246" t="inlineStr">
        <is>
          <t>Luxembourg</t>
        </is>
      </c>
      <c r="B6246" t="inlineStr">
        <is>
          <t>LUX</t>
        </is>
      </c>
      <c r="C6246" t="n">
        <v>1994</v>
      </c>
      <c r="D6246" t="n">
        <v>2.1947646868907</v>
      </c>
    </row>
    <row r="6247">
      <c r="A6247" t="inlineStr">
        <is>
          <t>Luxembourg</t>
        </is>
      </c>
      <c r="B6247" t="inlineStr">
        <is>
          <t>LUX</t>
        </is>
      </c>
      <c r="C6247" t="n">
        <v>1995</v>
      </c>
      <c r="D6247" t="n">
        <v>1.86769424969105</v>
      </c>
    </row>
    <row r="6248">
      <c r="A6248" t="inlineStr">
        <is>
          <t>Luxembourg</t>
        </is>
      </c>
      <c r="B6248" t="inlineStr">
        <is>
          <t>LUX</t>
        </is>
      </c>
      <c r="C6248" t="n">
        <v>1996</v>
      </c>
      <c r="D6248" t="n">
        <v>1.18385968843571</v>
      </c>
    </row>
    <row r="6249">
      <c r="A6249" t="inlineStr">
        <is>
          <t>Luxembourg</t>
        </is>
      </c>
      <c r="B6249" t="inlineStr">
        <is>
          <t>LUX</t>
        </is>
      </c>
      <c r="C6249" t="n">
        <v>1997</v>
      </c>
      <c r="D6249" t="n">
        <v>1.36751261207943</v>
      </c>
    </row>
    <row r="6250">
      <c r="A6250" t="inlineStr">
        <is>
          <t>Luxembourg</t>
        </is>
      </c>
      <c r="B6250" t="inlineStr">
        <is>
          <t>LUX</t>
        </is>
      </c>
      <c r="C6250" t="n">
        <v>1998</v>
      </c>
      <c r="D6250" t="n">
        <v>0.958570110494674</v>
      </c>
    </row>
    <row r="6251">
      <c r="A6251" t="inlineStr">
        <is>
          <t>Luxembourg</t>
        </is>
      </c>
      <c r="B6251" t="inlineStr">
        <is>
          <t>LUX</t>
        </is>
      </c>
      <c r="C6251" t="n">
        <v>1999</v>
      </c>
      <c r="D6251" t="n">
        <v>1.02519676474932</v>
      </c>
    </row>
    <row r="6252">
      <c r="A6252" t="inlineStr">
        <is>
          <t>Luxembourg</t>
        </is>
      </c>
      <c r="B6252" t="inlineStr">
        <is>
          <t>LUX</t>
        </is>
      </c>
      <c r="C6252" t="n">
        <v>2000</v>
      </c>
      <c r="D6252" t="n">
        <v>3.15076707022592</v>
      </c>
    </row>
    <row r="6253">
      <c r="A6253" t="inlineStr">
        <is>
          <t>Luxembourg</t>
        </is>
      </c>
      <c r="B6253" t="inlineStr">
        <is>
          <t>LUX</t>
        </is>
      </c>
      <c r="C6253" t="n">
        <v>2001</v>
      </c>
      <c r="D6253" t="n">
        <v>2.66382110579103</v>
      </c>
    </row>
    <row r="6254">
      <c r="A6254" t="inlineStr">
        <is>
          <t>Luxembourg</t>
        </is>
      </c>
      <c r="B6254" t="inlineStr">
        <is>
          <t>LUX</t>
        </is>
      </c>
      <c r="C6254" t="n">
        <v>2002</v>
      </c>
      <c r="D6254" t="n">
        <v>2.07408613571643</v>
      </c>
    </row>
    <row r="6255">
      <c r="A6255" t="inlineStr">
        <is>
          <t>Luxembourg</t>
        </is>
      </c>
      <c r="B6255" t="inlineStr">
        <is>
          <t>LUX</t>
        </is>
      </c>
      <c r="C6255" t="n">
        <v>2003</v>
      </c>
      <c r="D6255" t="n">
        <v>2.04984030563518</v>
      </c>
    </row>
    <row r="6256">
      <c r="A6256" t="inlineStr">
        <is>
          <t>Luxembourg</t>
        </is>
      </c>
      <c r="B6256" t="inlineStr">
        <is>
          <t>LUX</t>
        </is>
      </c>
      <c r="C6256" t="n">
        <v>2004</v>
      </c>
      <c r="D6256" t="n">
        <v>2.22567916428889</v>
      </c>
    </row>
    <row r="6257">
      <c r="A6257" t="inlineStr">
        <is>
          <t>Luxembourg</t>
        </is>
      </c>
      <c r="B6257" t="inlineStr">
        <is>
          <t>LUX</t>
        </is>
      </c>
      <c r="C6257" t="n">
        <v>2005</v>
      </c>
      <c r="D6257" t="n">
        <v>2.48769665164088</v>
      </c>
    </row>
    <row r="6258">
      <c r="A6258" t="inlineStr">
        <is>
          <t>Luxembourg</t>
        </is>
      </c>
      <c r="B6258" t="inlineStr">
        <is>
          <t>LUX</t>
        </is>
      </c>
      <c r="C6258" t="n">
        <v>2006</v>
      </c>
      <c r="D6258" t="n">
        <v>2.66631494577069</v>
      </c>
    </row>
    <row r="6259">
      <c r="A6259" t="inlineStr">
        <is>
          <t>Luxembourg</t>
        </is>
      </c>
      <c r="B6259" t="inlineStr">
        <is>
          <t>LUX</t>
        </is>
      </c>
      <c r="C6259" t="n">
        <v>2007</v>
      </c>
      <c r="D6259" t="n">
        <v>2.31245861786127</v>
      </c>
    </row>
    <row r="6260">
      <c r="A6260" t="inlineStr">
        <is>
          <t>Luxembourg</t>
        </is>
      </c>
      <c r="B6260" t="inlineStr">
        <is>
          <t>LUX</t>
        </is>
      </c>
      <c r="C6260" t="n">
        <v>2008</v>
      </c>
      <c r="D6260" t="n">
        <v>3.40187963025571</v>
      </c>
    </row>
    <row r="6261">
      <c r="A6261" t="inlineStr">
        <is>
          <t>Luxembourg</t>
        </is>
      </c>
      <c r="B6261" t="inlineStr">
        <is>
          <t>LUX</t>
        </is>
      </c>
      <c r="C6261" t="n">
        <v>2009</v>
      </c>
      <c r="D6261" t="n">
        <v>0.368041997888887</v>
      </c>
    </row>
    <row r="6262">
      <c r="A6262" t="inlineStr">
        <is>
          <t>Luxembourg</t>
        </is>
      </c>
      <c r="B6262" t="inlineStr">
        <is>
          <t>LUX</t>
        </is>
      </c>
      <c r="C6262" t="n">
        <v>2010</v>
      </c>
      <c r="D6262" t="n">
        <v>2.2736791162154</v>
      </c>
    </row>
    <row r="6263">
      <c r="A6263" t="inlineStr">
        <is>
          <t>Luxembourg</t>
        </is>
      </c>
      <c r="B6263" t="inlineStr">
        <is>
          <t>LUX</t>
        </is>
      </c>
      <c r="C6263" t="n">
        <v>2011</v>
      </c>
      <c r="D6263" t="n">
        <v>3.41068341068342</v>
      </c>
    </row>
    <row r="6264">
      <c r="A6264" t="inlineStr">
        <is>
          <t>Luxembourg</t>
        </is>
      </c>
      <c r="B6264" t="inlineStr">
        <is>
          <t>LUX</t>
        </is>
      </c>
      <c r="C6264" t="n">
        <v>2012</v>
      </c>
      <c r="D6264" t="n">
        <v>2.66284165508021</v>
      </c>
    </row>
    <row r="6265">
      <c r="A6265" t="inlineStr">
        <is>
          <t>Luxembourg</t>
        </is>
      </c>
      <c r="B6265" t="inlineStr">
        <is>
          <t>LUX</t>
        </is>
      </c>
      <c r="C6265" t="n">
        <v>2013</v>
      </c>
      <c r="D6265" t="n">
        <v>1.73403963519162</v>
      </c>
    </row>
    <row r="6266">
      <c r="A6266" t="inlineStr">
        <is>
          <t>Luxembourg</t>
        </is>
      </c>
      <c r="B6266" t="inlineStr">
        <is>
          <t>LUX</t>
        </is>
      </c>
      <c r="C6266" t="n">
        <v>2014</v>
      </c>
      <c r="D6266" t="n">
        <v>0.628543985440717</v>
      </c>
    </row>
    <row r="6267">
      <c r="A6267" t="inlineStr">
        <is>
          <t>Luxembourg</t>
        </is>
      </c>
      <c r="B6267" t="inlineStr">
        <is>
          <t>LUX</t>
        </is>
      </c>
      <c r="C6267" t="n">
        <v>2015</v>
      </c>
      <c r="D6267" t="n">
        <v>0.474743161437779</v>
      </c>
    </row>
    <row r="6268">
      <c r="A6268" t="inlineStr">
        <is>
          <t>Luxembourg</t>
        </is>
      </c>
      <c r="B6268" t="inlineStr">
        <is>
          <t>LUX</t>
        </is>
      </c>
      <c r="C6268" t="n">
        <v>2016</v>
      </c>
      <c r="D6268" t="n">
        <v>0.290833333333317</v>
      </c>
    </row>
    <row r="6269">
      <c r="A6269" t="inlineStr">
        <is>
          <t>Luxembourg</t>
        </is>
      </c>
      <c r="B6269" t="inlineStr">
        <is>
          <t>LUX</t>
        </is>
      </c>
      <c r="C6269" t="n">
        <v>2017</v>
      </c>
      <c r="D6269" t="n">
        <v>1.73079959118887</v>
      </c>
    </row>
    <row r="6270">
      <c r="A6270" t="inlineStr">
        <is>
          <t>Luxembourg</t>
        </is>
      </c>
      <c r="B6270" t="inlineStr">
        <is>
          <t>LUX</t>
        </is>
      </c>
      <c r="C6270" t="n">
        <v>2018</v>
      </c>
      <c r="D6270" t="n">
        <v>1.5281952430738</v>
      </c>
    </row>
    <row r="6271">
      <c r="A6271" t="inlineStr">
        <is>
          <t>Luxembourg</t>
        </is>
      </c>
      <c r="B6271" t="inlineStr">
        <is>
          <t>LUX</t>
        </is>
      </c>
      <c r="C6271" t="n">
        <v>2019</v>
      </c>
      <c r="D6271" t="n">
        <v>1.74332075653848</v>
      </c>
    </row>
    <row r="6272">
      <c r="A6272" t="inlineStr">
        <is>
          <t>Luxembourg</t>
        </is>
      </c>
      <c r="B6272" t="inlineStr">
        <is>
          <t>LUX</t>
        </is>
      </c>
      <c r="C6272" t="n">
        <v>2020</v>
      </c>
      <c r="D6272" t="n">
        <v>0.819957302127036</v>
      </c>
    </row>
    <row r="6273">
      <c r="A6273" t="inlineStr">
        <is>
          <t>Luxembourg</t>
        </is>
      </c>
      <c r="B6273" t="inlineStr">
        <is>
          <t>LUX</t>
        </is>
      </c>
      <c r="C6273" t="n">
        <v>2021</v>
      </c>
      <c r="D6273" t="n">
        <v>2.52692009066166</v>
      </c>
    </row>
    <row r="6274">
      <c r="A6274" t="inlineStr">
        <is>
          <t>Luxembourg</t>
        </is>
      </c>
      <c r="B6274" t="inlineStr">
        <is>
          <t>LUX</t>
        </is>
      </c>
      <c r="C6274" t="n">
        <v>2022</v>
      </c>
      <c r="D6274" t="n">
        <v>6.33600807777919</v>
      </c>
    </row>
    <row r="6275">
      <c r="A6275" t="inlineStr">
        <is>
          <t>Luxembourg</t>
        </is>
      </c>
      <c r="B6275" t="inlineStr">
        <is>
          <t>LUX</t>
        </is>
      </c>
      <c r="C6275" t="n">
        <v>2023</v>
      </c>
      <c r="D6275" t="n">
        <v>3.74140361983136</v>
      </c>
    </row>
    <row r="6276">
      <c r="A6276" t="inlineStr">
        <is>
          <t>Luxembourg</t>
        </is>
      </c>
      <c r="B6276" t="inlineStr">
        <is>
          <t>LUX</t>
        </is>
      </c>
      <c r="C6276" t="n">
        <v>2024</v>
      </c>
      <c r="D6276" t="n">
        <v>2.05113269954859</v>
      </c>
    </row>
    <row r="6277">
      <c r="A6277" t="inlineStr">
        <is>
          <t>Latvia</t>
        </is>
      </c>
      <c r="B6277" t="inlineStr">
        <is>
          <t>LVA</t>
        </is>
      </c>
      <c r="C6277" t="n">
        <v>1992</v>
      </c>
      <c r="D6277" t="n">
        <v>951.696194870801</v>
      </c>
    </row>
    <row r="6278">
      <c r="A6278" t="inlineStr">
        <is>
          <t>Latvia</t>
        </is>
      </c>
      <c r="B6278" t="inlineStr">
        <is>
          <t>LVA</t>
        </is>
      </c>
      <c r="C6278" t="n">
        <v>1993</v>
      </c>
      <c r="D6278" t="n">
        <v>108.989540624323</v>
      </c>
    </row>
    <row r="6279">
      <c r="A6279" t="inlineStr">
        <is>
          <t>Latvia</t>
        </is>
      </c>
      <c r="B6279" t="inlineStr">
        <is>
          <t>LVA</t>
        </is>
      </c>
      <c r="C6279" t="n">
        <v>1994</v>
      </c>
      <c r="D6279" t="n">
        <v>35.9247053929642</v>
      </c>
    </row>
    <row r="6280">
      <c r="A6280" t="inlineStr">
        <is>
          <t>Latvia</t>
        </is>
      </c>
      <c r="B6280" t="inlineStr">
        <is>
          <t>LVA</t>
        </is>
      </c>
      <c r="C6280" t="n">
        <v>1995</v>
      </c>
      <c r="D6280" t="n">
        <v>24.9759355316751</v>
      </c>
    </row>
    <row r="6281">
      <c r="A6281" t="inlineStr">
        <is>
          <t>Latvia</t>
        </is>
      </c>
      <c r="B6281" t="inlineStr">
        <is>
          <t>LVA</t>
        </is>
      </c>
      <c r="C6281" t="n">
        <v>1996</v>
      </c>
      <c r="D6281" t="n">
        <v>17.6104698431032</v>
      </c>
    </row>
    <row r="6282">
      <c r="A6282" t="inlineStr">
        <is>
          <t>Latvia</t>
        </is>
      </c>
      <c r="B6282" t="inlineStr">
        <is>
          <t>LVA</t>
        </is>
      </c>
      <c r="C6282" t="n">
        <v>1997</v>
      </c>
      <c r="D6282" t="n">
        <v>8.447383420929521</v>
      </c>
    </row>
    <row r="6283">
      <c r="A6283" t="inlineStr">
        <is>
          <t>Latvia</t>
        </is>
      </c>
      <c r="B6283" t="inlineStr">
        <is>
          <t>LVA</t>
        </is>
      </c>
      <c r="C6283" t="n">
        <v>1998</v>
      </c>
      <c r="D6283" t="n">
        <v>4.64421422660787</v>
      </c>
    </row>
    <row r="6284">
      <c r="A6284" t="inlineStr">
        <is>
          <t>Latvia</t>
        </is>
      </c>
      <c r="B6284" t="inlineStr">
        <is>
          <t>LVA</t>
        </is>
      </c>
      <c r="C6284" t="n">
        <v>1999</v>
      </c>
      <c r="D6284" t="n">
        <v>2.36481836111807</v>
      </c>
    </row>
    <row r="6285">
      <c r="A6285" t="inlineStr">
        <is>
          <t>Latvia</t>
        </is>
      </c>
      <c r="B6285" t="inlineStr">
        <is>
          <t>LVA</t>
        </is>
      </c>
      <c r="C6285" t="n">
        <v>2000</v>
      </c>
      <c r="D6285" t="n">
        <v>2.65425477796048</v>
      </c>
    </row>
    <row r="6286">
      <c r="A6286" t="inlineStr">
        <is>
          <t>Latvia</t>
        </is>
      </c>
      <c r="B6286" t="inlineStr">
        <is>
          <t>LVA</t>
        </is>
      </c>
      <c r="C6286" t="n">
        <v>2001</v>
      </c>
      <c r="D6286" t="n">
        <v>2.48704003555457</v>
      </c>
    </row>
    <row r="6287">
      <c r="A6287" t="inlineStr">
        <is>
          <t>Latvia</t>
        </is>
      </c>
      <c r="B6287" t="inlineStr">
        <is>
          <t>LVA</t>
        </is>
      </c>
      <c r="C6287" t="n">
        <v>2002</v>
      </c>
      <c r="D6287" t="n">
        <v>1.93887573855896</v>
      </c>
    </row>
    <row r="6288">
      <c r="A6288" t="inlineStr">
        <is>
          <t>Latvia</t>
        </is>
      </c>
      <c r="B6288" t="inlineStr">
        <is>
          <t>LVA</t>
        </is>
      </c>
      <c r="C6288" t="n">
        <v>2003</v>
      </c>
      <c r="D6288" t="n">
        <v>2.94264752948473</v>
      </c>
    </row>
    <row r="6289">
      <c r="A6289" t="inlineStr">
        <is>
          <t>Latvia</t>
        </is>
      </c>
      <c r="B6289" t="inlineStr">
        <is>
          <t>LVA</t>
        </is>
      </c>
      <c r="C6289" t="n">
        <v>2004</v>
      </c>
      <c r="D6289" t="n">
        <v>6.1923854719744</v>
      </c>
    </row>
    <row r="6290">
      <c r="A6290" t="inlineStr">
        <is>
          <t>Latvia</t>
        </is>
      </c>
      <c r="B6290" t="inlineStr">
        <is>
          <t>LVA</t>
        </is>
      </c>
      <c r="C6290" t="n">
        <v>2005</v>
      </c>
      <c r="D6290" t="n">
        <v>6.74845027893112</v>
      </c>
    </row>
    <row r="6291">
      <c r="A6291" t="inlineStr">
        <is>
          <t>Latvia</t>
        </is>
      </c>
      <c r="B6291" t="inlineStr">
        <is>
          <t>LVA</t>
        </is>
      </c>
      <c r="C6291" t="n">
        <v>2006</v>
      </c>
      <c r="D6291" t="n">
        <v>6.53619908765877</v>
      </c>
    </row>
    <row r="6292">
      <c r="A6292" t="inlineStr">
        <is>
          <t>Latvia</t>
        </is>
      </c>
      <c r="B6292" t="inlineStr">
        <is>
          <t>LVA</t>
        </is>
      </c>
      <c r="C6292" t="n">
        <v>2007</v>
      </c>
      <c r="D6292" t="n">
        <v>10.0929775849168</v>
      </c>
    </row>
    <row r="6293">
      <c r="A6293" t="inlineStr">
        <is>
          <t>Latvia</t>
        </is>
      </c>
      <c r="B6293" t="inlineStr">
        <is>
          <t>LVA</t>
        </is>
      </c>
      <c r="C6293" t="n">
        <v>2008</v>
      </c>
      <c r="D6293" t="n">
        <v>15.4023191064986</v>
      </c>
    </row>
    <row r="6294">
      <c r="A6294" t="inlineStr">
        <is>
          <t>Latvia</t>
        </is>
      </c>
      <c r="B6294" t="inlineStr">
        <is>
          <t>LVA</t>
        </is>
      </c>
      <c r="C6294" t="n">
        <v>2009</v>
      </c>
      <c r="D6294" t="n">
        <v>3.53410672858944</v>
      </c>
    </row>
    <row r="6295">
      <c r="A6295" t="inlineStr">
        <is>
          <t>Latvia</t>
        </is>
      </c>
      <c r="B6295" t="inlineStr">
        <is>
          <t>LVA</t>
        </is>
      </c>
      <c r="C6295" t="n">
        <v>2010</v>
      </c>
      <c r="D6295" t="n">
        <v>-1.08463595015162</v>
      </c>
    </row>
    <row r="6296">
      <c r="A6296" t="inlineStr">
        <is>
          <t>Latvia</t>
        </is>
      </c>
      <c r="B6296" t="inlineStr">
        <is>
          <t>LVA</t>
        </is>
      </c>
      <c r="C6296" t="n">
        <v>2011</v>
      </c>
      <c r="D6296" t="n">
        <v>4.3707355993922</v>
      </c>
    </row>
    <row r="6297">
      <c r="A6297" t="inlineStr">
        <is>
          <t>Latvia</t>
        </is>
      </c>
      <c r="B6297" t="inlineStr">
        <is>
          <t>LVA</t>
        </is>
      </c>
      <c r="C6297" t="n">
        <v>2012</v>
      </c>
      <c r="D6297" t="n">
        <v>2.25778924374595</v>
      </c>
    </row>
    <row r="6298">
      <c r="A6298" t="inlineStr">
        <is>
          <t>Latvia</t>
        </is>
      </c>
      <c r="B6298" t="inlineStr">
        <is>
          <t>LVA</t>
        </is>
      </c>
      <c r="C6298" t="n">
        <v>2013</v>
      </c>
      <c r="D6298" t="n">
        <v>-0.0294547782579216</v>
      </c>
    </row>
    <row r="6299">
      <c r="A6299" t="inlineStr">
        <is>
          <t>Latvia</t>
        </is>
      </c>
      <c r="B6299" t="inlineStr">
        <is>
          <t>LVA</t>
        </is>
      </c>
      <c r="C6299" t="n">
        <v>2014</v>
      </c>
      <c r="D6299" t="n">
        <v>0.620490636732421</v>
      </c>
    </row>
    <row r="6300">
      <c r="A6300" t="inlineStr">
        <is>
          <t>Latvia</t>
        </is>
      </c>
      <c r="B6300" t="inlineStr">
        <is>
          <t>LVA</t>
        </is>
      </c>
      <c r="C6300" t="n">
        <v>2015</v>
      </c>
      <c r="D6300" t="n">
        <v>0.174242243625186</v>
      </c>
    </row>
    <row r="6301">
      <c r="A6301" t="inlineStr">
        <is>
          <t>Latvia</t>
        </is>
      </c>
      <c r="B6301" t="inlineStr">
        <is>
          <t>LVA</t>
        </is>
      </c>
      <c r="C6301" t="n">
        <v>2016</v>
      </c>
      <c r="D6301" t="n">
        <v>0.140633334505327</v>
      </c>
    </row>
    <row r="6302">
      <c r="A6302" t="inlineStr">
        <is>
          <t>Latvia</t>
        </is>
      </c>
      <c r="B6302" t="inlineStr">
        <is>
          <t>LVA</t>
        </is>
      </c>
      <c r="C6302" t="n">
        <v>2017</v>
      </c>
      <c r="D6302" t="n">
        <v>2.93036312374665</v>
      </c>
    </row>
    <row r="6303">
      <c r="A6303" t="inlineStr">
        <is>
          <t>Latvia</t>
        </is>
      </c>
      <c r="B6303" t="inlineStr">
        <is>
          <t>LVA</t>
        </is>
      </c>
      <c r="C6303" t="n">
        <v>2018</v>
      </c>
      <c r="D6303" t="n">
        <v>2.53445424186598</v>
      </c>
    </row>
    <row r="6304">
      <c r="A6304" t="inlineStr">
        <is>
          <t>Latvia</t>
        </is>
      </c>
      <c r="B6304" t="inlineStr">
        <is>
          <t>LVA</t>
        </is>
      </c>
      <c r="C6304" t="n">
        <v>2019</v>
      </c>
      <c r="D6304" t="n">
        <v>2.81140920075615</v>
      </c>
    </row>
    <row r="6305">
      <c r="A6305" t="inlineStr">
        <is>
          <t>Latvia</t>
        </is>
      </c>
      <c r="B6305" t="inlineStr">
        <is>
          <t>LVA</t>
        </is>
      </c>
      <c r="C6305" t="n">
        <v>2020</v>
      </c>
      <c r="D6305" t="n">
        <v>0.219064904842156</v>
      </c>
    </row>
    <row r="6306">
      <c r="A6306" t="inlineStr">
        <is>
          <t>Latvia</t>
        </is>
      </c>
      <c r="B6306" t="inlineStr">
        <is>
          <t>LVA</t>
        </is>
      </c>
      <c r="C6306" t="n">
        <v>2021</v>
      </c>
      <c r="D6306" t="n">
        <v>3.27582937431156</v>
      </c>
    </row>
    <row r="6307">
      <c r="A6307" t="inlineStr">
        <is>
          <t>Latvia</t>
        </is>
      </c>
      <c r="B6307" t="inlineStr">
        <is>
          <t>LVA</t>
        </is>
      </c>
      <c r="C6307" t="n">
        <v>2022</v>
      </c>
      <c r="D6307" t="n">
        <v>17.3102830198815</v>
      </c>
    </row>
    <row r="6308">
      <c r="A6308" t="inlineStr">
        <is>
          <t>Latvia</t>
        </is>
      </c>
      <c r="B6308" t="inlineStr">
        <is>
          <t>LVA</t>
        </is>
      </c>
      <c r="C6308" t="n">
        <v>2023</v>
      </c>
      <c r="D6308" t="n">
        <v>8.93804623316637</v>
      </c>
    </row>
    <row r="6309">
      <c r="A6309" t="inlineStr">
        <is>
          <t>Latvia</t>
        </is>
      </c>
      <c r="B6309" t="inlineStr">
        <is>
          <t>LVA</t>
        </is>
      </c>
      <c r="C6309" t="n">
        <v>2024</v>
      </c>
      <c r="D6309" t="n">
        <v>1.26579885828729</v>
      </c>
    </row>
    <row r="6310">
      <c r="A6310" t="inlineStr">
        <is>
          <t>Macao SAR, China</t>
        </is>
      </c>
      <c r="B6310" t="inlineStr">
        <is>
          <t>MAC</t>
        </is>
      </c>
      <c r="C6310" t="n">
        <v>1989</v>
      </c>
      <c r="D6310" t="n">
        <v>8.770945541591789</v>
      </c>
    </row>
    <row r="6311">
      <c r="A6311" t="inlineStr">
        <is>
          <t>Macao SAR, China</t>
        </is>
      </c>
      <c r="B6311" t="inlineStr">
        <is>
          <t>MAC</t>
        </is>
      </c>
      <c r="C6311" t="n">
        <v>1990</v>
      </c>
      <c r="D6311" t="n">
        <v>7.96969384363224</v>
      </c>
    </row>
    <row r="6312">
      <c r="A6312" t="inlineStr">
        <is>
          <t>Macao SAR, China</t>
        </is>
      </c>
      <c r="B6312" t="inlineStr">
        <is>
          <t>MAC</t>
        </is>
      </c>
      <c r="C6312" t="n">
        <v>1991</v>
      </c>
      <c r="D6312" t="n">
        <v>9.56887765934839</v>
      </c>
    </row>
    <row r="6313">
      <c r="A6313" t="inlineStr">
        <is>
          <t>Macao SAR, China</t>
        </is>
      </c>
      <c r="B6313" t="inlineStr">
        <is>
          <t>MAC</t>
        </is>
      </c>
      <c r="C6313" t="n">
        <v>1992</v>
      </c>
      <c r="D6313" t="n">
        <v>7.71392168356611</v>
      </c>
    </row>
    <row r="6314">
      <c r="A6314" t="inlineStr">
        <is>
          <t>Macao SAR, China</t>
        </is>
      </c>
      <c r="B6314" t="inlineStr">
        <is>
          <t>MAC</t>
        </is>
      </c>
      <c r="C6314" t="n">
        <v>1993</v>
      </c>
      <c r="D6314" t="n">
        <v>6.70588552770045</v>
      </c>
    </row>
    <row r="6315">
      <c r="A6315" t="inlineStr">
        <is>
          <t>Macao SAR, China</t>
        </is>
      </c>
      <c r="B6315" t="inlineStr">
        <is>
          <t>MAC</t>
        </is>
      </c>
      <c r="C6315" t="n">
        <v>1994</v>
      </c>
      <c r="D6315" t="n">
        <v>6.2520689021027</v>
      </c>
    </row>
    <row r="6316">
      <c r="A6316" t="inlineStr">
        <is>
          <t>Macao SAR, China</t>
        </is>
      </c>
      <c r="B6316" t="inlineStr">
        <is>
          <t>MAC</t>
        </is>
      </c>
      <c r="C6316" t="n">
        <v>1995</v>
      </c>
      <c r="D6316" t="n">
        <v>8.558666043084459</v>
      </c>
    </row>
    <row r="6317">
      <c r="A6317" t="inlineStr">
        <is>
          <t>Macao SAR, China</t>
        </is>
      </c>
      <c r="B6317" t="inlineStr">
        <is>
          <t>MAC</t>
        </is>
      </c>
      <c r="C6317" t="n">
        <v>1996</v>
      </c>
      <c r="D6317" t="n">
        <v>4.82248676783488</v>
      </c>
    </row>
    <row r="6318">
      <c r="A6318" t="inlineStr">
        <is>
          <t>Macao SAR, China</t>
        </is>
      </c>
      <c r="B6318" t="inlineStr">
        <is>
          <t>MAC</t>
        </is>
      </c>
      <c r="C6318" t="n">
        <v>1997</v>
      </c>
      <c r="D6318" t="n">
        <v>3.49093715138855</v>
      </c>
    </row>
    <row r="6319">
      <c r="A6319" t="inlineStr">
        <is>
          <t>Macao SAR, China</t>
        </is>
      </c>
      <c r="B6319" t="inlineStr">
        <is>
          <t>MAC</t>
        </is>
      </c>
      <c r="C6319" t="n">
        <v>1998</v>
      </c>
      <c r="D6319" t="n">
        <v>0.172630384568575</v>
      </c>
    </row>
    <row r="6320">
      <c r="A6320" t="inlineStr">
        <is>
          <t>Macao SAR, China</t>
        </is>
      </c>
      <c r="B6320" t="inlineStr">
        <is>
          <t>MAC</t>
        </is>
      </c>
      <c r="C6320" t="n">
        <v>1999</v>
      </c>
      <c r="D6320" t="n">
        <v>-3.20416248186588</v>
      </c>
    </row>
    <row r="6321">
      <c r="A6321" t="inlineStr">
        <is>
          <t>Macao SAR, China</t>
        </is>
      </c>
      <c r="B6321" t="inlineStr">
        <is>
          <t>MAC</t>
        </is>
      </c>
      <c r="C6321" t="n">
        <v>2000</v>
      </c>
      <c r="D6321" t="n">
        <v>-1.60971883961895</v>
      </c>
    </row>
    <row r="6322">
      <c r="A6322" t="inlineStr">
        <is>
          <t>Macao SAR, China</t>
        </is>
      </c>
      <c r="B6322" t="inlineStr">
        <is>
          <t>MAC</t>
        </is>
      </c>
      <c r="C6322" t="n">
        <v>2001</v>
      </c>
      <c r="D6322" t="n">
        <v>-1.98465008641652</v>
      </c>
    </row>
    <row r="6323">
      <c r="A6323" t="inlineStr">
        <is>
          <t>Macao SAR, China</t>
        </is>
      </c>
      <c r="B6323" t="inlineStr">
        <is>
          <t>MAC</t>
        </is>
      </c>
      <c r="C6323" t="n">
        <v>2002</v>
      </c>
      <c r="D6323" t="n">
        <v>-2.63751699816194</v>
      </c>
    </row>
    <row r="6324">
      <c r="A6324" t="inlineStr">
        <is>
          <t>Macao SAR, China</t>
        </is>
      </c>
      <c r="B6324" t="inlineStr">
        <is>
          <t>MAC</t>
        </is>
      </c>
      <c r="C6324" t="n">
        <v>2003</v>
      </c>
      <c r="D6324" t="n">
        <v>-1.56245203671305</v>
      </c>
    </row>
    <row r="6325">
      <c r="A6325" t="inlineStr">
        <is>
          <t>Macao SAR, China</t>
        </is>
      </c>
      <c r="B6325" t="inlineStr">
        <is>
          <t>MAC</t>
        </is>
      </c>
      <c r="C6325" t="n">
        <v>2004</v>
      </c>
      <c r="D6325" t="n">
        <v>0.980728452039424</v>
      </c>
    </row>
    <row r="6326">
      <c r="A6326" t="inlineStr">
        <is>
          <t>Macao SAR, China</t>
        </is>
      </c>
      <c r="B6326" t="inlineStr">
        <is>
          <t>MAC</t>
        </is>
      </c>
      <c r="C6326" t="n">
        <v>2005</v>
      </c>
      <c r="D6326" t="n">
        <v>4.39589284335676</v>
      </c>
    </row>
    <row r="6327">
      <c r="A6327" t="inlineStr">
        <is>
          <t>Macao SAR, China</t>
        </is>
      </c>
      <c r="B6327" t="inlineStr">
        <is>
          <t>MAC</t>
        </is>
      </c>
      <c r="C6327" t="n">
        <v>2006</v>
      </c>
      <c r="D6327" t="n">
        <v>5.14997337750697</v>
      </c>
    </row>
    <row r="6328">
      <c r="A6328" t="inlineStr">
        <is>
          <t>Macao SAR, China</t>
        </is>
      </c>
      <c r="B6328" t="inlineStr">
        <is>
          <t>MAC</t>
        </is>
      </c>
      <c r="C6328" t="n">
        <v>2007</v>
      </c>
      <c r="D6328" t="n">
        <v>5.57149689143953</v>
      </c>
    </row>
    <row r="6329">
      <c r="A6329" t="inlineStr">
        <is>
          <t>Macao SAR, China</t>
        </is>
      </c>
      <c r="B6329" t="inlineStr">
        <is>
          <t>MAC</t>
        </is>
      </c>
      <c r="C6329" t="n">
        <v>2008</v>
      </c>
      <c r="D6329" t="n">
        <v>8.61101858636995</v>
      </c>
    </row>
    <row r="6330">
      <c r="A6330" t="inlineStr">
        <is>
          <t>Macao SAR, China</t>
        </is>
      </c>
      <c r="B6330" t="inlineStr">
        <is>
          <t>MAC</t>
        </is>
      </c>
      <c r="C6330" t="n">
        <v>2009</v>
      </c>
      <c r="D6330" t="n">
        <v>1.16906695453765</v>
      </c>
    </row>
    <row r="6331">
      <c r="A6331" t="inlineStr">
        <is>
          <t>Macao SAR, China</t>
        </is>
      </c>
      <c r="B6331" t="inlineStr">
        <is>
          <t>MAC</t>
        </is>
      </c>
      <c r="C6331" t="n">
        <v>2010</v>
      </c>
      <c r="D6331" t="n">
        <v>2.80947242060845</v>
      </c>
    </row>
    <row r="6332">
      <c r="A6332" t="inlineStr">
        <is>
          <t>Macao SAR, China</t>
        </is>
      </c>
      <c r="B6332" t="inlineStr">
        <is>
          <t>MAC</t>
        </is>
      </c>
      <c r="C6332" t="n">
        <v>2011</v>
      </c>
      <c r="D6332" t="n">
        <v>5.80624616691043</v>
      </c>
    </row>
    <row r="6333">
      <c r="A6333" t="inlineStr">
        <is>
          <t>Macao SAR, China</t>
        </is>
      </c>
      <c r="B6333" t="inlineStr">
        <is>
          <t>MAC</t>
        </is>
      </c>
      <c r="C6333" t="n">
        <v>2012</v>
      </c>
      <c r="D6333" t="n">
        <v>6.10738928336549</v>
      </c>
    </row>
    <row r="6334">
      <c r="A6334" t="inlineStr">
        <is>
          <t>Macao SAR, China</t>
        </is>
      </c>
      <c r="B6334" t="inlineStr">
        <is>
          <t>MAC</t>
        </is>
      </c>
      <c r="C6334" t="n">
        <v>2013</v>
      </c>
      <c r="D6334" t="n">
        <v>5.50057779178484</v>
      </c>
    </row>
    <row r="6335">
      <c r="A6335" t="inlineStr">
        <is>
          <t>Macao SAR, China</t>
        </is>
      </c>
      <c r="B6335" t="inlineStr">
        <is>
          <t>MAC</t>
        </is>
      </c>
      <c r="C6335" t="n">
        <v>2014</v>
      </c>
      <c r="D6335" t="n">
        <v>6.04823452094085</v>
      </c>
    </row>
    <row r="6336">
      <c r="A6336" t="inlineStr">
        <is>
          <t>Macao SAR, China</t>
        </is>
      </c>
      <c r="B6336" t="inlineStr">
        <is>
          <t>MAC</t>
        </is>
      </c>
      <c r="C6336" t="n">
        <v>2015</v>
      </c>
      <c r="D6336" t="n">
        <v>4.56056338028164</v>
      </c>
    </row>
    <row r="6337">
      <c r="A6337" t="inlineStr">
        <is>
          <t>Macao SAR, China</t>
        </is>
      </c>
      <c r="B6337" t="inlineStr">
        <is>
          <t>MAC</t>
        </is>
      </c>
      <c r="C6337" t="n">
        <v>2016</v>
      </c>
      <c r="D6337" t="n">
        <v>2.36895749705898</v>
      </c>
    </row>
    <row r="6338">
      <c r="A6338" t="inlineStr">
        <is>
          <t>Macao SAR, China</t>
        </is>
      </c>
      <c r="B6338" t="inlineStr">
        <is>
          <t>MAC</t>
        </is>
      </c>
      <c r="C6338" t="n">
        <v>2017</v>
      </c>
      <c r="D6338" t="n">
        <v>1.22812404052816</v>
      </c>
    </row>
    <row r="6339">
      <c r="A6339" t="inlineStr">
        <is>
          <t>Macao SAR, China</t>
        </is>
      </c>
      <c r="B6339" t="inlineStr">
        <is>
          <t>MAC</t>
        </is>
      </c>
      <c r="C6339" t="n">
        <v>2018</v>
      </c>
      <c r="D6339" t="n">
        <v>3.00446293166938</v>
      </c>
    </row>
    <row r="6340">
      <c r="A6340" t="inlineStr">
        <is>
          <t>Macao SAR, China</t>
        </is>
      </c>
      <c r="B6340" t="inlineStr">
        <is>
          <t>MAC</t>
        </is>
      </c>
      <c r="C6340" t="n">
        <v>2019</v>
      </c>
      <c r="D6340" t="n">
        <v>2.75193081051982</v>
      </c>
    </row>
    <row r="6341">
      <c r="A6341" t="inlineStr">
        <is>
          <t>Macao SAR, China</t>
        </is>
      </c>
      <c r="B6341" t="inlineStr">
        <is>
          <t>MAC</t>
        </is>
      </c>
      <c r="C6341" t="n">
        <v>2020</v>
      </c>
      <c r="D6341" t="n">
        <v>0.811410511491651</v>
      </c>
    </row>
    <row r="6342">
      <c r="A6342" t="inlineStr">
        <is>
          <t>Macao SAR, China</t>
        </is>
      </c>
      <c r="B6342" t="inlineStr">
        <is>
          <t>MAC</t>
        </is>
      </c>
      <c r="C6342" t="n">
        <v>2021</v>
      </c>
      <c r="D6342" t="n">
        <v>0.0264543647054126</v>
      </c>
    </row>
    <row r="6343">
      <c r="A6343" t="inlineStr">
        <is>
          <t>Macao SAR, China</t>
        </is>
      </c>
      <c r="B6343" t="inlineStr">
        <is>
          <t>MAC</t>
        </is>
      </c>
      <c r="C6343" t="n">
        <v>2022</v>
      </c>
      <c r="D6343" t="n">
        <v>1.04502802369954</v>
      </c>
    </row>
    <row r="6344">
      <c r="A6344" t="inlineStr">
        <is>
          <t>Macao SAR, China</t>
        </is>
      </c>
      <c r="B6344" t="inlineStr">
        <is>
          <t>MAC</t>
        </is>
      </c>
      <c r="C6344" t="n">
        <v>2023</v>
      </c>
      <c r="D6344" t="n">
        <v>0.476384495788075</v>
      </c>
    </row>
    <row r="6345">
      <c r="A6345" t="inlineStr">
        <is>
          <t>Morocco</t>
        </is>
      </c>
      <c r="B6345" t="inlineStr">
        <is>
          <t>MAR</t>
        </is>
      </c>
      <c r="C6345" t="n">
        <v>1960</v>
      </c>
      <c r="D6345" t="n">
        <v>3.42429906542058</v>
      </c>
    </row>
    <row r="6346">
      <c r="A6346" t="inlineStr">
        <is>
          <t>Morocco</t>
        </is>
      </c>
      <c r="B6346" t="inlineStr">
        <is>
          <t>MAR</t>
        </is>
      </c>
      <c r="C6346" t="n">
        <v>1961</v>
      </c>
      <c r="D6346" t="n">
        <v>1.76312460493452</v>
      </c>
    </row>
    <row r="6347">
      <c r="A6347" t="inlineStr">
        <is>
          <t>Morocco</t>
        </is>
      </c>
      <c r="B6347" t="inlineStr">
        <is>
          <t>MAR</t>
        </is>
      </c>
      <c r="C6347" t="n">
        <v>1962</v>
      </c>
      <c r="D6347" t="n">
        <v>5.09672908138148</v>
      </c>
    </row>
    <row r="6348">
      <c r="A6348" t="inlineStr">
        <is>
          <t>Morocco</t>
        </is>
      </c>
      <c r="B6348" t="inlineStr">
        <is>
          <t>MAR</t>
        </is>
      </c>
      <c r="C6348" t="n">
        <v>1963</v>
      </c>
      <c r="D6348" t="n">
        <v>5.69971168745222</v>
      </c>
    </row>
    <row r="6349">
      <c r="A6349" t="inlineStr">
        <is>
          <t>Morocco</t>
        </is>
      </c>
      <c r="B6349" t="inlineStr">
        <is>
          <t>MAR</t>
        </is>
      </c>
      <c r="C6349" t="n">
        <v>1964</v>
      </c>
      <c r="D6349" t="n">
        <v>4.02154147421213</v>
      </c>
    </row>
    <row r="6350">
      <c r="A6350" t="inlineStr">
        <is>
          <t>Morocco</t>
        </is>
      </c>
      <c r="B6350" t="inlineStr">
        <is>
          <t>MAR</t>
        </is>
      </c>
      <c r="C6350" t="n">
        <v>1965</v>
      </c>
      <c r="D6350" t="n">
        <v>3.4828212200169</v>
      </c>
    </row>
    <row r="6351">
      <c r="A6351" t="inlineStr">
        <is>
          <t>Morocco</t>
        </is>
      </c>
      <c r="B6351" t="inlineStr">
        <is>
          <t>MAR</t>
        </is>
      </c>
      <c r="C6351" t="n">
        <v>1966</v>
      </c>
      <c r="D6351" t="n">
        <v>-1.0135793646964</v>
      </c>
    </row>
    <row r="6352">
      <c r="A6352" t="inlineStr">
        <is>
          <t>Morocco</t>
        </is>
      </c>
      <c r="B6352" t="inlineStr">
        <is>
          <t>MAR</t>
        </is>
      </c>
      <c r="C6352" t="n">
        <v>1967</v>
      </c>
      <c r="D6352" t="n">
        <v>-0.748276993897715</v>
      </c>
    </row>
    <row r="6353">
      <c r="A6353" t="inlineStr">
        <is>
          <t>Morocco</t>
        </is>
      </c>
      <c r="B6353" t="inlineStr">
        <is>
          <t>MAR</t>
        </is>
      </c>
      <c r="C6353" t="n">
        <v>1968</v>
      </c>
      <c r="D6353" t="n">
        <v>0.436479069044525</v>
      </c>
    </row>
    <row r="6354">
      <c r="A6354" t="inlineStr">
        <is>
          <t>Morocco</t>
        </is>
      </c>
      <c r="B6354" t="inlineStr">
        <is>
          <t>MAR</t>
        </is>
      </c>
      <c r="C6354" t="n">
        <v>1969</v>
      </c>
      <c r="D6354" t="n">
        <v>2.94989135439242</v>
      </c>
    </row>
    <row r="6355">
      <c r="A6355" t="inlineStr">
        <is>
          <t>Morocco</t>
        </is>
      </c>
      <c r="B6355" t="inlineStr">
        <is>
          <t>MAR</t>
        </is>
      </c>
      <c r="C6355" t="n">
        <v>1970</v>
      </c>
      <c r="D6355" t="n">
        <v>1.27918132376476</v>
      </c>
    </row>
    <row r="6356">
      <c r="A6356" t="inlineStr">
        <is>
          <t>Morocco</t>
        </is>
      </c>
      <c r="B6356" t="inlineStr">
        <is>
          <t>MAR</t>
        </is>
      </c>
      <c r="C6356" t="n">
        <v>1971</v>
      </c>
      <c r="D6356" t="n">
        <v>4.1553520683533</v>
      </c>
    </row>
    <row r="6357">
      <c r="A6357" t="inlineStr">
        <is>
          <t>Morocco</t>
        </is>
      </c>
      <c r="B6357" t="inlineStr">
        <is>
          <t>MAR</t>
        </is>
      </c>
      <c r="C6357" t="n">
        <v>1972</v>
      </c>
      <c r="D6357" t="n">
        <v>3.75917055722263</v>
      </c>
    </row>
    <row r="6358">
      <c r="A6358" t="inlineStr">
        <is>
          <t>Morocco</t>
        </is>
      </c>
      <c r="B6358" t="inlineStr">
        <is>
          <t>MAR</t>
        </is>
      </c>
      <c r="C6358" t="n">
        <v>1973</v>
      </c>
      <c r="D6358" t="n">
        <v>4.08461403612973</v>
      </c>
    </row>
    <row r="6359">
      <c r="A6359" t="inlineStr">
        <is>
          <t>Morocco</t>
        </is>
      </c>
      <c r="B6359" t="inlineStr">
        <is>
          <t>MAR</t>
        </is>
      </c>
      <c r="C6359" t="n">
        <v>1974</v>
      </c>
      <c r="D6359" t="n">
        <v>17.5568227452454</v>
      </c>
    </row>
    <row r="6360">
      <c r="A6360" t="inlineStr">
        <is>
          <t>Morocco</t>
        </is>
      </c>
      <c r="B6360" t="inlineStr">
        <is>
          <t>MAR</t>
        </is>
      </c>
      <c r="C6360" t="n">
        <v>1975</v>
      </c>
      <c r="D6360" t="n">
        <v>7.91828926702741</v>
      </c>
    </row>
    <row r="6361">
      <c r="A6361" t="inlineStr">
        <is>
          <t>Morocco</t>
        </is>
      </c>
      <c r="B6361" t="inlineStr">
        <is>
          <t>MAR</t>
        </is>
      </c>
      <c r="C6361" t="n">
        <v>1976</v>
      </c>
      <c r="D6361" t="n">
        <v>8.50215244349303</v>
      </c>
    </row>
    <row r="6362">
      <c r="A6362" t="inlineStr">
        <is>
          <t>Morocco</t>
        </is>
      </c>
      <c r="B6362" t="inlineStr">
        <is>
          <t>MAR</t>
        </is>
      </c>
      <c r="C6362" t="n">
        <v>1977</v>
      </c>
      <c r="D6362" t="n">
        <v>12.5970009920069</v>
      </c>
    </row>
    <row r="6363">
      <c r="A6363" t="inlineStr">
        <is>
          <t>Morocco</t>
        </is>
      </c>
      <c r="B6363" t="inlineStr">
        <is>
          <t>MAR</t>
        </is>
      </c>
      <c r="C6363" t="n">
        <v>1978</v>
      </c>
      <c r="D6363" t="n">
        <v>9.7160327495434</v>
      </c>
    </row>
    <row r="6364">
      <c r="A6364" t="inlineStr">
        <is>
          <t>Morocco</t>
        </is>
      </c>
      <c r="B6364" t="inlineStr">
        <is>
          <t>MAR</t>
        </is>
      </c>
      <c r="C6364" t="n">
        <v>1979</v>
      </c>
      <c r="D6364" t="n">
        <v>8.33136541815462</v>
      </c>
    </row>
    <row r="6365">
      <c r="A6365" t="inlineStr">
        <is>
          <t>Morocco</t>
        </is>
      </c>
      <c r="B6365" t="inlineStr">
        <is>
          <t>MAR</t>
        </is>
      </c>
      <c r="C6365" t="n">
        <v>1980</v>
      </c>
      <c r="D6365" t="n">
        <v>9.40837947437956</v>
      </c>
    </row>
    <row r="6366">
      <c r="A6366" t="inlineStr">
        <is>
          <t>Morocco</t>
        </is>
      </c>
      <c r="B6366" t="inlineStr">
        <is>
          <t>MAR</t>
        </is>
      </c>
      <c r="C6366" t="n">
        <v>1981</v>
      </c>
      <c r="D6366" t="n">
        <v>12.4925283921001</v>
      </c>
    </row>
    <row r="6367">
      <c r="A6367" t="inlineStr">
        <is>
          <t>Morocco</t>
        </is>
      </c>
      <c r="B6367" t="inlineStr">
        <is>
          <t>MAR</t>
        </is>
      </c>
      <c r="C6367" t="n">
        <v>1982</v>
      </c>
      <c r="D6367" t="n">
        <v>10.5278072972983</v>
      </c>
    </row>
    <row r="6368">
      <c r="A6368" t="inlineStr">
        <is>
          <t>Morocco</t>
        </is>
      </c>
      <c r="B6368" t="inlineStr">
        <is>
          <t>MAR</t>
        </is>
      </c>
      <c r="C6368" t="n">
        <v>1983</v>
      </c>
      <c r="D6368" t="n">
        <v>6.20793538870313</v>
      </c>
    </row>
    <row r="6369">
      <c r="A6369" t="inlineStr">
        <is>
          <t>Morocco</t>
        </is>
      </c>
      <c r="B6369" t="inlineStr">
        <is>
          <t>MAR</t>
        </is>
      </c>
      <c r="C6369" t="n">
        <v>1984</v>
      </c>
      <c r="D6369" t="n">
        <v>12.4475693291853</v>
      </c>
    </row>
    <row r="6370">
      <c r="A6370" t="inlineStr">
        <is>
          <t>Morocco</t>
        </is>
      </c>
      <c r="B6370" t="inlineStr">
        <is>
          <t>MAR</t>
        </is>
      </c>
      <c r="C6370" t="n">
        <v>1985</v>
      </c>
      <c r="D6370" t="n">
        <v>7.7286389008592</v>
      </c>
    </row>
    <row r="6371">
      <c r="A6371" t="inlineStr">
        <is>
          <t>Morocco</t>
        </is>
      </c>
      <c r="B6371" t="inlineStr">
        <is>
          <t>MAR</t>
        </is>
      </c>
      <c r="C6371" t="n">
        <v>1986</v>
      </c>
      <c r="D6371" t="n">
        <v>8.733559187066749</v>
      </c>
    </row>
    <row r="6372">
      <c r="A6372" t="inlineStr">
        <is>
          <t>Morocco</t>
        </is>
      </c>
      <c r="B6372" t="inlineStr">
        <is>
          <t>MAR</t>
        </is>
      </c>
      <c r="C6372" t="n">
        <v>1987</v>
      </c>
      <c r="D6372" t="n">
        <v>2.69873997713767</v>
      </c>
    </row>
    <row r="6373">
      <c r="A6373" t="inlineStr">
        <is>
          <t>Morocco</t>
        </is>
      </c>
      <c r="B6373" t="inlineStr">
        <is>
          <t>MAR</t>
        </is>
      </c>
      <c r="C6373" t="n">
        <v>1988</v>
      </c>
      <c r="D6373" t="n">
        <v>2.36905505487641</v>
      </c>
    </row>
    <row r="6374">
      <c r="A6374" t="inlineStr">
        <is>
          <t>Morocco</t>
        </is>
      </c>
      <c r="B6374" t="inlineStr">
        <is>
          <t>MAR</t>
        </is>
      </c>
      <c r="C6374" t="n">
        <v>1989</v>
      </c>
      <c r="D6374" t="n">
        <v>3.2599694922639</v>
      </c>
    </row>
    <row r="6375">
      <c r="A6375" t="inlineStr">
        <is>
          <t>Morocco</t>
        </is>
      </c>
      <c r="B6375" t="inlineStr">
        <is>
          <t>MAR</t>
        </is>
      </c>
      <c r="C6375" t="n">
        <v>1990</v>
      </c>
      <c r="D6375" t="n">
        <v>6.78259401511006</v>
      </c>
    </row>
    <row r="6376">
      <c r="A6376" t="inlineStr">
        <is>
          <t>Morocco</t>
        </is>
      </c>
      <c r="B6376" t="inlineStr">
        <is>
          <t>MAR</t>
        </is>
      </c>
      <c r="C6376" t="n">
        <v>1991</v>
      </c>
      <c r="D6376" t="n">
        <v>7.98616600790512</v>
      </c>
    </row>
    <row r="6377">
      <c r="A6377" t="inlineStr">
        <is>
          <t>Morocco</t>
        </is>
      </c>
      <c r="B6377" t="inlineStr">
        <is>
          <t>MAR</t>
        </is>
      </c>
      <c r="C6377" t="n">
        <v>1992</v>
      </c>
      <c r="D6377" t="n">
        <v>5.7402466286874</v>
      </c>
    </row>
    <row r="6378">
      <c r="A6378" t="inlineStr">
        <is>
          <t>Morocco</t>
        </is>
      </c>
      <c r="B6378" t="inlineStr">
        <is>
          <t>MAR</t>
        </is>
      </c>
      <c r="C6378" t="n">
        <v>1993</v>
      </c>
      <c r="D6378" t="n">
        <v>5.18311396030801</v>
      </c>
    </row>
    <row r="6379">
      <c r="A6379" t="inlineStr">
        <is>
          <t>Morocco</t>
        </is>
      </c>
      <c r="B6379" t="inlineStr">
        <is>
          <t>MAR</t>
        </is>
      </c>
      <c r="C6379" t="n">
        <v>1994</v>
      </c>
      <c r="D6379" t="n">
        <v>5.14167152953361</v>
      </c>
    </row>
    <row r="6380">
      <c r="A6380" t="inlineStr">
        <is>
          <t>Morocco</t>
        </is>
      </c>
      <c r="B6380" t="inlineStr">
        <is>
          <t>MAR</t>
        </is>
      </c>
      <c r="C6380" t="n">
        <v>1995</v>
      </c>
      <c r="D6380" t="n">
        <v>6.12358164775523</v>
      </c>
    </row>
    <row r="6381">
      <c r="A6381" t="inlineStr">
        <is>
          <t>Morocco</t>
        </is>
      </c>
      <c r="B6381" t="inlineStr">
        <is>
          <t>MAR</t>
        </is>
      </c>
      <c r="C6381" t="n">
        <v>1996</v>
      </c>
      <c r="D6381" t="n">
        <v>2.98680922773017</v>
      </c>
    </row>
    <row r="6382">
      <c r="A6382" t="inlineStr">
        <is>
          <t>Morocco</t>
        </is>
      </c>
      <c r="B6382" t="inlineStr">
        <is>
          <t>MAR</t>
        </is>
      </c>
      <c r="C6382" t="n">
        <v>1997</v>
      </c>
      <c r="D6382" t="n">
        <v>1.03819895051614</v>
      </c>
    </row>
    <row r="6383">
      <c r="A6383" t="inlineStr">
        <is>
          <t>Morocco</t>
        </is>
      </c>
      <c r="B6383" t="inlineStr">
        <is>
          <t>MAR</t>
        </is>
      </c>
      <c r="C6383" t="n">
        <v>1998</v>
      </c>
      <c r="D6383" t="n">
        <v>2.75311330764477</v>
      </c>
    </row>
    <row r="6384">
      <c r="A6384" t="inlineStr">
        <is>
          <t>Morocco</t>
        </is>
      </c>
      <c r="B6384" t="inlineStr">
        <is>
          <t>MAR</t>
        </is>
      </c>
      <c r="C6384" t="n">
        <v>1999</v>
      </c>
      <c r="D6384" t="n">
        <v>0.684782608695643</v>
      </c>
    </row>
    <row r="6385">
      <c r="A6385" t="inlineStr">
        <is>
          <t>Morocco</t>
        </is>
      </c>
      <c r="B6385" t="inlineStr">
        <is>
          <t>MAR</t>
        </is>
      </c>
      <c r="C6385" t="n">
        <v>2000</v>
      </c>
      <c r="D6385" t="n">
        <v>1.89463456763464</v>
      </c>
    </row>
    <row r="6386">
      <c r="A6386" t="inlineStr">
        <is>
          <t>Morocco</t>
        </is>
      </c>
      <c r="B6386" t="inlineStr">
        <is>
          <t>MAR</t>
        </is>
      </c>
      <c r="C6386" t="n">
        <v>2001</v>
      </c>
      <c r="D6386" t="n">
        <v>0.619801875297975</v>
      </c>
    </row>
    <row r="6387">
      <c r="A6387" t="inlineStr">
        <is>
          <t>Morocco</t>
        </is>
      </c>
      <c r="B6387" t="inlineStr">
        <is>
          <t>MAR</t>
        </is>
      </c>
      <c r="C6387" t="n">
        <v>2002</v>
      </c>
      <c r="D6387" t="n">
        <v>2.79561966936936</v>
      </c>
    </row>
    <row r="6388">
      <c r="A6388" t="inlineStr">
        <is>
          <t>Morocco</t>
        </is>
      </c>
      <c r="B6388" t="inlineStr">
        <is>
          <t>MAR</t>
        </is>
      </c>
      <c r="C6388" t="n">
        <v>2003</v>
      </c>
      <c r="D6388" t="n">
        <v>1.16773367477592</v>
      </c>
    </row>
    <row r="6389">
      <c r="A6389" t="inlineStr">
        <is>
          <t>Morocco</t>
        </is>
      </c>
      <c r="B6389" t="inlineStr">
        <is>
          <t>MAR</t>
        </is>
      </c>
      <c r="C6389" t="n">
        <v>2004</v>
      </c>
      <c r="D6389" t="n">
        <v>1.49344403381774</v>
      </c>
    </row>
    <row r="6390">
      <c r="A6390" t="inlineStr">
        <is>
          <t>Morocco</t>
        </is>
      </c>
      <c r="B6390" t="inlineStr">
        <is>
          <t>MAR</t>
        </is>
      </c>
      <c r="C6390" t="n">
        <v>2005</v>
      </c>
      <c r="D6390" t="n">
        <v>0.982641660015951</v>
      </c>
    </row>
    <row r="6391">
      <c r="A6391" t="inlineStr">
        <is>
          <t>Morocco</t>
        </is>
      </c>
      <c r="B6391" t="inlineStr">
        <is>
          <t>MAR</t>
        </is>
      </c>
      <c r="C6391" t="n">
        <v>2006</v>
      </c>
      <c r="D6391" t="n">
        <v>3.28476166954811</v>
      </c>
    </row>
    <row r="6392">
      <c r="A6392" t="inlineStr">
        <is>
          <t>Morocco</t>
        </is>
      </c>
      <c r="B6392" t="inlineStr">
        <is>
          <t>MAR</t>
        </is>
      </c>
      <c r="C6392" t="n">
        <v>2007</v>
      </c>
      <c r="D6392" t="n">
        <v>2.04208512673344</v>
      </c>
    </row>
    <row r="6393">
      <c r="A6393" t="inlineStr">
        <is>
          <t>Morocco</t>
        </is>
      </c>
      <c r="B6393" t="inlineStr">
        <is>
          <t>MAR</t>
        </is>
      </c>
      <c r="C6393" t="n">
        <v>2008</v>
      </c>
      <c r="D6393" t="n">
        <v>3.71484311494064</v>
      </c>
    </row>
    <row r="6394">
      <c r="A6394" t="inlineStr">
        <is>
          <t>Morocco</t>
        </is>
      </c>
      <c r="B6394" t="inlineStr">
        <is>
          <t>MAR</t>
        </is>
      </c>
      <c r="C6394" t="n">
        <v>2009</v>
      </c>
      <c r="D6394" t="n">
        <v>0.971862998667636</v>
      </c>
    </row>
    <row r="6395">
      <c r="A6395" t="inlineStr">
        <is>
          <t>Morocco</t>
        </is>
      </c>
      <c r="B6395" t="inlineStr">
        <is>
          <t>MAR</t>
        </is>
      </c>
      <c r="C6395" t="n">
        <v>2010</v>
      </c>
      <c r="D6395" t="n">
        <v>0.993557401226392</v>
      </c>
    </row>
    <row r="6396">
      <c r="A6396" t="inlineStr">
        <is>
          <t>Morocco</t>
        </is>
      </c>
      <c r="B6396" t="inlineStr">
        <is>
          <t>MAR</t>
        </is>
      </c>
      <c r="C6396" t="n">
        <v>2011</v>
      </c>
      <c r="D6396" t="n">
        <v>0.9069249096918</v>
      </c>
    </row>
    <row r="6397">
      <c r="A6397" t="inlineStr">
        <is>
          <t>Morocco</t>
        </is>
      </c>
      <c r="B6397" t="inlineStr">
        <is>
          <t>MAR</t>
        </is>
      </c>
      <c r="C6397" t="n">
        <v>2012</v>
      </c>
      <c r="D6397" t="n">
        <v>1.28712240079219</v>
      </c>
    </row>
    <row r="6398">
      <c r="A6398" t="inlineStr">
        <is>
          <t>Morocco</t>
        </is>
      </c>
      <c r="B6398" t="inlineStr">
        <is>
          <t>MAR</t>
        </is>
      </c>
      <c r="C6398" t="n">
        <v>2013</v>
      </c>
      <c r="D6398" t="n">
        <v>1.88065466724086</v>
      </c>
    </row>
    <row r="6399">
      <c r="A6399" t="inlineStr">
        <is>
          <t>Morocco</t>
        </is>
      </c>
      <c r="B6399" t="inlineStr">
        <is>
          <t>MAR</t>
        </is>
      </c>
      <c r="C6399" t="n">
        <v>2014</v>
      </c>
      <c r="D6399" t="n">
        <v>0.442310053557048</v>
      </c>
    </row>
    <row r="6400">
      <c r="A6400" t="inlineStr">
        <is>
          <t>Morocco</t>
        </is>
      </c>
      <c r="B6400" t="inlineStr">
        <is>
          <t>MAR</t>
        </is>
      </c>
      <c r="C6400" t="n">
        <v>2015</v>
      </c>
      <c r="D6400" t="n">
        <v>1.5579071134626</v>
      </c>
    </row>
    <row r="6401">
      <c r="A6401" t="inlineStr">
        <is>
          <t>Morocco</t>
        </is>
      </c>
      <c r="B6401" t="inlineStr">
        <is>
          <t>MAR</t>
        </is>
      </c>
      <c r="C6401" t="n">
        <v>2016</v>
      </c>
      <c r="D6401" t="n">
        <v>1.63531114327064</v>
      </c>
    </row>
    <row r="6402">
      <c r="A6402" t="inlineStr">
        <is>
          <t>Morocco</t>
        </is>
      </c>
      <c r="B6402" t="inlineStr">
        <is>
          <t>MAR</t>
        </is>
      </c>
      <c r="C6402" t="n">
        <v>2017</v>
      </c>
      <c r="D6402" t="n">
        <v>0.7546632493236189</v>
      </c>
    </row>
    <row r="6403">
      <c r="A6403" t="inlineStr">
        <is>
          <t>Morocco</t>
        </is>
      </c>
      <c r="B6403" t="inlineStr">
        <is>
          <t>MAR</t>
        </is>
      </c>
      <c r="C6403" t="n">
        <v>2018</v>
      </c>
      <c r="D6403" t="n">
        <v>1.80391671141896</v>
      </c>
    </row>
    <row r="6404">
      <c r="A6404" t="inlineStr">
        <is>
          <t>Morocco</t>
        </is>
      </c>
      <c r="B6404" t="inlineStr">
        <is>
          <t>MAR</t>
        </is>
      </c>
      <c r="C6404" t="n">
        <v>2019</v>
      </c>
      <c r="D6404" t="n">
        <v>0.303386036590383</v>
      </c>
    </row>
    <row r="6405">
      <c r="A6405" t="inlineStr">
        <is>
          <t>Morocco</t>
        </is>
      </c>
      <c r="B6405" t="inlineStr">
        <is>
          <t>MAR</t>
        </is>
      </c>
      <c r="C6405" t="n">
        <v>2020</v>
      </c>
      <c r="D6405" t="n">
        <v>0.705968661338261</v>
      </c>
    </row>
    <row r="6406">
      <c r="A6406" t="inlineStr">
        <is>
          <t>Morocco</t>
        </is>
      </c>
      <c r="B6406" t="inlineStr">
        <is>
          <t>MAR</t>
        </is>
      </c>
      <c r="C6406" t="n">
        <v>2021</v>
      </c>
      <c r="D6406" t="n">
        <v>1.40195883962006</v>
      </c>
    </row>
    <row r="6407">
      <c r="A6407" t="inlineStr">
        <is>
          <t>Morocco</t>
        </is>
      </c>
      <c r="B6407" t="inlineStr">
        <is>
          <t>MAR</t>
        </is>
      </c>
      <c r="C6407" t="n">
        <v>2022</v>
      </c>
      <c r="D6407" t="n">
        <v>6.65704202759067</v>
      </c>
    </row>
    <row r="6408">
      <c r="A6408" t="inlineStr">
        <is>
          <t>Morocco</t>
        </is>
      </c>
      <c r="B6408" t="inlineStr">
        <is>
          <t>MAR</t>
        </is>
      </c>
      <c r="C6408" t="n">
        <v>2023</v>
      </c>
      <c r="D6408" t="n">
        <v>6.09114152504141</v>
      </c>
    </row>
    <row r="6409">
      <c r="A6409" t="inlineStr">
        <is>
          <t>Morocco</t>
        </is>
      </c>
      <c r="B6409" t="inlineStr">
        <is>
          <t>MAR</t>
        </is>
      </c>
      <c r="C6409" t="n">
        <v>2024</v>
      </c>
      <c r="D6409" t="n">
        <v>0.985256592004507</v>
      </c>
    </row>
    <row r="6410">
      <c r="A6410" t="inlineStr">
        <is>
          <t>Moldova</t>
        </is>
      </c>
      <c r="B6410" t="inlineStr">
        <is>
          <t>MDA</t>
        </is>
      </c>
      <c r="C6410" t="n">
        <v>1992</v>
      </c>
      <c r="D6410" t="n">
        <v>1026.82626424702</v>
      </c>
    </row>
    <row r="6411">
      <c r="A6411" t="inlineStr">
        <is>
          <t>Moldova</t>
        </is>
      </c>
      <c r="B6411" t="inlineStr">
        <is>
          <t>MDA</t>
        </is>
      </c>
      <c r="C6411" t="n">
        <v>1993</v>
      </c>
      <c r="D6411" t="n">
        <v>1613.60398876194</v>
      </c>
    </row>
    <row r="6412">
      <c r="A6412" t="inlineStr">
        <is>
          <t>Moldova</t>
        </is>
      </c>
      <c r="B6412" t="inlineStr">
        <is>
          <t>MDA</t>
        </is>
      </c>
      <c r="C6412" t="n">
        <v>1994</v>
      </c>
      <c r="D6412" t="n">
        <v>486.42562379589</v>
      </c>
    </row>
    <row r="6413">
      <c r="A6413" t="inlineStr">
        <is>
          <t>Moldova</t>
        </is>
      </c>
      <c r="B6413" t="inlineStr">
        <is>
          <t>MDA</t>
        </is>
      </c>
      <c r="C6413" t="n">
        <v>1995</v>
      </c>
      <c r="D6413" t="n">
        <v>29.8656104095719</v>
      </c>
    </row>
    <row r="6414">
      <c r="A6414" t="inlineStr">
        <is>
          <t>Moldova</t>
        </is>
      </c>
      <c r="B6414" t="inlineStr">
        <is>
          <t>MDA</t>
        </is>
      </c>
      <c r="C6414" t="n">
        <v>1996</v>
      </c>
      <c r="D6414" t="n">
        <v>23.5056772963369</v>
      </c>
    </row>
    <row r="6415">
      <c r="A6415" t="inlineStr">
        <is>
          <t>Moldova</t>
        </is>
      </c>
      <c r="B6415" t="inlineStr">
        <is>
          <t>MDA</t>
        </is>
      </c>
      <c r="C6415" t="n">
        <v>1997</v>
      </c>
      <c r="D6415" t="n">
        <v>11.7728324494466</v>
      </c>
    </row>
    <row r="6416">
      <c r="A6416" t="inlineStr">
        <is>
          <t>Moldova</t>
        </is>
      </c>
      <c r="B6416" t="inlineStr">
        <is>
          <t>MDA</t>
        </is>
      </c>
      <c r="C6416" t="n">
        <v>1998</v>
      </c>
      <c r="D6416" t="n">
        <v>7.69576517517206</v>
      </c>
    </row>
    <row r="6417">
      <c r="A6417" t="inlineStr">
        <is>
          <t>Moldova</t>
        </is>
      </c>
      <c r="B6417" t="inlineStr">
        <is>
          <t>MDA</t>
        </is>
      </c>
      <c r="C6417" t="n">
        <v>1999</v>
      </c>
      <c r="D6417" t="n">
        <v>39.2559806891746</v>
      </c>
    </row>
    <row r="6418">
      <c r="A6418" t="inlineStr">
        <is>
          <t>Moldova</t>
        </is>
      </c>
      <c r="B6418" t="inlineStr">
        <is>
          <t>MDA</t>
        </is>
      </c>
      <c r="C6418" t="n">
        <v>2000</v>
      </c>
      <c r="D6418" t="n">
        <v>31.2993015817783</v>
      </c>
    </row>
    <row r="6419">
      <c r="A6419" t="inlineStr">
        <is>
          <t>Moldova</t>
        </is>
      </c>
      <c r="B6419" t="inlineStr">
        <is>
          <t>MDA</t>
        </is>
      </c>
      <c r="C6419" t="n">
        <v>2001</v>
      </c>
      <c r="D6419" t="n">
        <v>9.76466285757628</v>
      </c>
    </row>
    <row r="6420">
      <c r="A6420" t="inlineStr">
        <is>
          <t>Moldova</t>
        </is>
      </c>
      <c r="B6420" t="inlineStr">
        <is>
          <t>MDA</t>
        </is>
      </c>
      <c r="C6420" t="n">
        <v>2002</v>
      </c>
      <c r="D6420" t="n">
        <v>5.30124390261593</v>
      </c>
    </row>
    <row r="6421">
      <c r="A6421" t="inlineStr">
        <is>
          <t>Moldova</t>
        </is>
      </c>
      <c r="B6421" t="inlineStr">
        <is>
          <t>MDA</t>
        </is>
      </c>
      <c r="C6421" t="n">
        <v>2003</v>
      </c>
      <c r="D6421" t="n">
        <v>11.7460792058232</v>
      </c>
    </row>
    <row r="6422">
      <c r="A6422" t="inlineStr">
        <is>
          <t>Moldova</t>
        </is>
      </c>
      <c r="B6422" t="inlineStr">
        <is>
          <t>MDA</t>
        </is>
      </c>
      <c r="C6422" t="n">
        <v>2004</v>
      </c>
      <c r="D6422" t="n">
        <v>12.5242768428228</v>
      </c>
    </row>
    <row r="6423">
      <c r="A6423" t="inlineStr">
        <is>
          <t>Moldova</t>
        </is>
      </c>
      <c r="B6423" t="inlineStr">
        <is>
          <t>MDA</t>
        </is>
      </c>
      <c r="C6423" t="n">
        <v>2005</v>
      </c>
      <c r="D6423" t="n">
        <v>11.9591837222126</v>
      </c>
    </row>
    <row r="6424">
      <c r="A6424" t="inlineStr">
        <is>
          <t>Moldova</t>
        </is>
      </c>
      <c r="B6424" t="inlineStr">
        <is>
          <t>MDA</t>
        </is>
      </c>
      <c r="C6424" t="n">
        <v>2006</v>
      </c>
      <c r="D6424" t="n">
        <v>12.777755783035</v>
      </c>
    </row>
    <row r="6425">
      <c r="A6425" t="inlineStr">
        <is>
          <t>Moldova</t>
        </is>
      </c>
      <c r="B6425" t="inlineStr">
        <is>
          <t>MDA</t>
        </is>
      </c>
      <c r="C6425" t="n">
        <v>2007</v>
      </c>
      <c r="D6425" t="n">
        <v>12.3671668414302</v>
      </c>
    </row>
    <row r="6426">
      <c r="A6426" t="inlineStr">
        <is>
          <t>Moldova</t>
        </is>
      </c>
      <c r="B6426" t="inlineStr">
        <is>
          <t>MDA</t>
        </is>
      </c>
      <c r="C6426" t="n">
        <v>2008</v>
      </c>
      <c r="D6426" t="n">
        <v>12.783047261882</v>
      </c>
    </row>
    <row r="6427">
      <c r="A6427" t="inlineStr">
        <is>
          <t>Moldova</t>
        </is>
      </c>
      <c r="B6427" t="inlineStr">
        <is>
          <t>MDA</t>
        </is>
      </c>
      <c r="C6427" t="n">
        <v>2009</v>
      </c>
      <c r="D6427" t="n">
        <v>-0.06271859671084699</v>
      </c>
    </row>
    <row r="6428">
      <c r="A6428" t="inlineStr">
        <is>
          <t>Moldova</t>
        </is>
      </c>
      <c r="B6428" t="inlineStr">
        <is>
          <t>MDA</t>
        </is>
      </c>
      <c r="C6428" t="n">
        <v>2010</v>
      </c>
      <c r="D6428" t="n">
        <v>7.4838508635085</v>
      </c>
    </row>
    <row r="6429">
      <c r="A6429" t="inlineStr">
        <is>
          <t>Moldova</t>
        </is>
      </c>
      <c r="B6429" t="inlineStr">
        <is>
          <t>MDA</t>
        </is>
      </c>
      <c r="C6429" t="n">
        <v>2011</v>
      </c>
      <c r="D6429" t="n">
        <v>7.6872510335619</v>
      </c>
    </row>
    <row r="6430">
      <c r="A6430" t="inlineStr">
        <is>
          <t>Moldova</t>
        </is>
      </c>
      <c r="B6430" t="inlineStr">
        <is>
          <t>MDA</t>
        </is>
      </c>
      <c r="C6430" t="n">
        <v>2012</v>
      </c>
      <c r="D6430" t="n">
        <v>4.54633427355292</v>
      </c>
    </row>
    <row r="6431">
      <c r="A6431" t="inlineStr">
        <is>
          <t>Moldova</t>
        </is>
      </c>
      <c r="B6431" t="inlineStr">
        <is>
          <t>MDA</t>
        </is>
      </c>
      <c r="C6431" t="n">
        <v>2013</v>
      </c>
      <c r="D6431" t="n">
        <v>4.59787897363118</v>
      </c>
    </row>
    <row r="6432">
      <c r="A6432" t="inlineStr">
        <is>
          <t>Moldova</t>
        </is>
      </c>
      <c r="B6432" t="inlineStr">
        <is>
          <t>MDA</t>
        </is>
      </c>
      <c r="C6432" t="n">
        <v>2014</v>
      </c>
      <c r="D6432" t="n">
        <v>5.08878554625879</v>
      </c>
    </row>
    <row r="6433">
      <c r="A6433" t="inlineStr">
        <is>
          <t>Moldova</t>
        </is>
      </c>
      <c r="B6433" t="inlineStr">
        <is>
          <t>MDA</t>
        </is>
      </c>
      <c r="C6433" t="n">
        <v>2015</v>
      </c>
      <c r="D6433" t="n">
        <v>9.676240331018681</v>
      </c>
    </row>
    <row r="6434">
      <c r="A6434" t="inlineStr">
        <is>
          <t>Moldova</t>
        </is>
      </c>
      <c r="B6434" t="inlineStr">
        <is>
          <t>MDA</t>
        </is>
      </c>
      <c r="C6434" t="n">
        <v>2016</v>
      </c>
      <c r="D6434" t="n">
        <v>6.35930898037931</v>
      </c>
    </row>
    <row r="6435">
      <c r="A6435" t="inlineStr">
        <is>
          <t>Moldova</t>
        </is>
      </c>
      <c r="B6435" t="inlineStr">
        <is>
          <t>MDA</t>
        </is>
      </c>
      <c r="C6435" t="n">
        <v>2017</v>
      </c>
      <c r="D6435" t="n">
        <v>6.57022997455604</v>
      </c>
    </row>
    <row r="6436">
      <c r="A6436" t="inlineStr">
        <is>
          <t>Moldova</t>
        </is>
      </c>
      <c r="B6436" t="inlineStr">
        <is>
          <t>MDA</t>
        </is>
      </c>
      <c r="C6436" t="n">
        <v>2018</v>
      </c>
      <c r="D6436" t="n">
        <v>3.04505397337058</v>
      </c>
    </row>
    <row r="6437">
      <c r="A6437" t="inlineStr">
        <is>
          <t>Moldova</t>
        </is>
      </c>
      <c r="B6437" t="inlineStr">
        <is>
          <t>MDA</t>
        </is>
      </c>
      <c r="C6437" t="n">
        <v>2019</v>
      </c>
      <c r="D6437" t="n">
        <v>4.83778351428722</v>
      </c>
    </row>
    <row r="6438">
      <c r="A6438" t="inlineStr">
        <is>
          <t>Moldova</t>
        </is>
      </c>
      <c r="B6438" t="inlineStr">
        <is>
          <t>MDA</t>
        </is>
      </c>
      <c r="C6438" t="n">
        <v>2020</v>
      </c>
      <c r="D6438" t="n">
        <v>3.76597122245358</v>
      </c>
    </row>
    <row r="6439">
      <c r="A6439" t="inlineStr">
        <is>
          <t>Moldova</t>
        </is>
      </c>
      <c r="B6439" t="inlineStr">
        <is>
          <t>MDA</t>
        </is>
      </c>
      <c r="C6439" t="n">
        <v>2021</v>
      </c>
      <c r="D6439" t="n">
        <v>5.10641129002836</v>
      </c>
    </row>
    <row r="6440">
      <c r="A6440" t="inlineStr">
        <is>
          <t>Moldova</t>
        </is>
      </c>
      <c r="B6440" t="inlineStr">
        <is>
          <t>MDA</t>
        </is>
      </c>
      <c r="C6440" t="n">
        <v>2022</v>
      </c>
      <c r="D6440" t="n">
        <v>28.7372976766236</v>
      </c>
    </row>
    <row r="6441">
      <c r="A6441" t="inlineStr">
        <is>
          <t>Moldova</t>
        </is>
      </c>
      <c r="B6441" t="inlineStr">
        <is>
          <t>MDA</t>
        </is>
      </c>
      <c r="C6441" t="n">
        <v>2023</v>
      </c>
      <c r="D6441" t="n">
        <v>13.41701043813</v>
      </c>
    </row>
    <row r="6442">
      <c r="A6442" t="inlineStr">
        <is>
          <t>Moldova</t>
        </is>
      </c>
      <c r="B6442" t="inlineStr">
        <is>
          <t>MDA</t>
        </is>
      </c>
      <c r="C6442" t="n">
        <v>2024</v>
      </c>
      <c r="D6442" t="n">
        <v>4.67773516007048</v>
      </c>
    </row>
    <row r="6443">
      <c r="A6443" t="inlineStr">
        <is>
          <t>Madagascar</t>
        </is>
      </c>
      <c r="B6443" t="inlineStr">
        <is>
          <t>MDG</t>
        </is>
      </c>
      <c r="C6443" t="n">
        <v>1965</v>
      </c>
      <c r="D6443" t="n">
        <v>4.20186036589442</v>
      </c>
    </row>
    <row r="6444">
      <c r="A6444" t="inlineStr">
        <is>
          <t>Madagascar</t>
        </is>
      </c>
      <c r="B6444" t="inlineStr">
        <is>
          <t>MDG</t>
        </is>
      </c>
      <c r="C6444" t="n">
        <v>1966</v>
      </c>
      <c r="D6444" t="n">
        <v>3.21157397897554</v>
      </c>
    </row>
    <row r="6445">
      <c r="A6445" t="inlineStr">
        <is>
          <t>Madagascar</t>
        </is>
      </c>
      <c r="B6445" t="inlineStr">
        <is>
          <t>MDG</t>
        </is>
      </c>
      <c r="C6445" t="n">
        <v>1967</v>
      </c>
      <c r="D6445" t="n">
        <v>0.815190376680787</v>
      </c>
    </row>
    <row r="6446">
      <c r="A6446" t="inlineStr">
        <is>
          <t>Madagascar</t>
        </is>
      </c>
      <c r="B6446" t="inlineStr">
        <is>
          <t>MDG</t>
        </is>
      </c>
      <c r="C6446" t="n">
        <v>1968</v>
      </c>
      <c r="D6446" t="n">
        <v>0.956513164485543</v>
      </c>
    </row>
    <row r="6447">
      <c r="A6447" t="inlineStr">
        <is>
          <t>Madagascar</t>
        </is>
      </c>
      <c r="B6447" t="inlineStr">
        <is>
          <t>MDG</t>
        </is>
      </c>
      <c r="C6447" t="n">
        <v>1969</v>
      </c>
      <c r="D6447" t="n">
        <v>3.82887282683659</v>
      </c>
    </row>
    <row r="6448">
      <c r="A6448" t="inlineStr">
        <is>
          <t>Madagascar</t>
        </is>
      </c>
      <c r="B6448" t="inlineStr">
        <is>
          <t>MDG</t>
        </is>
      </c>
      <c r="C6448" t="n">
        <v>1970</v>
      </c>
      <c r="D6448" t="n">
        <v>2.87864534318793</v>
      </c>
    </row>
    <row r="6449">
      <c r="A6449" t="inlineStr">
        <is>
          <t>Madagascar</t>
        </is>
      </c>
      <c r="B6449" t="inlineStr">
        <is>
          <t>MDG</t>
        </is>
      </c>
      <c r="C6449" t="n">
        <v>1971</v>
      </c>
      <c r="D6449" t="n">
        <v>5.38588149243495</v>
      </c>
    </row>
    <row r="6450">
      <c r="A6450" t="inlineStr">
        <is>
          <t>Madagascar</t>
        </is>
      </c>
      <c r="B6450" t="inlineStr">
        <is>
          <t>MDG</t>
        </is>
      </c>
      <c r="C6450" t="n">
        <v>1972</v>
      </c>
      <c r="D6450" t="n">
        <v>5.6225596527748</v>
      </c>
    </row>
    <row r="6451">
      <c r="A6451" t="inlineStr">
        <is>
          <t>Madagascar</t>
        </is>
      </c>
      <c r="B6451" t="inlineStr">
        <is>
          <t>MDG</t>
        </is>
      </c>
      <c r="C6451" t="n">
        <v>1973</v>
      </c>
      <c r="D6451" t="n">
        <v>6.1201018646478</v>
      </c>
    </row>
    <row r="6452">
      <c r="A6452" t="inlineStr">
        <is>
          <t>Madagascar</t>
        </is>
      </c>
      <c r="B6452" t="inlineStr">
        <is>
          <t>MDG</t>
        </is>
      </c>
      <c r="C6452" t="n">
        <v>1974</v>
      </c>
      <c r="D6452" t="n">
        <v>22.100944418778</v>
      </c>
    </row>
    <row r="6453">
      <c r="A6453" t="inlineStr">
        <is>
          <t>Madagascar</t>
        </is>
      </c>
      <c r="B6453" t="inlineStr">
        <is>
          <t>MDG</t>
        </is>
      </c>
      <c r="C6453" t="n">
        <v>1975</v>
      </c>
      <c r="D6453" t="n">
        <v>8.191212832159289</v>
      </c>
    </row>
    <row r="6454">
      <c r="A6454" t="inlineStr">
        <is>
          <t>Madagascar</t>
        </is>
      </c>
      <c r="B6454" t="inlineStr">
        <is>
          <t>MDG</t>
        </is>
      </c>
      <c r="C6454" t="n">
        <v>1976</v>
      </c>
      <c r="D6454" t="n">
        <v>4.98681511862571</v>
      </c>
    </row>
    <row r="6455">
      <c r="A6455" t="inlineStr">
        <is>
          <t>Madagascar</t>
        </is>
      </c>
      <c r="B6455" t="inlineStr">
        <is>
          <t>MDG</t>
        </is>
      </c>
      <c r="C6455" t="n">
        <v>1977</v>
      </c>
      <c r="D6455" t="n">
        <v>3.10895289128426</v>
      </c>
    </row>
    <row r="6456">
      <c r="A6456" t="inlineStr">
        <is>
          <t>Madagascar</t>
        </is>
      </c>
      <c r="B6456" t="inlineStr">
        <is>
          <t>MDG</t>
        </is>
      </c>
      <c r="C6456" t="n">
        <v>1978</v>
      </c>
      <c r="D6456" t="n">
        <v>6.52844692261797</v>
      </c>
    </row>
    <row r="6457">
      <c r="A6457" t="inlineStr">
        <is>
          <t>Madagascar</t>
        </is>
      </c>
      <c r="B6457" t="inlineStr">
        <is>
          <t>MDG</t>
        </is>
      </c>
      <c r="C6457" t="n">
        <v>1979</v>
      </c>
      <c r="D6457" t="n">
        <v>14.0555922555516</v>
      </c>
    </row>
    <row r="6458">
      <c r="A6458" t="inlineStr">
        <is>
          <t>Madagascar</t>
        </is>
      </c>
      <c r="B6458" t="inlineStr">
        <is>
          <t>MDG</t>
        </is>
      </c>
      <c r="C6458" t="n">
        <v>1980</v>
      </c>
      <c r="D6458" t="n">
        <v>18.2178658946756</v>
      </c>
    </row>
    <row r="6459">
      <c r="A6459" t="inlineStr">
        <is>
          <t>Madagascar</t>
        </is>
      </c>
      <c r="B6459" t="inlineStr">
        <is>
          <t>MDG</t>
        </is>
      </c>
      <c r="C6459" t="n">
        <v>1981</v>
      </c>
      <c r="D6459" t="n">
        <v>30.5381774327711</v>
      </c>
    </row>
    <row r="6460">
      <c r="A6460" t="inlineStr">
        <is>
          <t>Madagascar</t>
        </is>
      </c>
      <c r="B6460" t="inlineStr">
        <is>
          <t>MDG</t>
        </is>
      </c>
      <c r="C6460" t="n">
        <v>1982</v>
      </c>
      <c r="D6460" t="n">
        <v>31.7897046510535</v>
      </c>
    </row>
    <row r="6461">
      <c r="A6461" t="inlineStr">
        <is>
          <t>Madagascar</t>
        </is>
      </c>
      <c r="B6461" t="inlineStr">
        <is>
          <t>MDG</t>
        </is>
      </c>
      <c r="C6461" t="n">
        <v>1983</v>
      </c>
      <c r="D6461" t="n">
        <v>19.328338591095</v>
      </c>
    </row>
    <row r="6462">
      <c r="A6462" t="inlineStr">
        <is>
          <t>Madagascar</t>
        </is>
      </c>
      <c r="B6462" t="inlineStr">
        <is>
          <t>MDG</t>
        </is>
      </c>
      <c r="C6462" t="n">
        <v>1984</v>
      </c>
      <c r="D6462" t="n">
        <v>9.85662095433889</v>
      </c>
    </row>
    <row r="6463">
      <c r="A6463" t="inlineStr">
        <is>
          <t>Madagascar</t>
        </is>
      </c>
      <c r="B6463" t="inlineStr">
        <is>
          <t>MDG</t>
        </is>
      </c>
      <c r="C6463" t="n">
        <v>1985</v>
      </c>
      <c r="D6463" t="n">
        <v>10.5564839573619</v>
      </c>
    </row>
    <row r="6464">
      <c r="A6464" t="inlineStr">
        <is>
          <t>Madagascar</t>
        </is>
      </c>
      <c r="B6464" t="inlineStr">
        <is>
          <t>MDG</t>
        </is>
      </c>
      <c r="C6464" t="n">
        <v>1986</v>
      </c>
      <c r="D6464" t="n">
        <v>14.4973321039129</v>
      </c>
    </row>
    <row r="6465">
      <c r="A6465" t="inlineStr">
        <is>
          <t>Madagascar</t>
        </is>
      </c>
      <c r="B6465" t="inlineStr">
        <is>
          <t>MDG</t>
        </is>
      </c>
      <c r="C6465" t="n">
        <v>1987</v>
      </c>
      <c r="D6465" t="n">
        <v>14.9931351322502</v>
      </c>
    </row>
    <row r="6466">
      <c r="A6466" t="inlineStr">
        <is>
          <t>Madagascar</t>
        </is>
      </c>
      <c r="B6466" t="inlineStr">
        <is>
          <t>MDG</t>
        </is>
      </c>
      <c r="C6466" t="n">
        <v>1988</v>
      </c>
      <c r="D6466" t="n">
        <v>26.8537971413812</v>
      </c>
    </row>
    <row r="6467">
      <c r="A6467" t="inlineStr">
        <is>
          <t>Madagascar</t>
        </is>
      </c>
      <c r="B6467" t="inlineStr">
        <is>
          <t>MDG</t>
        </is>
      </c>
      <c r="C6467" t="n">
        <v>1989</v>
      </c>
      <c r="D6467" t="n">
        <v>9.01299594555501</v>
      </c>
    </row>
    <row r="6468">
      <c r="A6468" t="inlineStr">
        <is>
          <t>Madagascar</t>
        </is>
      </c>
      <c r="B6468" t="inlineStr">
        <is>
          <t>MDG</t>
        </is>
      </c>
      <c r="C6468" t="n">
        <v>1990</v>
      </c>
      <c r="D6468" t="n">
        <v>11.7844838321357</v>
      </c>
    </row>
    <row r="6469">
      <c r="A6469" t="inlineStr">
        <is>
          <t>Madagascar</t>
        </is>
      </c>
      <c r="B6469" t="inlineStr">
        <is>
          <t>MDG</t>
        </is>
      </c>
      <c r="C6469" t="n">
        <v>1991</v>
      </c>
      <c r="D6469" t="n">
        <v>8.59264760490192</v>
      </c>
    </row>
    <row r="6470">
      <c r="A6470" t="inlineStr">
        <is>
          <t>Madagascar</t>
        </is>
      </c>
      <c r="B6470" t="inlineStr">
        <is>
          <t>MDG</t>
        </is>
      </c>
      <c r="C6470" t="n">
        <v>1992</v>
      </c>
      <c r="D6470" t="n">
        <v>14.5123786075771</v>
      </c>
    </row>
    <row r="6471">
      <c r="A6471" t="inlineStr">
        <is>
          <t>Madagascar</t>
        </is>
      </c>
      <c r="B6471" t="inlineStr">
        <is>
          <t>MDG</t>
        </is>
      </c>
      <c r="C6471" t="n">
        <v>1993</v>
      </c>
      <c r="D6471" t="n">
        <v>10.008361204014</v>
      </c>
    </row>
    <row r="6472">
      <c r="A6472" t="inlineStr">
        <is>
          <t>Madagascar</t>
        </is>
      </c>
      <c r="B6472" t="inlineStr">
        <is>
          <t>MDG</t>
        </is>
      </c>
      <c r="C6472" t="n">
        <v>1994</v>
      </c>
      <c r="D6472" t="n">
        <v>38.9417908989239</v>
      </c>
    </row>
    <row r="6473">
      <c r="A6473" t="inlineStr">
        <is>
          <t>Madagascar</t>
        </is>
      </c>
      <c r="B6473" t="inlineStr">
        <is>
          <t>MDG</t>
        </is>
      </c>
      <c r="C6473" t="n">
        <v>1995</v>
      </c>
      <c r="D6473" t="n">
        <v>49.0802100590784</v>
      </c>
    </row>
    <row r="6474">
      <c r="A6474" t="inlineStr">
        <is>
          <t>Madagascar</t>
        </is>
      </c>
      <c r="B6474" t="inlineStr">
        <is>
          <t>MDG</t>
        </is>
      </c>
      <c r="C6474" t="n">
        <v>1996</v>
      </c>
      <c r="D6474" t="n">
        <v>19.7563545439776</v>
      </c>
    </row>
    <row r="6475">
      <c r="A6475" t="inlineStr">
        <is>
          <t>Madagascar</t>
        </is>
      </c>
      <c r="B6475" t="inlineStr">
        <is>
          <t>MDG</t>
        </is>
      </c>
      <c r="C6475" t="n">
        <v>1997</v>
      </c>
      <c r="D6475" t="n">
        <v>4.48638261737399</v>
      </c>
    </row>
    <row r="6476">
      <c r="A6476" t="inlineStr">
        <is>
          <t>Madagascar</t>
        </is>
      </c>
      <c r="B6476" t="inlineStr">
        <is>
          <t>MDG</t>
        </is>
      </c>
      <c r="C6476" t="n">
        <v>1998</v>
      </c>
      <c r="D6476" t="n">
        <v>6.2080160866332</v>
      </c>
    </row>
    <row r="6477">
      <c r="A6477" t="inlineStr">
        <is>
          <t>Madagascar</t>
        </is>
      </c>
      <c r="B6477" t="inlineStr">
        <is>
          <t>MDG</t>
        </is>
      </c>
      <c r="C6477" t="n">
        <v>1999</v>
      </c>
      <c r="D6477" t="n">
        <v>9.92953399348781</v>
      </c>
    </row>
    <row r="6478">
      <c r="A6478" t="inlineStr">
        <is>
          <t>Madagascar</t>
        </is>
      </c>
      <c r="B6478" t="inlineStr">
        <is>
          <t>MDG</t>
        </is>
      </c>
      <c r="C6478" t="n">
        <v>2000</v>
      </c>
      <c r="D6478" t="n">
        <v>11.859684500028</v>
      </c>
    </row>
    <row r="6479">
      <c r="A6479" t="inlineStr">
        <is>
          <t>Madagascar</t>
        </is>
      </c>
      <c r="B6479" t="inlineStr">
        <is>
          <t>MDG</t>
        </is>
      </c>
      <c r="C6479" t="n">
        <v>2001</v>
      </c>
      <c r="D6479" t="n">
        <v>7.91694484529586</v>
      </c>
    </row>
    <row r="6480">
      <c r="A6480" t="inlineStr">
        <is>
          <t>Madagascar</t>
        </is>
      </c>
      <c r="B6480" t="inlineStr">
        <is>
          <t>MDG</t>
        </is>
      </c>
      <c r="C6480" t="n">
        <v>2002</v>
      </c>
      <c r="D6480" t="n">
        <v>16.4985255315846</v>
      </c>
    </row>
    <row r="6481">
      <c r="A6481" t="inlineStr">
        <is>
          <t>Madagascar</t>
        </is>
      </c>
      <c r="B6481" t="inlineStr">
        <is>
          <t>MDG</t>
        </is>
      </c>
      <c r="C6481" t="n">
        <v>2003</v>
      </c>
      <c r="D6481" t="n">
        <v>-1.70400479616298</v>
      </c>
    </row>
    <row r="6482">
      <c r="A6482" t="inlineStr">
        <is>
          <t>Madagascar</t>
        </is>
      </c>
      <c r="B6482" t="inlineStr">
        <is>
          <t>MDG</t>
        </is>
      </c>
      <c r="C6482" t="n">
        <v>2004</v>
      </c>
      <c r="D6482" t="n">
        <v>13.9558018033211</v>
      </c>
    </row>
    <row r="6483">
      <c r="A6483" t="inlineStr">
        <is>
          <t>Madagascar</t>
        </is>
      </c>
      <c r="B6483" t="inlineStr">
        <is>
          <t>MDG</t>
        </is>
      </c>
      <c r="C6483" t="n">
        <v>2005</v>
      </c>
      <c r="D6483" t="n">
        <v>18.3638246468932</v>
      </c>
    </row>
    <row r="6484">
      <c r="A6484" t="inlineStr">
        <is>
          <t>Madagascar</t>
        </is>
      </c>
      <c r="B6484" t="inlineStr">
        <is>
          <t>MDG</t>
        </is>
      </c>
      <c r="C6484" t="n">
        <v>2006</v>
      </c>
      <c r="D6484" t="n">
        <v>10.7656371554865</v>
      </c>
    </row>
    <row r="6485">
      <c r="A6485" t="inlineStr">
        <is>
          <t>Madagascar</t>
        </is>
      </c>
      <c r="B6485" t="inlineStr">
        <is>
          <t>MDG</t>
        </is>
      </c>
      <c r="C6485" t="n">
        <v>2007</v>
      </c>
      <c r="D6485" t="n">
        <v>10.2879663187671</v>
      </c>
    </row>
    <row r="6486">
      <c r="A6486" t="inlineStr">
        <is>
          <t>Madagascar</t>
        </is>
      </c>
      <c r="B6486" t="inlineStr">
        <is>
          <t>MDG</t>
        </is>
      </c>
      <c r="C6486" t="n">
        <v>2008</v>
      </c>
      <c r="D6486" t="n">
        <v>9.296508393810569</v>
      </c>
    </row>
    <row r="6487">
      <c r="A6487" t="inlineStr">
        <is>
          <t>Madagascar</t>
        </is>
      </c>
      <c r="B6487" t="inlineStr">
        <is>
          <t>MDG</t>
        </is>
      </c>
      <c r="C6487" t="n">
        <v>2009</v>
      </c>
      <c r="D6487" t="n">
        <v>8.95421802392949</v>
      </c>
    </row>
    <row r="6488">
      <c r="A6488" t="inlineStr">
        <is>
          <t>Madagascar</t>
        </is>
      </c>
      <c r="B6488" t="inlineStr">
        <is>
          <t>MDG</t>
        </is>
      </c>
      <c r="C6488" t="n">
        <v>2010</v>
      </c>
      <c r="D6488" t="n">
        <v>9.24732173644116</v>
      </c>
    </row>
    <row r="6489">
      <c r="A6489" t="inlineStr">
        <is>
          <t>Madagascar</t>
        </is>
      </c>
      <c r="B6489" t="inlineStr">
        <is>
          <t>MDG</t>
        </is>
      </c>
      <c r="C6489" t="n">
        <v>2011</v>
      </c>
      <c r="D6489" t="n">
        <v>9.48254048582992</v>
      </c>
    </row>
    <row r="6490">
      <c r="A6490" t="inlineStr">
        <is>
          <t>Madagascar</t>
        </is>
      </c>
      <c r="B6490" t="inlineStr">
        <is>
          <t>MDG</t>
        </is>
      </c>
      <c r="C6490" t="n">
        <v>2012</v>
      </c>
      <c r="D6490" t="n">
        <v>5.71384434191053</v>
      </c>
    </row>
    <row r="6491">
      <c r="A6491" t="inlineStr">
        <is>
          <t>Madagascar</t>
        </is>
      </c>
      <c r="B6491" t="inlineStr">
        <is>
          <t>MDG</t>
        </is>
      </c>
      <c r="C6491" t="n">
        <v>2013</v>
      </c>
      <c r="D6491" t="n">
        <v>5.8264294445198</v>
      </c>
    </row>
    <row r="6492">
      <c r="A6492" t="inlineStr">
        <is>
          <t>Madagascar</t>
        </is>
      </c>
      <c r="B6492" t="inlineStr">
        <is>
          <t>MDG</t>
        </is>
      </c>
      <c r="C6492" t="n">
        <v>2014</v>
      </c>
      <c r="D6492" t="n">
        <v>6.08040811088302</v>
      </c>
    </row>
    <row r="6493">
      <c r="A6493" t="inlineStr">
        <is>
          <t>Madagascar</t>
        </is>
      </c>
      <c r="B6493" t="inlineStr">
        <is>
          <t>MDG</t>
        </is>
      </c>
      <c r="C6493" t="n">
        <v>2015</v>
      </c>
      <c r="D6493" t="n">
        <v>7.40419174202129</v>
      </c>
    </row>
    <row r="6494">
      <c r="A6494" t="inlineStr">
        <is>
          <t>Madagascar</t>
        </is>
      </c>
      <c r="B6494" t="inlineStr">
        <is>
          <t>MDG</t>
        </is>
      </c>
      <c r="C6494" t="n">
        <v>2016</v>
      </c>
      <c r="D6494" t="n">
        <v>6.03575858154679</v>
      </c>
    </row>
    <row r="6495">
      <c r="A6495" t="inlineStr">
        <is>
          <t>Madagascar</t>
        </is>
      </c>
      <c r="B6495" t="inlineStr">
        <is>
          <t>MDG</t>
        </is>
      </c>
      <c r="C6495" t="n">
        <v>2017</v>
      </c>
      <c r="D6495" t="n">
        <v>8.609050754229489</v>
      </c>
    </row>
    <row r="6496">
      <c r="A6496" t="inlineStr">
        <is>
          <t>Madagascar</t>
        </is>
      </c>
      <c r="B6496" t="inlineStr">
        <is>
          <t>MDG</t>
        </is>
      </c>
      <c r="C6496" t="n">
        <v>2018</v>
      </c>
      <c r="D6496" t="n">
        <v>8.59422958870476</v>
      </c>
    </row>
    <row r="6497">
      <c r="A6497" t="inlineStr">
        <is>
          <t>Madagascar</t>
        </is>
      </c>
      <c r="B6497" t="inlineStr">
        <is>
          <t>MDG</t>
        </is>
      </c>
      <c r="C6497" t="n">
        <v>2019</v>
      </c>
      <c r="D6497" t="n">
        <v>5.61051441492365</v>
      </c>
    </row>
    <row r="6498">
      <c r="A6498" t="inlineStr">
        <is>
          <t>Madagascar</t>
        </is>
      </c>
      <c r="B6498" t="inlineStr">
        <is>
          <t>MDG</t>
        </is>
      </c>
      <c r="C6498" t="n">
        <v>2020</v>
      </c>
      <c r="D6498" t="n">
        <v>4.20179312190557</v>
      </c>
    </row>
    <row r="6499">
      <c r="A6499" t="inlineStr">
        <is>
          <t>Madagascar</t>
        </is>
      </c>
      <c r="B6499" t="inlineStr">
        <is>
          <t>MDG</t>
        </is>
      </c>
      <c r="C6499" t="n">
        <v>2021</v>
      </c>
      <c r="D6499" t="n">
        <v>5.81225118787715</v>
      </c>
    </row>
    <row r="6500">
      <c r="A6500" t="inlineStr">
        <is>
          <t>Madagascar</t>
        </is>
      </c>
      <c r="B6500" t="inlineStr">
        <is>
          <t>MDG</t>
        </is>
      </c>
      <c r="C6500" t="n">
        <v>2022</v>
      </c>
      <c r="D6500" t="n">
        <v>8.160590319918439</v>
      </c>
    </row>
    <row r="6501">
      <c r="A6501" t="inlineStr">
        <is>
          <t>Madagascar</t>
        </is>
      </c>
      <c r="B6501" t="inlineStr">
        <is>
          <t>MDG</t>
        </is>
      </c>
      <c r="C6501" t="n">
        <v>2023</v>
      </c>
      <c r="D6501" t="n">
        <v>9.87432675044888</v>
      </c>
    </row>
    <row r="6502">
      <c r="A6502" t="inlineStr">
        <is>
          <t>Maldives</t>
        </is>
      </c>
      <c r="B6502" t="inlineStr">
        <is>
          <t>MDV</t>
        </is>
      </c>
      <c r="C6502" t="n">
        <v>1986</v>
      </c>
      <c r="D6502" t="n">
        <v>9.72219327678563</v>
      </c>
    </row>
    <row r="6503">
      <c r="A6503" t="inlineStr">
        <is>
          <t>Maldives</t>
        </is>
      </c>
      <c r="B6503" t="inlineStr">
        <is>
          <t>MDV</t>
        </is>
      </c>
      <c r="C6503" t="n">
        <v>1987</v>
      </c>
      <c r="D6503" t="n">
        <v>9.704072329433201</v>
      </c>
    </row>
    <row r="6504">
      <c r="A6504" t="inlineStr">
        <is>
          <t>Maldives</t>
        </is>
      </c>
      <c r="B6504" t="inlineStr">
        <is>
          <t>MDV</t>
        </is>
      </c>
      <c r="C6504" t="n">
        <v>1988</v>
      </c>
      <c r="D6504" t="n">
        <v>6.45636026801941</v>
      </c>
    </row>
    <row r="6505">
      <c r="A6505" t="inlineStr">
        <is>
          <t>Maldives</t>
        </is>
      </c>
      <c r="B6505" t="inlineStr">
        <is>
          <t>MDV</t>
        </is>
      </c>
      <c r="C6505" t="n">
        <v>1989</v>
      </c>
      <c r="D6505" t="n">
        <v>7.16585889470777</v>
      </c>
    </row>
    <row r="6506">
      <c r="A6506" t="inlineStr">
        <is>
          <t>Maldives</t>
        </is>
      </c>
      <c r="B6506" t="inlineStr">
        <is>
          <t>MDV</t>
        </is>
      </c>
      <c r="C6506" t="n">
        <v>1990</v>
      </c>
      <c r="D6506" t="n">
        <v>3.64991197717477</v>
      </c>
    </row>
    <row r="6507">
      <c r="A6507" t="inlineStr">
        <is>
          <t>Maldives</t>
        </is>
      </c>
      <c r="B6507" t="inlineStr">
        <is>
          <t>MDV</t>
        </is>
      </c>
      <c r="C6507" t="n">
        <v>1991</v>
      </c>
      <c r="D6507" t="n">
        <v>14.7136770282735</v>
      </c>
    </row>
    <row r="6508">
      <c r="A6508" t="inlineStr">
        <is>
          <t>Maldives</t>
        </is>
      </c>
      <c r="B6508" t="inlineStr">
        <is>
          <t>MDV</t>
        </is>
      </c>
      <c r="C6508" t="n">
        <v>1992</v>
      </c>
      <c r="D6508" t="n">
        <v>16.8559977535548</v>
      </c>
    </row>
    <row r="6509">
      <c r="A6509" t="inlineStr">
        <is>
          <t>Maldives</t>
        </is>
      </c>
      <c r="B6509" t="inlineStr">
        <is>
          <t>MDV</t>
        </is>
      </c>
      <c r="C6509" t="n">
        <v>1993</v>
      </c>
      <c r="D6509" t="n">
        <v>20.1273593149248</v>
      </c>
    </row>
    <row r="6510">
      <c r="A6510" t="inlineStr">
        <is>
          <t>Maldives</t>
        </is>
      </c>
      <c r="B6510" t="inlineStr">
        <is>
          <t>MDV</t>
        </is>
      </c>
      <c r="C6510" t="n">
        <v>1994</v>
      </c>
      <c r="D6510" t="n">
        <v>3.38610098291493</v>
      </c>
    </row>
    <row r="6511">
      <c r="A6511" t="inlineStr">
        <is>
          <t>Maldives</t>
        </is>
      </c>
      <c r="B6511" t="inlineStr">
        <is>
          <t>MDV</t>
        </is>
      </c>
      <c r="C6511" t="n">
        <v>1995</v>
      </c>
      <c r="D6511" t="n">
        <v>5.48886133171504</v>
      </c>
    </row>
    <row r="6512">
      <c r="A6512" t="inlineStr">
        <is>
          <t>Maldives</t>
        </is>
      </c>
      <c r="B6512" t="inlineStr">
        <is>
          <t>MDV</t>
        </is>
      </c>
      <c r="C6512" t="n">
        <v>1996</v>
      </c>
      <c r="D6512" t="n">
        <v>6.24124591476026</v>
      </c>
    </row>
    <row r="6513">
      <c r="A6513" t="inlineStr">
        <is>
          <t>Maldives</t>
        </is>
      </c>
      <c r="B6513" t="inlineStr">
        <is>
          <t>MDV</t>
        </is>
      </c>
      <c r="C6513" t="n">
        <v>1997</v>
      </c>
      <c r="D6513" t="n">
        <v>7.57283467072592</v>
      </c>
    </row>
    <row r="6514">
      <c r="A6514" t="inlineStr">
        <is>
          <t>Maldives</t>
        </is>
      </c>
      <c r="B6514" t="inlineStr">
        <is>
          <t>MDV</t>
        </is>
      </c>
      <c r="C6514" t="n">
        <v>1998</v>
      </c>
      <c r="D6514" t="n">
        <v>-1.40425233816792</v>
      </c>
    </row>
    <row r="6515">
      <c r="A6515" t="inlineStr">
        <is>
          <t>Maldives</t>
        </is>
      </c>
      <c r="B6515" t="inlineStr">
        <is>
          <t>MDV</t>
        </is>
      </c>
      <c r="C6515" t="n">
        <v>1999</v>
      </c>
      <c r="D6515" t="n">
        <v>2.95370836069129</v>
      </c>
    </row>
    <row r="6516">
      <c r="A6516" t="inlineStr">
        <is>
          <t>Maldives</t>
        </is>
      </c>
      <c r="B6516" t="inlineStr">
        <is>
          <t>MDV</t>
        </is>
      </c>
      <c r="C6516" t="n">
        <v>2000</v>
      </c>
      <c r="D6516" t="n">
        <v>-1.17475681175946</v>
      </c>
    </row>
    <row r="6517">
      <c r="A6517" t="inlineStr">
        <is>
          <t>Maldives</t>
        </is>
      </c>
      <c r="B6517" t="inlineStr">
        <is>
          <t>MDV</t>
        </is>
      </c>
      <c r="C6517" t="n">
        <v>2001</v>
      </c>
      <c r="D6517" t="n">
        <v>0.67257737006247</v>
      </c>
    </row>
    <row r="6518">
      <c r="A6518" t="inlineStr">
        <is>
          <t>Maldives</t>
        </is>
      </c>
      <c r="B6518" t="inlineStr">
        <is>
          <t>MDV</t>
        </is>
      </c>
      <c r="C6518" t="n">
        <v>2002</v>
      </c>
      <c r="D6518" t="n">
        <v>4.1786723990479</v>
      </c>
    </row>
    <row r="6519">
      <c r="A6519" t="inlineStr">
        <is>
          <t>Maldives</t>
        </is>
      </c>
      <c r="B6519" t="inlineStr">
        <is>
          <t>MDV</t>
        </is>
      </c>
      <c r="C6519" t="n">
        <v>2003</v>
      </c>
      <c r="D6519" t="n">
        <v>-1.26065113450354</v>
      </c>
    </row>
    <row r="6520">
      <c r="A6520" t="inlineStr">
        <is>
          <t>Maldives</t>
        </is>
      </c>
      <c r="B6520" t="inlineStr">
        <is>
          <t>MDV</t>
        </is>
      </c>
      <c r="C6520" t="n">
        <v>2004</v>
      </c>
      <c r="D6520" t="n">
        <v>-1.68541212459466</v>
      </c>
    </row>
    <row r="6521">
      <c r="A6521" t="inlineStr">
        <is>
          <t>Maldives</t>
        </is>
      </c>
      <c r="B6521" t="inlineStr">
        <is>
          <t>MDV</t>
        </is>
      </c>
      <c r="C6521" t="n">
        <v>2005</v>
      </c>
      <c r="D6521" t="n">
        <v>1.30027500930997</v>
      </c>
    </row>
    <row r="6522">
      <c r="A6522" t="inlineStr">
        <is>
          <t>Maldives</t>
        </is>
      </c>
      <c r="B6522" t="inlineStr">
        <is>
          <t>MDV</t>
        </is>
      </c>
      <c r="C6522" t="n">
        <v>2006</v>
      </c>
      <c r="D6522" t="n">
        <v>2.73842131602099</v>
      </c>
    </row>
    <row r="6523">
      <c r="A6523" t="inlineStr">
        <is>
          <t>Maldives</t>
        </is>
      </c>
      <c r="B6523" t="inlineStr">
        <is>
          <t>MDV</t>
        </is>
      </c>
      <c r="C6523" t="n">
        <v>2007</v>
      </c>
      <c r="D6523" t="n">
        <v>6.79477353930168</v>
      </c>
    </row>
    <row r="6524">
      <c r="A6524" t="inlineStr">
        <is>
          <t>Maldives</t>
        </is>
      </c>
      <c r="B6524" t="inlineStr">
        <is>
          <t>MDV</t>
        </is>
      </c>
      <c r="C6524" t="n">
        <v>2008</v>
      </c>
      <c r="D6524" t="n">
        <v>12.0414583505108</v>
      </c>
    </row>
    <row r="6525">
      <c r="A6525" t="inlineStr">
        <is>
          <t>Maldives</t>
        </is>
      </c>
      <c r="B6525" t="inlineStr">
        <is>
          <t>MDV</t>
        </is>
      </c>
      <c r="C6525" t="n">
        <v>2009</v>
      </c>
      <c r="D6525" t="n">
        <v>4.53017659132801</v>
      </c>
    </row>
    <row r="6526">
      <c r="A6526" t="inlineStr">
        <is>
          <t>Maldives</t>
        </is>
      </c>
      <c r="B6526" t="inlineStr">
        <is>
          <t>MDV</t>
        </is>
      </c>
      <c r="C6526" t="n">
        <v>2010</v>
      </c>
      <c r="D6526" t="n">
        <v>6.14988536750173</v>
      </c>
    </row>
    <row r="6527">
      <c r="A6527" t="inlineStr">
        <is>
          <t>Maldives</t>
        </is>
      </c>
      <c r="B6527" t="inlineStr">
        <is>
          <t>MDV</t>
        </is>
      </c>
      <c r="C6527" t="n">
        <v>2011</v>
      </c>
      <c r="D6527" t="n">
        <v>11.2734146055937</v>
      </c>
    </row>
    <row r="6528">
      <c r="A6528" t="inlineStr">
        <is>
          <t>Maldives</t>
        </is>
      </c>
      <c r="B6528" t="inlineStr">
        <is>
          <t>MDV</t>
        </is>
      </c>
      <c r="C6528" t="n">
        <v>2012</v>
      </c>
      <c r="D6528" t="n">
        <v>10.884695658563</v>
      </c>
    </row>
    <row r="6529">
      <c r="A6529" t="inlineStr">
        <is>
          <t>Maldives</t>
        </is>
      </c>
      <c r="B6529" t="inlineStr">
        <is>
          <t>MDV</t>
        </is>
      </c>
      <c r="C6529" t="n">
        <v>2013</v>
      </c>
      <c r="D6529" t="n">
        <v>3.8056300091943</v>
      </c>
    </row>
    <row r="6530">
      <c r="A6530" t="inlineStr">
        <is>
          <t>Maldives</t>
        </is>
      </c>
      <c r="B6530" t="inlineStr">
        <is>
          <t>MDV</t>
        </is>
      </c>
      <c r="C6530" t="n">
        <v>2014</v>
      </c>
      <c r="D6530" t="n">
        <v>2.12000175718134</v>
      </c>
    </row>
    <row r="6531">
      <c r="A6531" t="inlineStr">
        <is>
          <t>Maldives</t>
        </is>
      </c>
      <c r="B6531" t="inlineStr">
        <is>
          <t>MDV</t>
        </is>
      </c>
      <c r="C6531" t="n">
        <v>2015</v>
      </c>
      <c r="D6531" t="n">
        <v>0.953206658777607</v>
      </c>
    </row>
    <row r="6532">
      <c r="A6532" t="inlineStr">
        <is>
          <t>Maldives</t>
        </is>
      </c>
      <c r="B6532" t="inlineStr">
        <is>
          <t>MDV</t>
        </is>
      </c>
      <c r="C6532" t="n">
        <v>2016</v>
      </c>
      <c r="D6532" t="n">
        <v>0.5025094136116121</v>
      </c>
    </row>
    <row r="6533">
      <c r="A6533" t="inlineStr">
        <is>
          <t>Maldives</t>
        </is>
      </c>
      <c r="B6533" t="inlineStr">
        <is>
          <t>MDV</t>
        </is>
      </c>
      <c r="C6533" t="n">
        <v>2017</v>
      </c>
      <c r="D6533" t="n">
        <v>2.81747338234509</v>
      </c>
    </row>
    <row r="6534">
      <c r="A6534" t="inlineStr">
        <is>
          <t>Maldives</t>
        </is>
      </c>
      <c r="B6534" t="inlineStr">
        <is>
          <t>MDV</t>
        </is>
      </c>
      <c r="C6534" t="n">
        <v>2018</v>
      </c>
      <c r="D6534" t="n">
        <v>-0.133373386117595</v>
      </c>
    </row>
    <row r="6535">
      <c r="A6535" t="inlineStr">
        <is>
          <t>Maldives</t>
        </is>
      </c>
      <c r="B6535" t="inlineStr">
        <is>
          <t>MDV</t>
        </is>
      </c>
      <c r="C6535" t="n">
        <v>2019</v>
      </c>
      <c r="D6535" t="n">
        <v>0.220029731065383</v>
      </c>
    </row>
    <row r="6536">
      <c r="A6536" t="inlineStr">
        <is>
          <t>Maldives</t>
        </is>
      </c>
      <c r="B6536" t="inlineStr">
        <is>
          <t>MDV</t>
        </is>
      </c>
      <c r="C6536" t="n">
        <v>2020</v>
      </c>
      <c r="D6536" t="n">
        <v>-1.36977425569811</v>
      </c>
    </row>
    <row r="6537">
      <c r="A6537" t="inlineStr">
        <is>
          <t>Maldives</t>
        </is>
      </c>
      <c r="B6537" t="inlineStr">
        <is>
          <t>MDV</t>
        </is>
      </c>
      <c r="C6537" t="n">
        <v>2021</v>
      </c>
      <c r="D6537" t="n">
        <v>0.543149688737013</v>
      </c>
    </row>
    <row r="6538">
      <c r="A6538" t="inlineStr">
        <is>
          <t>Maldives</t>
        </is>
      </c>
      <c r="B6538" t="inlineStr">
        <is>
          <t>MDV</t>
        </is>
      </c>
      <c r="C6538" t="n">
        <v>2022</v>
      </c>
      <c r="D6538" t="n">
        <v>2.33314337624567</v>
      </c>
    </row>
    <row r="6539">
      <c r="A6539" t="inlineStr">
        <is>
          <t>Maldives</t>
        </is>
      </c>
      <c r="B6539" t="inlineStr">
        <is>
          <t>MDV</t>
        </is>
      </c>
      <c r="C6539" t="n">
        <v>2023</v>
      </c>
      <c r="D6539" t="n">
        <v>2.92746542425035</v>
      </c>
    </row>
    <row r="6540">
      <c r="A6540" t="inlineStr">
        <is>
          <t>Maldives</t>
        </is>
      </c>
      <c r="B6540" t="inlineStr">
        <is>
          <t>MDV</t>
        </is>
      </c>
      <c r="C6540" t="n">
        <v>2024</v>
      </c>
      <c r="D6540" t="n">
        <v>1.39979779674928</v>
      </c>
    </row>
    <row r="6541">
      <c r="A6541" t="inlineStr">
        <is>
          <t>Middle East &amp; North Africa</t>
        </is>
      </c>
      <c r="B6541" t="inlineStr">
        <is>
          <t>MEA</t>
        </is>
      </c>
      <c r="C6541" t="n">
        <v>1970</v>
      </c>
      <c r="D6541" t="n">
        <v>3.73927872194899</v>
      </c>
    </row>
    <row r="6542">
      <c r="A6542" t="inlineStr">
        <is>
          <t>Middle East &amp; North Africa</t>
        </is>
      </c>
      <c r="B6542" t="inlineStr">
        <is>
          <t>MEA</t>
        </is>
      </c>
      <c r="C6542" t="n">
        <v>1971</v>
      </c>
      <c r="D6542" t="n">
        <v>4.17532522050377</v>
      </c>
    </row>
    <row r="6543">
      <c r="A6543" t="inlineStr">
        <is>
          <t>Middle East &amp; North Africa</t>
        </is>
      </c>
      <c r="B6543" t="inlineStr">
        <is>
          <t>MEA</t>
        </is>
      </c>
      <c r="C6543" t="n">
        <v>1972</v>
      </c>
      <c r="D6543" t="n">
        <v>4.04517513252877</v>
      </c>
    </row>
    <row r="6544">
      <c r="A6544" t="inlineStr">
        <is>
          <t>Middle East &amp; North Africa</t>
        </is>
      </c>
      <c r="B6544" t="inlineStr">
        <is>
          <t>MEA</t>
        </is>
      </c>
      <c r="C6544" t="n">
        <v>1973</v>
      </c>
      <c r="D6544" t="n">
        <v>8.266666666000059</v>
      </c>
    </row>
    <row r="6545">
      <c r="A6545" t="inlineStr">
        <is>
          <t>Middle East &amp; North Africa</t>
        </is>
      </c>
      <c r="B6545" t="inlineStr">
        <is>
          <t>MEA</t>
        </is>
      </c>
      <c r="C6545" t="n">
        <v>1974</v>
      </c>
      <c r="D6545" t="n">
        <v>14.2489355382567</v>
      </c>
    </row>
    <row r="6546">
      <c r="A6546" t="inlineStr">
        <is>
          <t>Middle East &amp; North Africa</t>
        </is>
      </c>
      <c r="B6546" t="inlineStr">
        <is>
          <t>MEA</t>
        </is>
      </c>
      <c r="C6546" t="n">
        <v>1975</v>
      </c>
      <c r="D6546" t="n">
        <v>9.66969548151245</v>
      </c>
    </row>
    <row r="6547">
      <c r="A6547" t="inlineStr">
        <is>
          <t>Middle East &amp; North Africa</t>
        </is>
      </c>
      <c r="B6547" t="inlineStr">
        <is>
          <t>MEA</t>
        </is>
      </c>
      <c r="C6547" t="n">
        <v>1976</v>
      </c>
      <c r="D6547" t="n">
        <v>11.2561425062111</v>
      </c>
    </row>
    <row r="6548">
      <c r="A6548" t="inlineStr">
        <is>
          <t>Middle East &amp; North Africa</t>
        </is>
      </c>
      <c r="B6548" t="inlineStr">
        <is>
          <t>MEA</t>
        </is>
      </c>
      <c r="C6548" t="n">
        <v>1977</v>
      </c>
      <c r="D6548" t="n">
        <v>11.989283322105</v>
      </c>
    </row>
    <row r="6549">
      <c r="A6549" t="inlineStr">
        <is>
          <t>Middle East &amp; North Africa</t>
        </is>
      </c>
      <c r="B6549" t="inlineStr">
        <is>
          <t>MEA</t>
        </is>
      </c>
      <c r="C6549" t="n">
        <v>1978</v>
      </c>
      <c r="D6549" t="n">
        <v>9.7160327495434</v>
      </c>
    </row>
    <row r="6550">
      <c r="A6550" t="inlineStr">
        <is>
          <t>Middle East &amp; North Africa</t>
        </is>
      </c>
      <c r="B6550" t="inlineStr">
        <is>
          <t>MEA</t>
        </is>
      </c>
      <c r="C6550" t="n">
        <v>1979</v>
      </c>
      <c r="D6550" t="n">
        <v>7.73923642806677</v>
      </c>
    </row>
    <row r="6551">
      <c r="A6551" t="inlineStr">
        <is>
          <t>Middle East &amp; North Africa</t>
        </is>
      </c>
      <c r="B6551" t="inlineStr">
        <is>
          <t>MEA</t>
        </is>
      </c>
      <c r="C6551" t="n">
        <v>1980</v>
      </c>
      <c r="D6551" t="n">
        <v>10.4226999529126</v>
      </c>
    </row>
    <row r="6552">
      <c r="A6552" t="inlineStr">
        <is>
          <t>Middle East &amp; North Africa</t>
        </is>
      </c>
      <c r="B6552" t="inlineStr">
        <is>
          <t>MEA</t>
        </is>
      </c>
      <c r="C6552" t="n">
        <v>1981</v>
      </c>
      <c r="D6552" t="n">
        <v>11.2721597079434</v>
      </c>
    </row>
    <row r="6553">
      <c r="A6553" t="inlineStr">
        <is>
          <t>Middle East &amp; North Africa</t>
        </is>
      </c>
      <c r="B6553" t="inlineStr">
        <is>
          <t>MEA</t>
        </is>
      </c>
      <c r="C6553" t="n">
        <v>1982</v>
      </c>
      <c r="D6553" t="n">
        <v>8.33125575581156</v>
      </c>
    </row>
    <row r="6554">
      <c r="A6554" t="inlineStr">
        <is>
          <t>Middle East &amp; North Africa</t>
        </is>
      </c>
      <c r="B6554" t="inlineStr">
        <is>
          <t>MEA</t>
        </is>
      </c>
      <c r="C6554" t="n">
        <v>1983</v>
      </c>
      <c r="D6554" t="n">
        <v>5.4936655143209</v>
      </c>
    </row>
    <row r="6555">
      <c r="A6555" t="inlineStr">
        <is>
          <t>Middle East &amp; North Africa</t>
        </is>
      </c>
      <c r="B6555" t="inlineStr">
        <is>
          <t>MEA</t>
        </is>
      </c>
      <c r="C6555" t="n">
        <v>1984</v>
      </c>
      <c r="D6555" t="n">
        <v>8.116397955170999</v>
      </c>
    </row>
    <row r="6556">
      <c r="A6556" t="inlineStr">
        <is>
          <t>Middle East &amp; North Africa</t>
        </is>
      </c>
      <c r="B6556" t="inlineStr">
        <is>
          <t>MEA</t>
        </is>
      </c>
      <c r="C6556" t="n">
        <v>1985</v>
      </c>
      <c r="D6556" t="n">
        <v>4.38934095741541</v>
      </c>
    </row>
    <row r="6557">
      <c r="A6557" t="inlineStr">
        <is>
          <t>Middle East &amp; North Africa</t>
        </is>
      </c>
      <c r="B6557" t="inlineStr">
        <is>
          <t>MEA</t>
        </is>
      </c>
      <c r="C6557" t="n">
        <v>1986</v>
      </c>
      <c r="D6557" t="n">
        <v>6.16438356164371</v>
      </c>
    </row>
    <row r="6558">
      <c r="A6558" t="inlineStr">
        <is>
          <t>Middle East &amp; North Africa</t>
        </is>
      </c>
      <c r="B6558" t="inlineStr">
        <is>
          <t>MEA</t>
        </is>
      </c>
      <c r="C6558" t="n">
        <v>1987</v>
      </c>
      <c r="D6558" t="n">
        <v>4.08911644641214</v>
      </c>
    </row>
    <row r="6559">
      <c r="A6559" t="inlineStr">
        <is>
          <t>Middle East &amp; North Africa</t>
        </is>
      </c>
      <c r="B6559" t="inlineStr">
        <is>
          <t>MEA</t>
        </is>
      </c>
      <c r="C6559" t="n">
        <v>1988</v>
      </c>
      <c r="D6559" t="n">
        <v>5.99925074273699</v>
      </c>
    </row>
    <row r="6560">
      <c r="A6560" t="inlineStr">
        <is>
          <t>Middle East &amp; North Africa</t>
        </is>
      </c>
      <c r="B6560" t="inlineStr">
        <is>
          <t>MEA</t>
        </is>
      </c>
      <c r="C6560" t="n">
        <v>1989</v>
      </c>
      <c r="D6560" t="n">
        <v>5.54145981508564</v>
      </c>
    </row>
    <row r="6561">
      <c r="A6561" t="inlineStr">
        <is>
          <t>Middle East &amp; North Africa</t>
        </is>
      </c>
      <c r="B6561" t="inlineStr">
        <is>
          <t>MEA</t>
        </is>
      </c>
      <c r="C6561" t="n">
        <v>1990</v>
      </c>
      <c r="D6561" t="n">
        <v>8.03956867283908</v>
      </c>
    </row>
    <row r="6562">
      <c r="A6562" t="inlineStr">
        <is>
          <t>Middle East &amp; North Africa</t>
        </is>
      </c>
      <c r="B6562" t="inlineStr">
        <is>
          <t>MEA</t>
        </is>
      </c>
      <c r="C6562" t="n">
        <v>1991</v>
      </c>
      <c r="D6562" t="n">
        <v>9.02909418116381</v>
      </c>
    </row>
    <row r="6563">
      <c r="A6563" t="inlineStr">
        <is>
          <t>Middle East &amp; North Africa</t>
        </is>
      </c>
      <c r="B6563" t="inlineStr">
        <is>
          <t>MEA</t>
        </is>
      </c>
      <c r="C6563" t="n">
        <v>1992</v>
      </c>
      <c r="D6563" t="n">
        <v>7.5920483679552</v>
      </c>
    </row>
    <row r="6564">
      <c r="A6564" t="inlineStr">
        <is>
          <t>Middle East &amp; North Africa</t>
        </is>
      </c>
      <c r="B6564" t="inlineStr">
        <is>
          <t>MEA</t>
        </is>
      </c>
      <c r="C6564" t="n">
        <v>1993</v>
      </c>
      <c r="D6564" t="n">
        <v>8.053465911852751</v>
      </c>
    </row>
    <row r="6565">
      <c r="A6565" t="inlineStr">
        <is>
          <t>Middle East &amp; North Africa</t>
        </is>
      </c>
      <c r="B6565" t="inlineStr">
        <is>
          <t>MEA</t>
        </is>
      </c>
      <c r="C6565" t="n">
        <v>1994</v>
      </c>
      <c r="D6565" t="n">
        <v>5.12713521698837</v>
      </c>
    </row>
    <row r="6566">
      <c r="A6566" t="inlineStr">
        <is>
          <t>Middle East &amp; North Africa</t>
        </is>
      </c>
      <c r="B6566" t="inlineStr">
        <is>
          <t>MEA</t>
        </is>
      </c>
      <c r="C6566" t="n">
        <v>1995</v>
      </c>
      <c r="D6566" t="n">
        <v>6.74106761623137</v>
      </c>
    </row>
    <row r="6567">
      <c r="A6567" t="inlineStr">
        <is>
          <t>Middle East &amp; North Africa</t>
        </is>
      </c>
      <c r="B6567" t="inlineStr">
        <is>
          <t>MEA</t>
        </is>
      </c>
      <c r="C6567" t="n">
        <v>1996</v>
      </c>
      <c r="D6567" t="n">
        <v>4.46630617999248</v>
      </c>
    </row>
    <row r="6568">
      <c r="A6568" t="inlineStr">
        <is>
          <t>Middle East &amp; North Africa</t>
        </is>
      </c>
      <c r="B6568" t="inlineStr">
        <is>
          <t>MEA</t>
        </is>
      </c>
      <c r="C6568" t="n">
        <v>1997</v>
      </c>
      <c r="D6568" t="n">
        <v>3.55029585798821</v>
      </c>
    </row>
    <row r="6569">
      <c r="A6569" t="inlineStr">
        <is>
          <t>Middle East &amp; North Africa</t>
        </is>
      </c>
      <c r="B6569" t="inlineStr">
        <is>
          <t>MEA</t>
        </is>
      </c>
      <c r="C6569" t="n">
        <v>1998</v>
      </c>
      <c r="D6569" t="n">
        <v>3.12536579655862</v>
      </c>
    </row>
    <row r="6570">
      <c r="A6570" t="inlineStr">
        <is>
          <t>Middle East &amp; North Africa</t>
        </is>
      </c>
      <c r="B6570" t="inlineStr">
        <is>
          <t>MEA</t>
        </is>
      </c>
      <c r="C6570" t="n">
        <v>1999</v>
      </c>
      <c r="D6570" t="n">
        <v>2.64862252295818</v>
      </c>
    </row>
    <row r="6571">
      <c r="A6571" t="inlineStr">
        <is>
          <t>Middle East &amp; North Africa</t>
        </is>
      </c>
      <c r="B6571" t="inlineStr">
        <is>
          <t>MEA</t>
        </is>
      </c>
      <c r="C6571" t="n">
        <v>2000</v>
      </c>
      <c r="D6571" t="n">
        <v>1.81294613887089</v>
      </c>
    </row>
    <row r="6572">
      <c r="A6572" t="inlineStr">
        <is>
          <t>Middle East &amp; North Africa</t>
        </is>
      </c>
      <c r="B6572" t="inlineStr">
        <is>
          <t>MEA</t>
        </is>
      </c>
      <c r="C6572" t="n">
        <v>2001</v>
      </c>
      <c r="D6572" t="n">
        <v>1.74665224985434</v>
      </c>
    </row>
    <row r="6573">
      <c r="A6573" t="inlineStr">
        <is>
          <t>Middle East &amp; North Africa</t>
        </is>
      </c>
      <c r="B6573" t="inlineStr">
        <is>
          <t>MEA</t>
        </is>
      </c>
      <c r="C6573" t="n">
        <v>2002</v>
      </c>
      <c r="D6573" t="n">
        <v>1.83299389002049</v>
      </c>
    </row>
    <row r="6574">
      <c r="A6574" t="inlineStr">
        <is>
          <t>Middle East &amp; North Africa</t>
        </is>
      </c>
      <c r="B6574" t="inlineStr">
        <is>
          <t>MEA</t>
        </is>
      </c>
      <c r="C6574" t="n">
        <v>2003</v>
      </c>
      <c r="D6574" t="n">
        <v>1.98196734627545</v>
      </c>
    </row>
    <row r="6575">
      <c r="A6575" t="inlineStr">
        <is>
          <t>Middle East &amp; North Africa</t>
        </is>
      </c>
      <c r="B6575" t="inlineStr">
        <is>
          <t>MEA</t>
        </is>
      </c>
      <c r="C6575" t="n">
        <v>2004</v>
      </c>
      <c r="D6575" t="n">
        <v>3.12226204699354</v>
      </c>
    </row>
    <row r="6576">
      <c r="A6576" t="inlineStr">
        <is>
          <t>Middle East &amp; North Africa</t>
        </is>
      </c>
      <c r="B6576" t="inlineStr">
        <is>
          <t>MEA</t>
        </is>
      </c>
      <c r="C6576" t="n">
        <v>2005</v>
      </c>
      <c r="D6576" t="n">
        <v>3.10496640148298</v>
      </c>
    </row>
    <row r="6577">
      <c r="A6577" t="inlineStr">
        <is>
          <t>Middle East &amp; North Africa</t>
        </is>
      </c>
      <c r="B6577" t="inlineStr">
        <is>
          <t>MEA</t>
        </is>
      </c>
      <c r="C6577" t="n">
        <v>2006</v>
      </c>
      <c r="D6577" t="n">
        <v>3.48340699677866</v>
      </c>
    </row>
    <row r="6578">
      <c r="A6578" t="inlineStr">
        <is>
          <t>Middle East &amp; North Africa</t>
        </is>
      </c>
      <c r="B6578" t="inlineStr">
        <is>
          <t>MEA</t>
        </is>
      </c>
      <c r="C6578" t="n">
        <v>2007</v>
      </c>
      <c r="D6578" t="n">
        <v>4.16782330119979</v>
      </c>
    </row>
    <row r="6579">
      <c r="A6579" t="inlineStr">
        <is>
          <t>Middle East &amp; North Africa</t>
        </is>
      </c>
      <c r="B6579" t="inlineStr">
        <is>
          <t>MEA</t>
        </is>
      </c>
      <c r="C6579" t="n">
        <v>2008</v>
      </c>
      <c r="D6579" t="n">
        <v>11.2706652380848</v>
      </c>
    </row>
    <row r="6580">
      <c r="A6580" t="inlineStr">
        <is>
          <t>Middle East &amp; North Africa</t>
        </is>
      </c>
      <c r="B6580" t="inlineStr">
        <is>
          <t>MEA</t>
        </is>
      </c>
      <c r="C6580" t="n">
        <v>2009</v>
      </c>
      <c r="D6580" t="n">
        <v>2.92089711805367</v>
      </c>
    </row>
    <row r="6581">
      <c r="A6581" t="inlineStr">
        <is>
          <t>Middle East &amp; North Africa</t>
        </is>
      </c>
      <c r="B6581" t="inlineStr">
        <is>
          <t>MEA</t>
        </is>
      </c>
      <c r="C6581" t="n">
        <v>2010</v>
      </c>
      <c r="D6581" t="n">
        <v>3.74915727597096</v>
      </c>
    </row>
    <row r="6582">
      <c r="A6582" t="inlineStr">
        <is>
          <t>Middle East &amp; North Africa</t>
        </is>
      </c>
      <c r="B6582" t="inlineStr">
        <is>
          <t>MEA</t>
        </is>
      </c>
      <c r="C6582" t="n">
        <v>2011</v>
      </c>
      <c r="D6582" t="n">
        <v>4.5242115050527</v>
      </c>
    </row>
    <row r="6583">
      <c r="A6583" t="inlineStr">
        <is>
          <t>Middle East &amp; North Africa</t>
        </is>
      </c>
      <c r="B6583" t="inlineStr">
        <is>
          <t>MEA</t>
        </is>
      </c>
      <c r="C6583" t="n">
        <v>2012</v>
      </c>
      <c r="D6583" t="n">
        <v>3.73120950756887</v>
      </c>
    </row>
    <row r="6584">
      <c r="A6584" t="inlineStr">
        <is>
          <t>Middle East &amp; North Africa</t>
        </is>
      </c>
      <c r="B6584" t="inlineStr">
        <is>
          <t>MEA</t>
        </is>
      </c>
      <c r="C6584" t="n">
        <v>2013</v>
      </c>
      <c r="D6584" t="n">
        <v>3.22197756829293</v>
      </c>
    </row>
    <row r="6585">
      <c r="A6585" t="inlineStr">
        <is>
          <t>Middle East &amp; North Africa</t>
        </is>
      </c>
      <c r="B6585" t="inlineStr">
        <is>
          <t>MEA</t>
        </is>
      </c>
      <c r="C6585" t="n">
        <v>2014</v>
      </c>
      <c r="D6585" t="n">
        <v>2.43294141599225</v>
      </c>
    </row>
    <row r="6586">
      <c r="A6586" t="inlineStr">
        <is>
          <t>Middle East &amp; North Africa</t>
        </is>
      </c>
      <c r="B6586" t="inlineStr">
        <is>
          <t>MEA</t>
        </is>
      </c>
      <c r="C6586" t="n">
        <v>2015</v>
      </c>
      <c r="D6586" t="n">
        <v>1.6859921764201</v>
      </c>
    </row>
    <row r="6587">
      <c r="A6587" t="inlineStr">
        <is>
          <t>Middle East &amp; North Africa</t>
        </is>
      </c>
      <c r="B6587" t="inlineStr">
        <is>
          <t>MEA</t>
        </is>
      </c>
      <c r="C6587" t="n">
        <v>2016</v>
      </c>
      <c r="D6587" t="n">
        <v>2.37271603075831</v>
      </c>
    </row>
    <row r="6588">
      <c r="A6588" t="inlineStr">
        <is>
          <t>Middle East &amp; North Africa</t>
        </is>
      </c>
      <c r="B6588" t="inlineStr">
        <is>
          <t>MEA</t>
        </is>
      </c>
      <c r="C6588" t="n">
        <v>2017</v>
      </c>
      <c r="D6588" t="n">
        <v>1.7779598569332</v>
      </c>
    </row>
    <row r="6589">
      <c r="A6589" t="inlineStr">
        <is>
          <t>Middle East &amp; North Africa</t>
        </is>
      </c>
      <c r="B6589" t="inlineStr">
        <is>
          <t>MEA</t>
        </is>
      </c>
      <c r="C6589" t="n">
        <v>2018</v>
      </c>
      <c r="D6589" t="n">
        <v>1.94579304594437</v>
      </c>
    </row>
    <row r="6590">
      <c r="A6590" t="inlineStr">
        <is>
          <t>Middle East &amp; North Africa</t>
        </is>
      </c>
      <c r="B6590" t="inlineStr">
        <is>
          <t>MEA</t>
        </is>
      </c>
      <c r="C6590" t="n">
        <v>2019</v>
      </c>
      <c r="D6590" t="n">
        <v>1.04883403678997</v>
      </c>
    </row>
    <row r="6591">
      <c r="A6591" t="inlineStr">
        <is>
          <t>Middle East &amp; North Africa</t>
        </is>
      </c>
      <c r="B6591" t="inlineStr">
        <is>
          <t>MEA</t>
        </is>
      </c>
      <c r="C6591" t="n">
        <v>2020</v>
      </c>
      <c r="D6591" t="n">
        <v>0.705968661338261</v>
      </c>
    </row>
    <row r="6592">
      <c r="A6592" t="inlineStr">
        <is>
          <t>Middle East &amp; North Africa</t>
        </is>
      </c>
      <c r="B6592" t="inlineStr">
        <is>
          <t>MEA</t>
        </is>
      </c>
      <c r="C6592" t="n">
        <v>2021</v>
      </c>
      <c r="D6592" t="n">
        <v>2.30446565742003</v>
      </c>
    </row>
    <row r="6593">
      <c r="A6593" t="inlineStr">
        <is>
          <t>Middle East &amp; North Africa</t>
        </is>
      </c>
      <c r="B6593" t="inlineStr">
        <is>
          <t>MEA</t>
        </is>
      </c>
      <c r="C6593" t="n">
        <v>2022</v>
      </c>
      <c r="D6593" t="n">
        <v>4.99527553740761</v>
      </c>
    </row>
    <row r="6594">
      <c r="A6594" t="inlineStr">
        <is>
          <t>Middle East &amp; North Africa</t>
        </is>
      </c>
      <c r="B6594" t="inlineStr">
        <is>
          <t>MEA</t>
        </is>
      </c>
      <c r="C6594" t="n">
        <v>2023</v>
      </c>
      <c r="D6594" t="n">
        <v>4.22535211267609</v>
      </c>
    </row>
    <row r="6595">
      <c r="A6595" t="inlineStr">
        <is>
          <t>Mexico</t>
        </is>
      </c>
      <c r="B6595" t="inlineStr">
        <is>
          <t>MEX</t>
        </is>
      </c>
      <c r="C6595" t="n">
        <v>1960</v>
      </c>
      <c r="D6595" t="n">
        <v>4.92751886903116</v>
      </c>
    </row>
    <row r="6596">
      <c r="A6596" t="inlineStr">
        <is>
          <t>Mexico</t>
        </is>
      </c>
      <c r="B6596" t="inlineStr">
        <is>
          <t>MEX</t>
        </is>
      </c>
      <c r="C6596" t="n">
        <v>1961</v>
      </c>
      <c r="D6596" t="n">
        <v>1.6087596908193</v>
      </c>
    </row>
    <row r="6597">
      <c r="A6597" t="inlineStr">
        <is>
          <t>Mexico</t>
        </is>
      </c>
      <c r="B6597" t="inlineStr">
        <is>
          <t>MEX</t>
        </is>
      </c>
      <c r="C6597" t="n">
        <v>1962</v>
      </c>
      <c r="D6597" t="n">
        <v>1.19898417815082</v>
      </c>
    </row>
    <row r="6598">
      <c r="A6598" t="inlineStr">
        <is>
          <t>Mexico</t>
        </is>
      </c>
      <c r="B6598" t="inlineStr">
        <is>
          <t>MEX</t>
        </is>
      </c>
      <c r="C6598" t="n">
        <v>1963</v>
      </c>
      <c r="D6598" t="n">
        <v>0.594055008461965</v>
      </c>
    </row>
    <row r="6599">
      <c r="A6599" t="inlineStr">
        <is>
          <t>Mexico</t>
        </is>
      </c>
      <c r="B6599" t="inlineStr">
        <is>
          <t>MEX</t>
        </is>
      </c>
      <c r="C6599" t="n">
        <v>1964</v>
      </c>
      <c r="D6599" t="n">
        <v>2.33790317234362</v>
      </c>
    </row>
    <row r="6600">
      <c r="A6600" t="inlineStr">
        <is>
          <t>Mexico</t>
        </is>
      </c>
      <c r="B6600" t="inlineStr">
        <is>
          <t>MEX</t>
        </is>
      </c>
      <c r="C6600" t="n">
        <v>1965</v>
      </c>
      <c r="D6600" t="n">
        <v>3.56803865742936</v>
      </c>
    </row>
    <row r="6601">
      <c r="A6601" t="inlineStr">
        <is>
          <t>Mexico</t>
        </is>
      </c>
      <c r="B6601" t="inlineStr">
        <is>
          <t>MEX</t>
        </is>
      </c>
      <c r="C6601" t="n">
        <v>1966</v>
      </c>
      <c r="D6601" t="n">
        <v>4.21578837738435</v>
      </c>
    </row>
    <row r="6602">
      <c r="A6602" t="inlineStr">
        <is>
          <t>Mexico</t>
        </is>
      </c>
      <c r="B6602" t="inlineStr">
        <is>
          <t>MEX</t>
        </is>
      </c>
      <c r="C6602" t="n">
        <v>1967</v>
      </c>
      <c r="D6602" t="n">
        <v>3.01694847502148</v>
      </c>
    </row>
    <row r="6603">
      <c r="A6603" t="inlineStr">
        <is>
          <t>Mexico</t>
        </is>
      </c>
      <c r="B6603" t="inlineStr">
        <is>
          <t>MEX</t>
        </is>
      </c>
      <c r="C6603" t="n">
        <v>1968</v>
      </c>
      <c r="D6603" t="n">
        <v>2.33395093467026</v>
      </c>
    </row>
    <row r="6604">
      <c r="A6604" t="inlineStr">
        <is>
          <t>Mexico</t>
        </is>
      </c>
      <c r="B6604" t="inlineStr">
        <is>
          <t>MEX</t>
        </is>
      </c>
      <c r="C6604" t="n">
        <v>1969</v>
      </c>
      <c r="D6604" t="n">
        <v>3.36700336711678</v>
      </c>
    </row>
    <row r="6605">
      <c r="A6605" t="inlineStr">
        <is>
          <t>Mexico</t>
        </is>
      </c>
      <c r="B6605" t="inlineStr">
        <is>
          <t>MEX</t>
        </is>
      </c>
      <c r="C6605" t="n">
        <v>1970</v>
      </c>
      <c r="D6605" t="n">
        <v>5.00341205483431</v>
      </c>
    </row>
    <row r="6606">
      <c r="A6606" t="inlineStr">
        <is>
          <t>Mexico</t>
        </is>
      </c>
      <c r="B6606" t="inlineStr">
        <is>
          <t>MEX</t>
        </is>
      </c>
      <c r="C6606" t="n">
        <v>1971</v>
      </c>
      <c r="D6606" t="n">
        <v>5.46902899376838</v>
      </c>
    </row>
    <row r="6607">
      <c r="A6607" t="inlineStr">
        <is>
          <t>Mexico</t>
        </is>
      </c>
      <c r="B6607" t="inlineStr">
        <is>
          <t>MEX</t>
        </is>
      </c>
      <c r="C6607" t="n">
        <v>1972</v>
      </c>
      <c r="D6607" t="n">
        <v>4.94369236377875</v>
      </c>
    </row>
    <row r="6608">
      <c r="A6608" t="inlineStr">
        <is>
          <t>Mexico</t>
        </is>
      </c>
      <c r="B6608" t="inlineStr">
        <is>
          <t>MEX</t>
        </is>
      </c>
      <c r="C6608" t="n">
        <v>1973</v>
      </c>
      <c r="D6608" t="n">
        <v>12.0819394612938</v>
      </c>
    </row>
    <row r="6609">
      <c r="A6609" t="inlineStr">
        <is>
          <t>Mexico</t>
        </is>
      </c>
      <c r="B6609" t="inlineStr">
        <is>
          <t>MEX</t>
        </is>
      </c>
      <c r="C6609" t="n">
        <v>1974</v>
      </c>
      <c r="D6609" t="n">
        <v>23.7840154425787</v>
      </c>
    </row>
    <row r="6610">
      <c r="A6610" t="inlineStr">
        <is>
          <t>Mexico</t>
        </is>
      </c>
      <c r="B6610" t="inlineStr">
        <is>
          <t>MEX</t>
        </is>
      </c>
      <c r="C6610" t="n">
        <v>1975</v>
      </c>
      <c r="D6610" t="n">
        <v>14.9445346409267</v>
      </c>
    </row>
    <row r="6611">
      <c r="A6611" t="inlineStr">
        <is>
          <t>Mexico</t>
        </is>
      </c>
      <c r="B6611" t="inlineStr">
        <is>
          <t>MEX</t>
        </is>
      </c>
      <c r="C6611" t="n">
        <v>1976</v>
      </c>
      <c r="D6611" t="n">
        <v>15.824722489347</v>
      </c>
    </row>
    <row r="6612">
      <c r="A6612" t="inlineStr">
        <is>
          <t>Mexico</t>
        </is>
      </c>
      <c r="B6612" t="inlineStr">
        <is>
          <t>MEX</t>
        </is>
      </c>
      <c r="C6612" t="n">
        <v>1977</v>
      </c>
      <c r="D6612" t="n">
        <v>29.0641247103461</v>
      </c>
    </row>
    <row r="6613">
      <c r="A6613" t="inlineStr">
        <is>
          <t>Mexico</t>
        </is>
      </c>
      <c r="B6613" t="inlineStr">
        <is>
          <t>MEX</t>
        </is>
      </c>
      <c r="C6613" t="n">
        <v>1978</v>
      </c>
      <c r="D6613" t="n">
        <v>17.4572925678265</v>
      </c>
    </row>
    <row r="6614">
      <c r="A6614" t="inlineStr">
        <is>
          <t>Mexico</t>
        </is>
      </c>
      <c r="B6614" t="inlineStr">
        <is>
          <t>MEX</t>
        </is>
      </c>
      <c r="C6614" t="n">
        <v>1979</v>
      </c>
      <c r="D6614" t="n">
        <v>18.1912462987643</v>
      </c>
    </row>
    <row r="6615">
      <c r="A6615" t="inlineStr">
        <is>
          <t>Mexico</t>
        </is>
      </c>
      <c r="B6615" t="inlineStr">
        <is>
          <t>MEX</t>
        </is>
      </c>
      <c r="C6615" t="n">
        <v>1980</v>
      </c>
      <c r="D6615" t="n">
        <v>26.3516513562834</v>
      </c>
    </row>
    <row r="6616">
      <c r="A6616" t="inlineStr">
        <is>
          <t>Mexico</t>
        </is>
      </c>
      <c r="B6616" t="inlineStr">
        <is>
          <t>MEX</t>
        </is>
      </c>
      <c r="C6616" t="n">
        <v>1981</v>
      </c>
      <c r="D6616" t="n">
        <v>27.9337625982399</v>
      </c>
    </row>
    <row r="6617">
      <c r="A6617" t="inlineStr">
        <is>
          <t>Mexico</t>
        </is>
      </c>
      <c r="B6617" t="inlineStr">
        <is>
          <t>MEX</t>
        </is>
      </c>
      <c r="C6617" t="n">
        <v>1982</v>
      </c>
      <c r="D6617" t="n">
        <v>58.9134198531048</v>
      </c>
    </row>
    <row r="6618">
      <c r="A6618" t="inlineStr">
        <is>
          <t>Mexico</t>
        </is>
      </c>
      <c r="B6618" t="inlineStr">
        <is>
          <t>MEX</t>
        </is>
      </c>
      <c r="C6618" t="n">
        <v>1983</v>
      </c>
      <c r="D6618" t="n">
        <v>101.874938435992</v>
      </c>
    </row>
    <row r="6619">
      <c r="A6619" t="inlineStr">
        <is>
          <t>Mexico</t>
        </is>
      </c>
      <c r="B6619" t="inlineStr">
        <is>
          <t>MEX</t>
        </is>
      </c>
      <c r="C6619" t="n">
        <v>1984</v>
      </c>
      <c r="D6619" t="n">
        <v>65.4488071277602</v>
      </c>
    </row>
    <row r="6620">
      <c r="A6620" t="inlineStr">
        <is>
          <t>Mexico</t>
        </is>
      </c>
      <c r="B6620" t="inlineStr">
        <is>
          <t>MEX</t>
        </is>
      </c>
      <c r="C6620" t="n">
        <v>1985</v>
      </c>
      <c r="D6620" t="n">
        <v>57.7484484008702</v>
      </c>
    </row>
    <row r="6621">
      <c r="A6621" t="inlineStr">
        <is>
          <t>Mexico</t>
        </is>
      </c>
      <c r="B6621" t="inlineStr">
        <is>
          <t>MEX</t>
        </is>
      </c>
      <c r="C6621" t="n">
        <v>1986</v>
      </c>
      <c r="D6621" t="n">
        <v>86.23331699235381</v>
      </c>
    </row>
    <row r="6622">
      <c r="A6622" t="inlineStr">
        <is>
          <t>Mexico</t>
        </is>
      </c>
      <c r="B6622" t="inlineStr">
        <is>
          <t>MEX</t>
        </is>
      </c>
      <c r="C6622" t="n">
        <v>1987</v>
      </c>
      <c r="D6622" t="n">
        <v>131.82738392309</v>
      </c>
    </row>
    <row r="6623">
      <c r="A6623" t="inlineStr">
        <is>
          <t>Mexico</t>
        </is>
      </c>
      <c r="B6623" t="inlineStr">
        <is>
          <t>MEX</t>
        </is>
      </c>
      <c r="C6623" t="n">
        <v>1988</v>
      </c>
      <c r="D6623" t="n">
        <v>114.162258549066</v>
      </c>
    </row>
    <row r="6624">
      <c r="A6624" t="inlineStr">
        <is>
          <t>Mexico</t>
        </is>
      </c>
      <c r="B6624" t="inlineStr">
        <is>
          <t>MEX</t>
        </is>
      </c>
      <c r="C6624" t="n">
        <v>1989</v>
      </c>
      <c r="D6624" t="n">
        <v>20.0078767139978</v>
      </c>
    </row>
    <row r="6625">
      <c r="A6625" t="inlineStr">
        <is>
          <t>Mexico</t>
        </is>
      </c>
      <c r="B6625" t="inlineStr">
        <is>
          <t>MEX</t>
        </is>
      </c>
      <c r="C6625" t="n">
        <v>1990</v>
      </c>
      <c r="D6625" t="n">
        <v>26.6516725646771</v>
      </c>
    </row>
    <row r="6626">
      <c r="A6626" t="inlineStr">
        <is>
          <t>Mexico</t>
        </is>
      </c>
      <c r="B6626" t="inlineStr">
        <is>
          <t>MEX</t>
        </is>
      </c>
      <c r="C6626" t="n">
        <v>1991</v>
      </c>
      <c r="D6626" t="n">
        <v>22.662359455061</v>
      </c>
    </row>
    <row r="6627">
      <c r="A6627" t="inlineStr">
        <is>
          <t>Mexico</t>
        </is>
      </c>
      <c r="B6627" t="inlineStr">
        <is>
          <t>MEX</t>
        </is>
      </c>
      <c r="C6627" t="n">
        <v>1992</v>
      </c>
      <c r="D6627" t="n">
        <v>15.5078962533573</v>
      </c>
    </row>
    <row r="6628">
      <c r="A6628" t="inlineStr">
        <is>
          <t>Mexico</t>
        </is>
      </c>
      <c r="B6628" t="inlineStr">
        <is>
          <t>MEX</t>
        </is>
      </c>
      <c r="C6628" t="n">
        <v>1993</v>
      </c>
      <c r="D6628" t="n">
        <v>9.751460453575531</v>
      </c>
    </row>
    <row r="6629">
      <c r="A6629" t="inlineStr">
        <is>
          <t>Mexico</t>
        </is>
      </c>
      <c r="B6629" t="inlineStr">
        <is>
          <t>MEX</t>
        </is>
      </c>
      <c r="C6629" t="n">
        <v>1994</v>
      </c>
      <c r="D6629" t="n">
        <v>6.96581237191123</v>
      </c>
    </row>
    <row r="6630">
      <c r="A6630" t="inlineStr">
        <is>
          <t>Mexico</t>
        </is>
      </c>
      <c r="B6630" t="inlineStr">
        <is>
          <t>MEX</t>
        </is>
      </c>
      <c r="C6630" t="n">
        <v>1995</v>
      </c>
      <c r="D6630" t="n">
        <v>34.9992712889592</v>
      </c>
    </row>
    <row r="6631">
      <c r="A6631" t="inlineStr">
        <is>
          <t>Mexico</t>
        </is>
      </c>
      <c r="B6631" t="inlineStr">
        <is>
          <t>MEX</t>
        </is>
      </c>
      <c r="C6631" t="n">
        <v>1996</v>
      </c>
      <c r="D6631" t="n">
        <v>34.3783832235168</v>
      </c>
    </row>
    <row r="6632">
      <c r="A6632" t="inlineStr">
        <is>
          <t>Mexico</t>
        </is>
      </c>
      <c r="B6632" t="inlineStr">
        <is>
          <t>MEX</t>
        </is>
      </c>
      <c r="C6632" t="n">
        <v>1997</v>
      </c>
      <c r="D6632" t="n">
        <v>20.6256287259247</v>
      </c>
    </row>
    <row r="6633">
      <c r="A6633" t="inlineStr">
        <is>
          <t>Mexico</t>
        </is>
      </c>
      <c r="B6633" t="inlineStr">
        <is>
          <t>MEX</t>
        </is>
      </c>
      <c r="C6633" t="n">
        <v>1998</v>
      </c>
      <c r="D6633" t="n">
        <v>15.9283950119353</v>
      </c>
    </row>
    <row r="6634">
      <c r="A6634" t="inlineStr">
        <is>
          <t>Mexico</t>
        </is>
      </c>
      <c r="B6634" t="inlineStr">
        <is>
          <t>MEX</t>
        </is>
      </c>
      <c r="C6634" t="n">
        <v>1999</v>
      </c>
      <c r="D6634" t="n">
        <v>16.5856169707538</v>
      </c>
    </row>
    <row r="6635">
      <c r="A6635" t="inlineStr">
        <is>
          <t>Mexico</t>
        </is>
      </c>
      <c r="B6635" t="inlineStr">
        <is>
          <t>MEX</t>
        </is>
      </c>
      <c r="C6635" t="n">
        <v>2000</v>
      </c>
      <c r="D6635" t="n">
        <v>9.491561494354031</v>
      </c>
    </row>
    <row r="6636">
      <c r="A6636" t="inlineStr">
        <is>
          <t>Mexico</t>
        </is>
      </c>
      <c r="B6636" t="inlineStr">
        <is>
          <t>MEX</t>
        </is>
      </c>
      <c r="C6636" t="n">
        <v>2001</v>
      </c>
      <c r="D6636" t="n">
        <v>6.36773806235037</v>
      </c>
    </row>
    <row r="6637">
      <c r="A6637" t="inlineStr">
        <is>
          <t>Mexico</t>
        </is>
      </c>
      <c r="B6637" t="inlineStr">
        <is>
          <t>MEX</t>
        </is>
      </c>
      <c r="C6637" t="n">
        <v>2002</v>
      </c>
      <c r="D6637" t="n">
        <v>5.03072733151295</v>
      </c>
    </row>
    <row r="6638">
      <c r="A6638" t="inlineStr">
        <is>
          <t>Mexico</t>
        </is>
      </c>
      <c r="B6638" t="inlineStr">
        <is>
          <t>MEX</t>
        </is>
      </c>
      <c r="C6638" t="n">
        <v>2003</v>
      </c>
      <c r="D6638" t="n">
        <v>4.54690012118718</v>
      </c>
    </row>
    <row r="6639">
      <c r="A6639" t="inlineStr">
        <is>
          <t>Mexico</t>
        </is>
      </c>
      <c r="B6639" t="inlineStr">
        <is>
          <t>MEX</t>
        </is>
      </c>
      <c r="C6639" t="n">
        <v>2004</v>
      </c>
      <c r="D6639" t="n">
        <v>4.68840884843143</v>
      </c>
    </row>
    <row r="6640">
      <c r="A6640" t="inlineStr">
        <is>
          <t>Mexico</t>
        </is>
      </c>
      <c r="B6640" t="inlineStr">
        <is>
          <t>MEX</t>
        </is>
      </c>
      <c r="C6640" t="n">
        <v>2005</v>
      </c>
      <c r="D6640" t="n">
        <v>3.98805714597437</v>
      </c>
    </row>
    <row r="6641">
      <c r="A6641" t="inlineStr">
        <is>
          <t>Mexico</t>
        </is>
      </c>
      <c r="B6641" t="inlineStr">
        <is>
          <t>MEX</t>
        </is>
      </c>
      <c r="C6641" t="n">
        <v>2006</v>
      </c>
      <c r="D6641" t="n">
        <v>3.62946762439132</v>
      </c>
    </row>
    <row r="6642">
      <c r="A6642" t="inlineStr">
        <is>
          <t>Mexico</t>
        </is>
      </c>
      <c r="B6642" t="inlineStr">
        <is>
          <t>MEX</t>
        </is>
      </c>
      <c r="C6642" t="n">
        <v>2007</v>
      </c>
      <c r="D6642" t="n">
        <v>3.96684905458235</v>
      </c>
    </row>
    <row r="6643">
      <c r="A6643" t="inlineStr">
        <is>
          <t>Mexico</t>
        </is>
      </c>
      <c r="B6643" t="inlineStr">
        <is>
          <t>MEX</t>
        </is>
      </c>
      <c r="C6643" t="n">
        <v>2008</v>
      </c>
      <c r="D6643" t="n">
        <v>5.12498274575896</v>
      </c>
    </row>
    <row r="6644">
      <c r="A6644" t="inlineStr">
        <is>
          <t>Mexico</t>
        </is>
      </c>
      <c r="B6644" t="inlineStr">
        <is>
          <t>MEX</t>
        </is>
      </c>
      <c r="C6644" t="n">
        <v>2009</v>
      </c>
      <c r="D6644" t="n">
        <v>5.29735584228856</v>
      </c>
    </row>
    <row r="6645">
      <c r="A6645" t="inlineStr">
        <is>
          <t>Mexico</t>
        </is>
      </c>
      <c r="B6645" t="inlineStr">
        <is>
          <t>MEX</t>
        </is>
      </c>
      <c r="C6645" t="n">
        <v>2010</v>
      </c>
      <c r="D6645" t="n">
        <v>4.15672722680174</v>
      </c>
    </row>
    <row r="6646">
      <c r="A6646" t="inlineStr">
        <is>
          <t>Mexico</t>
        </is>
      </c>
      <c r="B6646" t="inlineStr">
        <is>
          <t>MEX</t>
        </is>
      </c>
      <c r="C6646" t="n">
        <v>2011</v>
      </c>
      <c r="D6646" t="n">
        <v>3.40737824605742</v>
      </c>
    </row>
    <row r="6647">
      <c r="A6647" t="inlineStr">
        <is>
          <t>Mexico</t>
        </is>
      </c>
      <c r="B6647" t="inlineStr">
        <is>
          <t>MEX</t>
        </is>
      </c>
      <c r="C6647" t="n">
        <v>2012</v>
      </c>
      <c r="D6647" t="n">
        <v>4.11150981070289</v>
      </c>
    </row>
    <row r="6648">
      <c r="A6648" t="inlineStr">
        <is>
          <t>Mexico</t>
        </is>
      </c>
      <c r="B6648" t="inlineStr">
        <is>
          <t>MEX</t>
        </is>
      </c>
      <c r="C6648" t="n">
        <v>2013</v>
      </c>
      <c r="D6648" t="n">
        <v>3.80639069747204</v>
      </c>
    </row>
    <row r="6649">
      <c r="A6649" t="inlineStr">
        <is>
          <t>Mexico</t>
        </is>
      </c>
      <c r="B6649" t="inlineStr">
        <is>
          <t>MEX</t>
        </is>
      </c>
      <c r="C6649" t="n">
        <v>2014</v>
      </c>
      <c r="D6649" t="n">
        <v>4.01861608078679</v>
      </c>
    </row>
    <row r="6650">
      <c r="A6650" t="inlineStr">
        <is>
          <t>Mexico</t>
        </is>
      </c>
      <c r="B6650" t="inlineStr">
        <is>
          <t>MEX</t>
        </is>
      </c>
      <c r="C6650" t="n">
        <v>2015</v>
      </c>
      <c r="D6650" t="n">
        <v>2.72064064964023</v>
      </c>
    </row>
    <row r="6651">
      <c r="A6651" t="inlineStr">
        <is>
          <t>Mexico</t>
        </is>
      </c>
      <c r="B6651" t="inlineStr">
        <is>
          <t>MEX</t>
        </is>
      </c>
      <c r="C6651" t="n">
        <v>2016</v>
      </c>
      <c r="D6651" t="n">
        <v>2.8217078474766</v>
      </c>
    </row>
    <row r="6652">
      <c r="A6652" t="inlineStr">
        <is>
          <t>Mexico</t>
        </is>
      </c>
      <c r="B6652" t="inlineStr">
        <is>
          <t>MEX</t>
        </is>
      </c>
      <c r="C6652" t="n">
        <v>2017</v>
      </c>
      <c r="D6652" t="n">
        <v>6.04145724018986</v>
      </c>
    </row>
    <row r="6653">
      <c r="A6653" t="inlineStr">
        <is>
          <t>Mexico</t>
        </is>
      </c>
      <c r="B6653" t="inlineStr">
        <is>
          <t>MEX</t>
        </is>
      </c>
      <c r="C6653" t="n">
        <v>2018</v>
      </c>
      <c r="D6653" t="n">
        <v>4.89935015356551</v>
      </c>
    </row>
    <row r="6654">
      <c r="A6654" t="inlineStr">
        <is>
          <t>Mexico</t>
        </is>
      </c>
      <c r="B6654" t="inlineStr">
        <is>
          <t>MEX</t>
        </is>
      </c>
      <c r="C6654" t="n">
        <v>2019</v>
      </c>
      <c r="D6654" t="n">
        <v>3.63596142127046</v>
      </c>
    </row>
    <row r="6655">
      <c r="A6655" t="inlineStr">
        <is>
          <t>Mexico</t>
        </is>
      </c>
      <c r="B6655" t="inlineStr">
        <is>
          <t>MEX</t>
        </is>
      </c>
      <c r="C6655" t="n">
        <v>2020</v>
      </c>
      <c r="D6655" t="n">
        <v>3.39683415570006</v>
      </c>
    </row>
    <row r="6656">
      <c r="A6656" t="inlineStr">
        <is>
          <t>Mexico</t>
        </is>
      </c>
      <c r="B6656" t="inlineStr">
        <is>
          <t>MEX</t>
        </is>
      </c>
      <c r="C6656" t="n">
        <v>2021</v>
      </c>
      <c r="D6656" t="n">
        <v>5.68920847683753</v>
      </c>
    </row>
    <row r="6657">
      <c r="A6657" t="inlineStr">
        <is>
          <t>Mexico</t>
        </is>
      </c>
      <c r="B6657" t="inlineStr">
        <is>
          <t>MEX</t>
        </is>
      </c>
      <c r="C6657" t="n">
        <v>2022</v>
      </c>
      <c r="D6657" t="n">
        <v>7.8962761916855</v>
      </c>
    </row>
    <row r="6658">
      <c r="A6658" t="inlineStr">
        <is>
          <t>Mexico</t>
        </is>
      </c>
      <c r="B6658" t="inlineStr">
        <is>
          <t>MEX</t>
        </is>
      </c>
      <c r="C6658" t="n">
        <v>2023</v>
      </c>
      <c r="D6658" t="n">
        <v>5.52796087314389</v>
      </c>
    </row>
    <row r="6659">
      <c r="A6659" t="inlineStr">
        <is>
          <t>Mexico</t>
        </is>
      </c>
      <c r="B6659" t="inlineStr">
        <is>
          <t>MEX</t>
        </is>
      </c>
      <c r="C6659" t="n">
        <v>2024</v>
      </c>
      <c r="D6659" t="n">
        <v>4.72225588452932</v>
      </c>
    </row>
    <row r="6660">
      <c r="A6660" t="inlineStr">
        <is>
          <t>Middle income</t>
        </is>
      </c>
      <c r="B6660" t="inlineStr">
        <is>
          <t>MIC</t>
        </is>
      </c>
      <c r="C6660" t="n">
        <v>1976</v>
      </c>
      <c r="D6660" t="n">
        <v>9.86215191952188</v>
      </c>
    </row>
    <row r="6661">
      <c r="A6661" t="inlineStr">
        <is>
          <t>Middle income</t>
        </is>
      </c>
      <c r="B6661" t="inlineStr">
        <is>
          <t>MIC</t>
        </is>
      </c>
      <c r="C6661" t="n">
        <v>1977</v>
      </c>
      <c r="D6661" t="n">
        <v>11.2657936370698</v>
      </c>
    </row>
    <row r="6662">
      <c r="A6662" t="inlineStr">
        <is>
          <t>Middle income</t>
        </is>
      </c>
      <c r="B6662" t="inlineStr">
        <is>
          <t>MIC</t>
        </is>
      </c>
      <c r="C6662" t="n">
        <v>1978</v>
      </c>
      <c r="D6662" t="n">
        <v>8.933758840950141</v>
      </c>
    </row>
    <row r="6663">
      <c r="A6663" t="inlineStr">
        <is>
          <t>Middle income</t>
        </is>
      </c>
      <c r="B6663" t="inlineStr">
        <is>
          <t>MIC</t>
        </is>
      </c>
      <c r="C6663" t="n">
        <v>1979</v>
      </c>
      <c r="D6663" t="n">
        <v>11.345993194885</v>
      </c>
    </row>
    <row r="6664">
      <c r="A6664" t="inlineStr">
        <is>
          <t>Middle income</t>
        </is>
      </c>
      <c r="B6664" t="inlineStr">
        <is>
          <t>MIC</t>
        </is>
      </c>
      <c r="C6664" t="n">
        <v>1980</v>
      </c>
      <c r="D6664" t="n">
        <v>16.7531356897102</v>
      </c>
    </row>
    <row r="6665">
      <c r="A6665" t="inlineStr">
        <is>
          <t>Middle income</t>
        </is>
      </c>
      <c r="B6665" t="inlineStr">
        <is>
          <t>MIC</t>
        </is>
      </c>
      <c r="C6665" t="n">
        <v>1981</v>
      </c>
      <c r="D6665" t="n">
        <v>12.9746974698193</v>
      </c>
    </row>
    <row r="6666">
      <c r="A6666" t="inlineStr">
        <is>
          <t>Middle income</t>
        </is>
      </c>
      <c r="B6666" t="inlineStr">
        <is>
          <t>MIC</t>
        </is>
      </c>
      <c r="C6666" t="n">
        <v>1982</v>
      </c>
      <c r="D6666" t="n">
        <v>10.2588088556284</v>
      </c>
    </row>
    <row r="6667">
      <c r="A6667" t="inlineStr">
        <is>
          <t>Middle income</t>
        </is>
      </c>
      <c r="B6667" t="inlineStr">
        <is>
          <t>MIC</t>
        </is>
      </c>
      <c r="C6667" t="n">
        <v>1983</v>
      </c>
      <c r="D6667" t="n">
        <v>10.6719367588934</v>
      </c>
    </row>
    <row r="6668">
      <c r="A6668" t="inlineStr">
        <is>
          <t>Middle income</t>
        </is>
      </c>
      <c r="B6668" t="inlineStr">
        <is>
          <t>MIC</t>
        </is>
      </c>
      <c r="C6668" t="n">
        <v>1984</v>
      </c>
      <c r="D6668" t="n">
        <v>10.45503482319</v>
      </c>
    </row>
    <row r="6669">
      <c r="A6669" t="inlineStr">
        <is>
          <t>Middle income</t>
        </is>
      </c>
      <c r="B6669" t="inlineStr">
        <is>
          <t>MIC</t>
        </is>
      </c>
      <c r="C6669" t="n">
        <v>1985</v>
      </c>
      <c r="D6669" t="n">
        <v>8.50837434391595</v>
      </c>
    </row>
    <row r="6670">
      <c r="A6670" t="inlineStr">
        <is>
          <t>Middle income</t>
        </is>
      </c>
      <c r="B6670" t="inlineStr">
        <is>
          <t>MIC</t>
        </is>
      </c>
      <c r="C6670" t="n">
        <v>1986</v>
      </c>
      <c r="D6670" t="n">
        <v>9.029510543571639</v>
      </c>
    </row>
    <row r="6671">
      <c r="A6671" t="inlineStr">
        <is>
          <t>Middle income</t>
        </is>
      </c>
      <c r="B6671" t="inlineStr">
        <is>
          <t>MIC</t>
        </is>
      </c>
      <c r="C6671" t="n">
        <v>1987</v>
      </c>
      <c r="D6671" t="n">
        <v>8.43173982070687</v>
      </c>
    </row>
    <row r="6672">
      <c r="A6672" t="inlineStr">
        <is>
          <t>Middle income</t>
        </is>
      </c>
      <c r="B6672" t="inlineStr">
        <is>
          <t>MIC</t>
        </is>
      </c>
      <c r="C6672" t="n">
        <v>1988</v>
      </c>
      <c r="D6672" t="n">
        <v>8.98300338208989</v>
      </c>
    </row>
    <row r="6673">
      <c r="A6673" t="inlineStr">
        <is>
          <t>Middle income</t>
        </is>
      </c>
      <c r="B6673" t="inlineStr">
        <is>
          <t>MIC</t>
        </is>
      </c>
      <c r="C6673" t="n">
        <v>1989</v>
      </c>
      <c r="D6673" t="n">
        <v>9.577385258061319</v>
      </c>
    </row>
    <row r="6674">
      <c r="A6674" t="inlineStr">
        <is>
          <t>Middle income</t>
        </is>
      </c>
      <c r="B6674" t="inlineStr">
        <is>
          <t>MIC</t>
        </is>
      </c>
      <c r="C6674" t="n">
        <v>1990</v>
      </c>
      <c r="D6674" t="n">
        <v>11.0249259531024</v>
      </c>
    </row>
    <row r="6675">
      <c r="A6675" t="inlineStr">
        <is>
          <t>Middle income</t>
        </is>
      </c>
      <c r="B6675" t="inlineStr">
        <is>
          <t>MIC</t>
        </is>
      </c>
      <c r="C6675" t="n">
        <v>1991</v>
      </c>
      <c r="D6675" t="n">
        <v>13.2242657726507</v>
      </c>
    </row>
    <row r="6676">
      <c r="A6676" t="inlineStr">
        <is>
          <t>Middle income</t>
        </is>
      </c>
      <c r="B6676" t="inlineStr">
        <is>
          <t>MIC</t>
        </is>
      </c>
      <c r="C6676" t="n">
        <v>1992</v>
      </c>
      <c r="D6676" t="n">
        <v>10.0561167448841</v>
      </c>
    </row>
    <row r="6677">
      <c r="A6677" t="inlineStr">
        <is>
          <t>Middle income</t>
        </is>
      </c>
      <c r="B6677" t="inlineStr">
        <is>
          <t>MIC</t>
        </is>
      </c>
      <c r="C6677" t="n">
        <v>1993</v>
      </c>
      <c r="D6677" t="n">
        <v>10.5178384472895</v>
      </c>
    </row>
    <row r="6678">
      <c r="A6678" t="inlineStr">
        <is>
          <t>Middle income</t>
        </is>
      </c>
      <c r="B6678" t="inlineStr">
        <is>
          <t>MIC</t>
        </is>
      </c>
      <c r="C6678" t="n">
        <v>1994</v>
      </c>
      <c r="D6678" t="n">
        <v>13.3952506595033</v>
      </c>
    </row>
    <row r="6679">
      <c r="A6679" t="inlineStr">
        <is>
          <t>Middle income</t>
        </is>
      </c>
      <c r="B6679" t="inlineStr">
        <is>
          <t>MIC</t>
        </is>
      </c>
      <c r="C6679" t="n">
        <v>1995</v>
      </c>
      <c r="D6679" t="n">
        <v>10.512546081579</v>
      </c>
    </row>
    <row r="6680">
      <c r="A6680" t="inlineStr">
        <is>
          <t>Middle income</t>
        </is>
      </c>
      <c r="B6680" t="inlineStr">
        <is>
          <t>MIC</t>
        </is>
      </c>
      <c r="C6680" t="n">
        <v>1996</v>
      </c>
      <c r="D6680" t="n">
        <v>9.220466623769861</v>
      </c>
    </row>
    <row r="6681">
      <c r="A6681" t="inlineStr">
        <is>
          <t>Middle income</t>
        </is>
      </c>
      <c r="B6681" t="inlineStr">
        <is>
          <t>MIC</t>
        </is>
      </c>
      <c r="C6681" t="n">
        <v>1997</v>
      </c>
      <c r="D6681" t="n">
        <v>7.12532722513057</v>
      </c>
    </row>
    <row r="6682">
      <c r="A6682" t="inlineStr">
        <is>
          <t>Middle income</t>
        </is>
      </c>
      <c r="B6682" t="inlineStr">
        <is>
          <t>MIC</t>
        </is>
      </c>
      <c r="C6682" t="n">
        <v>1998</v>
      </c>
      <c r="D6682" t="n">
        <v>7.67322895675083</v>
      </c>
    </row>
    <row r="6683">
      <c r="A6683" t="inlineStr">
        <is>
          <t>Middle income</t>
        </is>
      </c>
      <c r="B6683" t="inlineStr">
        <is>
          <t>MIC</t>
        </is>
      </c>
      <c r="C6683" t="n">
        <v>1999</v>
      </c>
      <c r="D6683" t="n">
        <v>4.86192267490097</v>
      </c>
    </row>
    <row r="6684">
      <c r="A6684" t="inlineStr">
        <is>
          <t>Middle income</t>
        </is>
      </c>
      <c r="B6684" t="inlineStr">
        <is>
          <t>MIC</t>
        </is>
      </c>
      <c r="C6684" t="n">
        <v>2000</v>
      </c>
      <c r="D6684" t="n">
        <v>4.19928825622803</v>
      </c>
    </row>
    <row r="6685">
      <c r="A6685" t="inlineStr">
        <is>
          <t>Middle income</t>
        </is>
      </c>
      <c r="B6685" t="inlineStr">
        <is>
          <t>MIC</t>
        </is>
      </c>
      <c r="C6685" t="n">
        <v>2001</v>
      </c>
      <c r="D6685" t="n">
        <v>5.25305303386298</v>
      </c>
    </row>
    <row r="6686">
      <c r="A6686" t="inlineStr">
        <is>
          <t>Middle income</t>
        </is>
      </c>
      <c r="B6686" t="inlineStr">
        <is>
          <t>MIC</t>
        </is>
      </c>
      <c r="C6686" t="n">
        <v>2002</v>
      </c>
      <c r="D6686" t="n">
        <v>4.26870932309104</v>
      </c>
    </row>
    <row r="6687">
      <c r="A6687" t="inlineStr">
        <is>
          <t>Middle income</t>
        </is>
      </c>
      <c r="B6687" t="inlineStr">
        <is>
          <t>MIC</t>
        </is>
      </c>
      <c r="C6687" t="n">
        <v>2003</v>
      </c>
      <c r="D6687" t="n">
        <v>4.7215533660534</v>
      </c>
    </row>
    <row r="6688">
      <c r="A6688" t="inlineStr">
        <is>
          <t>Middle income</t>
        </is>
      </c>
      <c r="B6688" t="inlineStr">
        <is>
          <t>MIC</t>
        </is>
      </c>
      <c r="C6688" t="n">
        <v>2004</v>
      </c>
      <c r="D6688" t="n">
        <v>4.68840884843143</v>
      </c>
    </row>
    <row r="6689">
      <c r="A6689" t="inlineStr">
        <is>
          <t>Middle income</t>
        </is>
      </c>
      <c r="B6689" t="inlineStr">
        <is>
          <t>MIC</t>
        </is>
      </c>
      <c r="C6689" t="n">
        <v>2005</v>
      </c>
      <c r="D6689" t="n">
        <v>5.0427948597843</v>
      </c>
    </row>
    <row r="6690">
      <c r="A6690" t="inlineStr">
        <is>
          <t>Middle income</t>
        </is>
      </c>
      <c r="B6690" t="inlineStr">
        <is>
          <t>MIC</t>
        </is>
      </c>
      <c r="C6690" t="n">
        <v>2006</v>
      </c>
      <c r="D6690" t="n">
        <v>5.5649377040842</v>
      </c>
    </row>
    <row r="6691">
      <c r="A6691" t="inlineStr">
        <is>
          <t>Middle income</t>
        </is>
      </c>
      <c r="B6691" t="inlineStr">
        <is>
          <t>MIC</t>
        </is>
      </c>
      <c r="C6691" t="n">
        <v>2007</v>
      </c>
      <c r="D6691" t="n">
        <v>6.17781214809388</v>
      </c>
    </row>
    <row r="6692">
      <c r="A6692" t="inlineStr">
        <is>
          <t>Middle income</t>
        </is>
      </c>
      <c r="B6692" t="inlineStr">
        <is>
          <t>MIC</t>
        </is>
      </c>
      <c r="C6692" t="n">
        <v>2008</v>
      </c>
      <c r="D6692" t="n">
        <v>10.1547846489023</v>
      </c>
    </row>
    <row r="6693">
      <c r="A6693" t="inlineStr">
        <is>
          <t>Middle income</t>
        </is>
      </c>
      <c r="B6693" t="inlineStr">
        <is>
          <t>MIC</t>
        </is>
      </c>
      <c r="C6693" t="n">
        <v>2009</v>
      </c>
      <c r="D6693" t="n">
        <v>3.9447591085764</v>
      </c>
    </row>
    <row r="6694">
      <c r="A6694" t="inlineStr">
        <is>
          <t>Middle income</t>
        </is>
      </c>
      <c r="B6694" t="inlineStr">
        <is>
          <t>MIC</t>
        </is>
      </c>
      <c r="C6694" t="n">
        <v>2010</v>
      </c>
      <c r="D6694" t="n">
        <v>4.15672722680174</v>
      </c>
    </row>
    <row r="6695">
      <c r="A6695" t="inlineStr">
        <is>
          <t>Middle income</t>
        </is>
      </c>
      <c r="B6695" t="inlineStr">
        <is>
          <t>MIC</t>
        </is>
      </c>
      <c r="C6695" t="n">
        <v>2011</v>
      </c>
      <c r="D6695" t="n">
        <v>5.801455370853</v>
      </c>
    </row>
    <row r="6696">
      <c r="A6696" t="inlineStr">
        <is>
          <t>Middle income</t>
        </is>
      </c>
      <c r="B6696" t="inlineStr">
        <is>
          <t>MIC</t>
        </is>
      </c>
      <c r="C6696" t="n">
        <v>2012</v>
      </c>
      <c r="D6696" t="n">
        <v>4.54176967761132</v>
      </c>
    </row>
    <row r="6697">
      <c r="A6697" t="inlineStr">
        <is>
          <t>Middle income</t>
        </is>
      </c>
      <c r="B6697" t="inlineStr">
        <is>
          <t>MIC</t>
        </is>
      </c>
      <c r="C6697" t="n">
        <v>2013</v>
      </c>
      <c r="D6697" t="n">
        <v>4.47062514321319</v>
      </c>
    </row>
    <row r="6698">
      <c r="A6698" t="inlineStr">
        <is>
          <t>Middle income</t>
        </is>
      </c>
      <c r="B6698" t="inlineStr">
        <is>
          <t>MIC</t>
        </is>
      </c>
      <c r="C6698" t="n">
        <v>2014</v>
      </c>
      <c r="D6698" t="n">
        <v>3.53436856147324</v>
      </c>
    </row>
    <row r="6699">
      <c r="A6699" t="inlineStr">
        <is>
          <t>Middle income</t>
        </is>
      </c>
      <c r="B6699" t="inlineStr">
        <is>
          <t>MIC</t>
        </is>
      </c>
      <c r="C6699" t="n">
        <v>2015</v>
      </c>
      <c r="D6699" t="n">
        <v>3.15783117980923</v>
      </c>
    </row>
    <row r="6700">
      <c r="A6700" t="inlineStr">
        <is>
          <t>Middle income</t>
        </is>
      </c>
      <c r="B6700" t="inlineStr">
        <is>
          <t>MIC</t>
        </is>
      </c>
      <c r="C6700" t="n">
        <v>2016</v>
      </c>
      <c r="D6700" t="n">
        <v>2.72461223295289</v>
      </c>
    </row>
    <row r="6701">
      <c r="A6701" t="inlineStr">
        <is>
          <t>Middle income</t>
        </is>
      </c>
      <c r="B6701" t="inlineStr">
        <is>
          <t>MIC</t>
        </is>
      </c>
      <c r="C6701" t="n">
        <v>2017</v>
      </c>
      <c r="D6701" t="n">
        <v>3.39697584895255</v>
      </c>
    </row>
    <row r="6702">
      <c r="A6702" t="inlineStr">
        <is>
          <t>Middle income</t>
        </is>
      </c>
      <c r="B6702" t="inlineStr">
        <is>
          <t>MIC</t>
        </is>
      </c>
      <c r="C6702" t="n">
        <v>2018</v>
      </c>
      <c r="D6702" t="n">
        <v>3.24056932930569</v>
      </c>
    </row>
    <row r="6703">
      <c r="A6703" t="inlineStr">
        <is>
          <t>Middle income</t>
        </is>
      </c>
      <c r="B6703" t="inlineStr">
        <is>
          <t>MIC</t>
        </is>
      </c>
      <c r="C6703" t="n">
        <v>2019</v>
      </c>
      <c r="D6703" t="n">
        <v>2.67599202639893</v>
      </c>
    </row>
    <row r="6704">
      <c r="A6704" t="inlineStr">
        <is>
          <t>Middle income</t>
        </is>
      </c>
      <c r="B6704" t="inlineStr">
        <is>
          <t>MIC</t>
        </is>
      </c>
      <c r="C6704" t="n">
        <v>2020</v>
      </c>
      <c r="D6704" t="n">
        <v>2.65664643301124</v>
      </c>
    </row>
    <row r="6705">
      <c r="A6705" t="inlineStr">
        <is>
          <t>Middle income</t>
        </is>
      </c>
      <c r="B6705" t="inlineStr">
        <is>
          <t>MIC</t>
        </is>
      </c>
      <c r="C6705" t="n">
        <v>2021</v>
      </c>
      <c r="D6705" t="n">
        <v>4.08852737513983</v>
      </c>
    </row>
    <row r="6706">
      <c r="A6706" t="inlineStr">
        <is>
          <t>Middle income</t>
        </is>
      </c>
      <c r="B6706" t="inlineStr">
        <is>
          <t>MIC</t>
        </is>
      </c>
      <c r="C6706" t="n">
        <v>2022</v>
      </c>
      <c r="D6706" t="n">
        <v>8.27328940087841</v>
      </c>
    </row>
    <row r="6707">
      <c r="A6707" t="inlineStr">
        <is>
          <t>Middle income</t>
        </is>
      </c>
      <c r="B6707" t="inlineStr">
        <is>
          <t>MIC</t>
        </is>
      </c>
      <c r="C6707" t="n">
        <v>2023</v>
      </c>
      <c r="D6707" t="n">
        <v>6.0752438457966</v>
      </c>
    </row>
    <row r="6708">
      <c r="A6708" t="inlineStr">
        <is>
          <t>North Macedonia</t>
        </is>
      </c>
      <c r="B6708" t="inlineStr">
        <is>
          <t>MKD</t>
        </is>
      </c>
      <c r="C6708" t="n">
        <v>1994</v>
      </c>
      <c r="D6708" t="n">
        <v>126.583368336245</v>
      </c>
    </row>
    <row r="6709">
      <c r="A6709" t="inlineStr">
        <is>
          <t>North Macedonia</t>
        </is>
      </c>
      <c r="B6709" t="inlineStr">
        <is>
          <t>MKD</t>
        </is>
      </c>
      <c r="C6709" t="n">
        <v>1995</v>
      </c>
      <c r="D6709" t="n">
        <v>16.3735889723568</v>
      </c>
    </row>
    <row r="6710">
      <c r="A6710" t="inlineStr">
        <is>
          <t>North Macedonia</t>
        </is>
      </c>
      <c r="B6710" t="inlineStr">
        <is>
          <t>MKD</t>
        </is>
      </c>
      <c r="C6710" t="n">
        <v>1996</v>
      </c>
      <c r="D6710" t="n">
        <v>2.46660008582917</v>
      </c>
    </row>
    <row r="6711">
      <c r="A6711" t="inlineStr">
        <is>
          <t>North Macedonia</t>
        </is>
      </c>
      <c r="B6711" t="inlineStr">
        <is>
          <t>MKD</t>
        </is>
      </c>
      <c r="C6711" t="n">
        <v>1997</v>
      </c>
      <c r="D6711" t="n">
        <v>1.29436487155045</v>
      </c>
    </row>
    <row r="6712">
      <c r="A6712" t="inlineStr">
        <is>
          <t>North Macedonia</t>
        </is>
      </c>
      <c r="B6712" t="inlineStr">
        <is>
          <t>MKD</t>
        </is>
      </c>
      <c r="C6712" t="n">
        <v>1998</v>
      </c>
      <c r="D6712" t="n">
        <v>0.544199652523074</v>
      </c>
    </row>
    <row r="6713">
      <c r="A6713" t="inlineStr">
        <is>
          <t>North Macedonia</t>
        </is>
      </c>
      <c r="B6713" t="inlineStr">
        <is>
          <t>MKD</t>
        </is>
      </c>
      <c r="C6713" t="n">
        <v>1999</v>
      </c>
      <c r="D6713" t="n">
        <v>-1.27928657572626</v>
      </c>
    </row>
    <row r="6714">
      <c r="A6714" t="inlineStr">
        <is>
          <t>North Macedonia</t>
        </is>
      </c>
      <c r="B6714" t="inlineStr">
        <is>
          <t>MKD</t>
        </is>
      </c>
      <c r="C6714" t="n">
        <v>2000</v>
      </c>
      <c r="D6714" t="n">
        <v>6.60742291038536</v>
      </c>
    </row>
    <row r="6715">
      <c r="A6715" t="inlineStr">
        <is>
          <t>North Macedonia</t>
        </is>
      </c>
      <c r="B6715" t="inlineStr">
        <is>
          <t>MKD</t>
        </is>
      </c>
      <c r="C6715" t="n">
        <v>2001</v>
      </c>
      <c r="D6715" t="n">
        <v>5.19888525744048</v>
      </c>
    </row>
    <row r="6716">
      <c r="A6716" t="inlineStr">
        <is>
          <t>North Macedonia</t>
        </is>
      </c>
      <c r="B6716" t="inlineStr">
        <is>
          <t>MKD</t>
        </is>
      </c>
      <c r="C6716" t="n">
        <v>2002</v>
      </c>
      <c r="D6716" t="n">
        <v>2.31459794083219</v>
      </c>
    </row>
    <row r="6717">
      <c r="A6717" t="inlineStr">
        <is>
          <t>North Macedonia</t>
        </is>
      </c>
      <c r="B6717" t="inlineStr">
        <is>
          <t>MKD</t>
        </is>
      </c>
      <c r="C6717" t="n">
        <v>2003</v>
      </c>
      <c r="D6717" t="n">
        <v>0.855562122724231</v>
      </c>
    </row>
    <row r="6718">
      <c r="A6718" t="inlineStr">
        <is>
          <t>North Macedonia</t>
        </is>
      </c>
      <c r="B6718" t="inlineStr">
        <is>
          <t>MKD</t>
        </is>
      </c>
      <c r="C6718" t="n">
        <v>2004</v>
      </c>
      <c r="D6718" t="n">
        <v>-0.448650206552038</v>
      </c>
    </row>
    <row r="6719">
      <c r="A6719" t="inlineStr">
        <is>
          <t>North Macedonia</t>
        </is>
      </c>
      <c r="B6719" t="inlineStr">
        <is>
          <t>MKD</t>
        </is>
      </c>
      <c r="C6719" t="n">
        <v>2005</v>
      </c>
      <c r="D6719" t="n">
        <v>0.525515950714282</v>
      </c>
    </row>
    <row r="6720">
      <c r="A6720" t="inlineStr">
        <is>
          <t>North Macedonia</t>
        </is>
      </c>
      <c r="B6720" t="inlineStr">
        <is>
          <t>MKD</t>
        </is>
      </c>
      <c r="C6720" t="n">
        <v>2006</v>
      </c>
      <c r="D6720" t="n">
        <v>3.21362929606346</v>
      </c>
    </row>
    <row r="6721">
      <c r="A6721" t="inlineStr">
        <is>
          <t>North Macedonia</t>
        </is>
      </c>
      <c r="B6721" t="inlineStr">
        <is>
          <t>MKD</t>
        </is>
      </c>
      <c r="C6721" t="n">
        <v>2007</v>
      </c>
      <c r="D6721" t="n">
        <v>2.25175798305457</v>
      </c>
    </row>
    <row r="6722">
      <c r="A6722" t="inlineStr">
        <is>
          <t>North Macedonia</t>
        </is>
      </c>
      <c r="B6722" t="inlineStr">
        <is>
          <t>MKD</t>
        </is>
      </c>
      <c r="C6722" t="n">
        <v>2008</v>
      </c>
      <c r="D6722" t="n">
        <v>8.331896669680949</v>
      </c>
    </row>
    <row r="6723">
      <c r="A6723" t="inlineStr">
        <is>
          <t>North Macedonia</t>
        </is>
      </c>
      <c r="B6723" t="inlineStr">
        <is>
          <t>MKD</t>
        </is>
      </c>
      <c r="C6723" t="n">
        <v>2009</v>
      </c>
      <c r="D6723" t="n">
        <v>-0.739633963061153</v>
      </c>
    </row>
    <row r="6724">
      <c r="A6724" t="inlineStr">
        <is>
          <t>North Macedonia</t>
        </is>
      </c>
      <c r="B6724" t="inlineStr">
        <is>
          <t>MKD</t>
        </is>
      </c>
      <c r="C6724" t="n">
        <v>2010</v>
      </c>
      <c r="D6724" t="n">
        <v>1.50997522027621</v>
      </c>
    </row>
    <row r="6725">
      <c r="A6725" t="inlineStr">
        <is>
          <t>North Macedonia</t>
        </is>
      </c>
      <c r="B6725" t="inlineStr">
        <is>
          <t>MKD</t>
        </is>
      </c>
      <c r="C6725" t="n">
        <v>2011</v>
      </c>
      <c r="D6725" t="n">
        <v>3.9047542206973</v>
      </c>
    </row>
    <row r="6726">
      <c r="A6726" t="inlineStr">
        <is>
          <t>North Macedonia</t>
        </is>
      </c>
      <c r="B6726" t="inlineStr">
        <is>
          <t>MKD</t>
        </is>
      </c>
      <c r="C6726" t="n">
        <v>2012</v>
      </c>
      <c r="D6726" t="n">
        <v>3.31605566687647</v>
      </c>
    </row>
    <row r="6727">
      <c r="A6727" t="inlineStr">
        <is>
          <t>North Macedonia</t>
        </is>
      </c>
      <c r="B6727" t="inlineStr">
        <is>
          <t>MKD</t>
        </is>
      </c>
      <c r="C6727" t="n">
        <v>2013</v>
      </c>
      <c r="D6727" t="n">
        <v>2.78500056726118</v>
      </c>
    </row>
    <row r="6728">
      <c r="A6728" t="inlineStr">
        <is>
          <t>North Macedonia</t>
        </is>
      </c>
      <c r="B6728" t="inlineStr">
        <is>
          <t>MKD</t>
        </is>
      </c>
      <c r="C6728" t="n">
        <v>2014</v>
      </c>
      <c r="D6728" t="n">
        <v>-0.281705032928494</v>
      </c>
    </row>
    <row r="6729">
      <c r="A6729" t="inlineStr">
        <is>
          <t>North Macedonia</t>
        </is>
      </c>
      <c r="B6729" t="inlineStr">
        <is>
          <t>MKD</t>
        </is>
      </c>
      <c r="C6729" t="n">
        <v>2015</v>
      </c>
      <c r="D6729" t="n">
        <v>-0.299920475631552</v>
      </c>
    </row>
    <row r="6730">
      <c r="A6730" t="inlineStr">
        <is>
          <t>North Macedonia</t>
        </is>
      </c>
      <c r="B6730" t="inlineStr">
        <is>
          <t>MKD</t>
        </is>
      </c>
      <c r="C6730" t="n">
        <v>2016</v>
      </c>
      <c r="D6730" t="n">
        <v>-0.23929078768441</v>
      </c>
    </row>
    <row r="6731">
      <c r="A6731" t="inlineStr">
        <is>
          <t>North Macedonia</t>
        </is>
      </c>
      <c r="B6731" t="inlineStr">
        <is>
          <t>MKD</t>
        </is>
      </c>
      <c r="C6731" t="n">
        <v>2017</v>
      </c>
      <c r="D6731" t="n">
        <v>1.35161889677442</v>
      </c>
    </row>
    <row r="6732">
      <c r="A6732" t="inlineStr">
        <is>
          <t>North Macedonia</t>
        </is>
      </c>
      <c r="B6732" t="inlineStr">
        <is>
          <t>MKD</t>
        </is>
      </c>
      <c r="C6732" t="n">
        <v>2018</v>
      </c>
      <c r="D6732" t="n">
        <v>1.45831298507117</v>
      </c>
    </row>
    <row r="6733">
      <c r="A6733" t="inlineStr">
        <is>
          <t>North Macedonia</t>
        </is>
      </c>
      <c r="B6733" t="inlineStr">
        <is>
          <t>MKD</t>
        </is>
      </c>
      <c r="C6733" t="n">
        <v>2019</v>
      </c>
      <c r="D6733" t="n">
        <v>0.766439573459716</v>
      </c>
    </row>
    <row r="6734">
      <c r="A6734" t="inlineStr">
        <is>
          <t>North Macedonia</t>
        </is>
      </c>
      <c r="B6734" t="inlineStr">
        <is>
          <t>MKD</t>
        </is>
      </c>
      <c r="C6734" t="n">
        <v>2020</v>
      </c>
      <c r="D6734" t="n">
        <v>1.20007348888487</v>
      </c>
    </row>
    <row r="6735">
      <c r="A6735" t="inlineStr">
        <is>
          <t>North Macedonia</t>
        </is>
      </c>
      <c r="B6735" t="inlineStr">
        <is>
          <t>MKD</t>
        </is>
      </c>
      <c r="C6735" t="n">
        <v>2021</v>
      </c>
      <c r="D6735" t="n">
        <v>3.23074912132919</v>
      </c>
    </row>
    <row r="6736">
      <c r="A6736" t="inlineStr">
        <is>
          <t>North Macedonia</t>
        </is>
      </c>
      <c r="B6736" t="inlineStr">
        <is>
          <t>MKD</t>
        </is>
      </c>
      <c r="C6736" t="n">
        <v>2022</v>
      </c>
      <c r="D6736" t="n">
        <v>14.2047173195833</v>
      </c>
    </row>
    <row r="6737">
      <c r="A6737" t="inlineStr">
        <is>
          <t>North Macedonia</t>
        </is>
      </c>
      <c r="B6737" t="inlineStr">
        <is>
          <t>MKD</t>
        </is>
      </c>
      <c r="C6737" t="n">
        <v>2023</v>
      </c>
      <c r="D6737" t="n">
        <v>9.361872497690159</v>
      </c>
    </row>
    <row r="6738">
      <c r="A6738" t="inlineStr">
        <is>
          <t>North Macedonia</t>
        </is>
      </c>
      <c r="B6738" t="inlineStr">
        <is>
          <t>MKD</t>
        </is>
      </c>
      <c r="C6738" t="n">
        <v>2024</v>
      </c>
      <c r="D6738" t="n">
        <v>3.48974086026947</v>
      </c>
    </row>
    <row r="6739">
      <c r="A6739" t="inlineStr">
        <is>
          <t>Mali</t>
        </is>
      </c>
      <c r="B6739" t="inlineStr">
        <is>
          <t>MLI</t>
        </is>
      </c>
      <c r="C6739" t="n">
        <v>1989</v>
      </c>
      <c r="D6739" t="n">
        <v>-0.076692997928865</v>
      </c>
    </row>
    <row r="6740">
      <c r="A6740" t="inlineStr">
        <is>
          <t>Mali</t>
        </is>
      </c>
      <c r="B6740" t="inlineStr">
        <is>
          <t>MLI</t>
        </is>
      </c>
      <c r="C6740" t="n">
        <v>1990</v>
      </c>
      <c r="D6740" t="n">
        <v>0.606339703737522</v>
      </c>
    </row>
    <row r="6741">
      <c r="A6741" t="inlineStr">
        <is>
          <t>Mali</t>
        </is>
      </c>
      <c r="B6741" t="inlineStr">
        <is>
          <t>MLI</t>
        </is>
      </c>
      <c r="C6741" t="n">
        <v>1991</v>
      </c>
      <c r="D6741" t="n">
        <v>1.80042722001854</v>
      </c>
    </row>
    <row r="6742">
      <c r="A6742" t="inlineStr">
        <is>
          <t>Mali</t>
        </is>
      </c>
      <c r="B6742" t="inlineStr">
        <is>
          <t>MLI</t>
        </is>
      </c>
      <c r="C6742" t="n">
        <v>1992</v>
      </c>
      <c r="D6742" t="n">
        <v>-6.24250599520423</v>
      </c>
    </row>
    <row r="6743">
      <c r="A6743" t="inlineStr">
        <is>
          <t>Mali</t>
        </is>
      </c>
      <c r="B6743" t="inlineStr">
        <is>
          <t>MLI</t>
        </is>
      </c>
      <c r="C6743" t="n">
        <v>1993</v>
      </c>
      <c r="D6743" t="n">
        <v>-0.263767884261804</v>
      </c>
    </row>
    <row r="6744">
      <c r="A6744" t="inlineStr">
        <is>
          <t>Mali</t>
        </is>
      </c>
      <c r="B6744" t="inlineStr">
        <is>
          <t>MLI</t>
        </is>
      </c>
      <c r="C6744" t="n">
        <v>1994</v>
      </c>
      <c r="D6744" t="n">
        <v>23.1767911524285</v>
      </c>
    </row>
    <row r="6745">
      <c r="A6745" t="inlineStr">
        <is>
          <t>Mali</t>
        </is>
      </c>
      <c r="B6745" t="inlineStr">
        <is>
          <t>MLI</t>
        </is>
      </c>
      <c r="C6745" t="n">
        <v>1995</v>
      </c>
      <c r="D6745" t="n">
        <v>13.4417696811974</v>
      </c>
    </row>
    <row r="6746">
      <c r="A6746" t="inlineStr">
        <is>
          <t>Mali</t>
        </is>
      </c>
      <c r="B6746" t="inlineStr">
        <is>
          <t>MLI</t>
        </is>
      </c>
      <c r="C6746" t="n">
        <v>1996</v>
      </c>
      <c r="D6746" t="n">
        <v>6.80545996788235</v>
      </c>
    </row>
    <row r="6747">
      <c r="A6747" t="inlineStr">
        <is>
          <t>Mali</t>
        </is>
      </c>
      <c r="B6747" t="inlineStr">
        <is>
          <t>MLI</t>
        </is>
      </c>
      <c r="C6747" t="n">
        <v>1997</v>
      </c>
      <c r="D6747" t="n">
        <v>-0.362999795946695</v>
      </c>
    </row>
    <row r="6748">
      <c r="A6748" t="inlineStr">
        <is>
          <t>Mali</t>
        </is>
      </c>
      <c r="B6748" t="inlineStr">
        <is>
          <t>MLI</t>
        </is>
      </c>
      <c r="C6748" t="n">
        <v>1998</v>
      </c>
      <c r="D6748" t="n">
        <v>4.03658945954986</v>
      </c>
    </row>
    <row r="6749">
      <c r="A6749" t="inlineStr">
        <is>
          <t>Mali</t>
        </is>
      </c>
      <c r="B6749" t="inlineStr">
        <is>
          <t>MLI</t>
        </is>
      </c>
      <c r="C6749" t="n">
        <v>1999</v>
      </c>
      <c r="D6749" t="n">
        <v>-1.20190368637502</v>
      </c>
    </row>
    <row r="6750">
      <c r="A6750" t="inlineStr">
        <is>
          <t>Mali</t>
        </is>
      </c>
      <c r="B6750" t="inlineStr">
        <is>
          <t>MLI</t>
        </is>
      </c>
      <c r="C6750" t="n">
        <v>2000</v>
      </c>
      <c r="D6750" t="n">
        <v>-0.677661659046769</v>
      </c>
    </row>
    <row r="6751">
      <c r="A6751" t="inlineStr">
        <is>
          <t>Mali</t>
        </is>
      </c>
      <c r="B6751" t="inlineStr">
        <is>
          <t>MLI</t>
        </is>
      </c>
      <c r="C6751" t="n">
        <v>2001</v>
      </c>
      <c r="D6751" t="n">
        <v>5.18701191944066</v>
      </c>
    </row>
    <row r="6752">
      <c r="A6752" t="inlineStr">
        <is>
          <t>Mali</t>
        </is>
      </c>
      <c r="B6752" t="inlineStr">
        <is>
          <t>MLI</t>
        </is>
      </c>
      <c r="C6752" t="n">
        <v>2002</v>
      </c>
      <c r="D6752" t="n">
        <v>5.03282275711195</v>
      </c>
    </row>
    <row r="6753">
      <c r="A6753" t="inlineStr">
        <is>
          <t>Mali</t>
        </is>
      </c>
      <c r="B6753" t="inlineStr">
        <is>
          <t>MLI</t>
        </is>
      </c>
      <c r="C6753" t="n">
        <v>2003</v>
      </c>
      <c r="D6753" t="n">
        <v>-1.34672619047621</v>
      </c>
    </row>
    <row r="6754">
      <c r="A6754" t="inlineStr">
        <is>
          <t>Mali</t>
        </is>
      </c>
      <c r="B6754" t="inlineStr">
        <is>
          <t>MLI</t>
        </is>
      </c>
      <c r="C6754" t="n">
        <v>2004</v>
      </c>
      <c r="D6754" t="n">
        <v>-3.09978128063956</v>
      </c>
    </row>
    <row r="6755">
      <c r="A6755" t="inlineStr">
        <is>
          <t>Mali</t>
        </is>
      </c>
      <c r="B6755" t="inlineStr">
        <is>
          <t>MLI</t>
        </is>
      </c>
      <c r="C6755" t="n">
        <v>2005</v>
      </c>
      <c r="D6755" t="n">
        <v>6.39788293897881</v>
      </c>
    </row>
    <row r="6756">
      <c r="A6756" t="inlineStr">
        <is>
          <t>Mali</t>
        </is>
      </c>
      <c r="B6756" t="inlineStr">
        <is>
          <t>MLI</t>
        </is>
      </c>
      <c r="C6756" t="n">
        <v>2006</v>
      </c>
      <c r="D6756" t="n">
        <v>1.54352596927584</v>
      </c>
    </row>
    <row r="6757">
      <c r="A6757" t="inlineStr">
        <is>
          <t>Mali</t>
        </is>
      </c>
      <c r="B6757" t="inlineStr">
        <is>
          <t>MLI</t>
        </is>
      </c>
      <c r="C6757" t="n">
        <v>2007</v>
      </c>
      <c r="D6757" t="n">
        <v>1.41200201714576</v>
      </c>
    </row>
    <row r="6758">
      <c r="A6758" t="inlineStr">
        <is>
          <t>Mali</t>
        </is>
      </c>
      <c r="B6758" t="inlineStr">
        <is>
          <t>MLI</t>
        </is>
      </c>
      <c r="C6758" t="n">
        <v>2008</v>
      </c>
      <c r="D6758" t="n">
        <v>9.17098813667678</v>
      </c>
    </row>
    <row r="6759">
      <c r="A6759" t="inlineStr">
        <is>
          <t>Mali</t>
        </is>
      </c>
      <c r="B6759" t="inlineStr">
        <is>
          <t>MLI</t>
        </is>
      </c>
      <c r="C6759" t="n">
        <v>2009</v>
      </c>
      <c r="D6759" t="n">
        <v>2.46375188572299</v>
      </c>
    </row>
    <row r="6760">
      <c r="A6760" t="inlineStr">
        <is>
          <t>Mali</t>
        </is>
      </c>
      <c r="B6760" t="inlineStr">
        <is>
          <t>MLI</t>
        </is>
      </c>
      <c r="C6760" t="n">
        <v>2010</v>
      </c>
      <c r="D6760" t="n">
        <v>1.10892690670187</v>
      </c>
    </row>
    <row r="6761">
      <c r="A6761" t="inlineStr">
        <is>
          <t>Mali</t>
        </is>
      </c>
      <c r="B6761" t="inlineStr">
        <is>
          <t>MLI</t>
        </is>
      </c>
      <c r="C6761" t="n">
        <v>2011</v>
      </c>
      <c r="D6761" t="n">
        <v>2.95564395229391</v>
      </c>
    </row>
    <row r="6762">
      <c r="A6762" t="inlineStr">
        <is>
          <t>Mali</t>
        </is>
      </c>
      <c r="B6762" t="inlineStr">
        <is>
          <t>MLI</t>
        </is>
      </c>
      <c r="C6762" t="n">
        <v>2012</v>
      </c>
      <c r="D6762" t="n">
        <v>5.32312847064058</v>
      </c>
    </row>
    <row r="6763">
      <c r="A6763" t="inlineStr">
        <is>
          <t>Mali</t>
        </is>
      </c>
      <c r="B6763" t="inlineStr">
        <is>
          <t>MLI</t>
        </is>
      </c>
      <c r="C6763" t="n">
        <v>2013</v>
      </c>
      <c r="D6763" t="n">
        <v>-0.6067363563514711</v>
      </c>
    </row>
    <row r="6764">
      <c r="A6764" t="inlineStr">
        <is>
          <t>Mali</t>
        </is>
      </c>
      <c r="B6764" t="inlineStr">
        <is>
          <t>MLI</t>
        </is>
      </c>
      <c r="C6764" t="n">
        <v>2014</v>
      </c>
      <c r="D6764" t="n">
        <v>0.883814547137841</v>
      </c>
    </row>
    <row r="6765">
      <c r="A6765" t="inlineStr">
        <is>
          <t>Mali</t>
        </is>
      </c>
      <c r="B6765" t="inlineStr">
        <is>
          <t>MLI</t>
        </is>
      </c>
      <c r="C6765" t="n">
        <v>2015</v>
      </c>
      <c r="D6765" t="n">
        <v>1.45069057605961</v>
      </c>
    </row>
    <row r="6766">
      <c r="A6766" t="inlineStr">
        <is>
          <t>Mali</t>
        </is>
      </c>
      <c r="B6766" t="inlineStr">
        <is>
          <t>MLI</t>
        </is>
      </c>
      <c r="C6766" t="n">
        <v>2016</v>
      </c>
      <c r="D6766" t="n">
        <v>-1.79964707083386</v>
      </c>
    </row>
    <row r="6767">
      <c r="A6767" t="inlineStr">
        <is>
          <t>Mali</t>
        </is>
      </c>
      <c r="B6767" t="inlineStr">
        <is>
          <t>MLI</t>
        </is>
      </c>
      <c r="C6767" t="n">
        <v>2017</v>
      </c>
      <c r="D6767" t="n">
        <v>1.75985742927156</v>
      </c>
    </row>
    <row r="6768">
      <c r="A6768" t="inlineStr">
        <is>
          <t>Mali</t>
        </is>
      </c>
      <c r="B6768" t="inlineStr">
        <is>
          <t>MLI</t>
        </is>
      </c>
      <c r="C6768" t="n">
        <v>2018</v>
      </c>
      <c r="D6768" t="n">
        <v>0.299546507387934</v>
      </c>
    </row>
    <row r="6769">
      <c r="A6769" t="inlineStr">
        <is>
          <t>Mali</t>
        </is>
      </c>
      <c r="B6769" t="inlineStr">
        <is>
          <t>MLI</t>
        </is>
      </c>
      <c r="C6769" t="n">
        <v>2019</v>
      </c>
      <c r="D6769" t="n">
        <v>-1.65826694846365</v>
      </c>
    </row>
    <row r="6770">
      <c r="A6770" t="inlineStr">
        <is>
          <t>Mali</t>
        </is>
      </c>
      <c r="B6770" t="inlineStr">
        <is>
          <t>MLI</t>
        </is>
      </c>
      <c r="C6770" t="n">
        <v>2020</v>
      </c>
      <c r="D6770" t="n">
        <v>0.438088940320668</v>
      </c>
    </row>
    <row r="6771">
      <c r="A6771" t="inlineStr">
        <is>
          <t>Mali</t>
        </is>
      </c>
      <c r="B6771" t="inlineStr">
        <is>
          <t>MLI</t>
        </is>
      </c>
      <c r="C6771" t="n">
        <v>2021</v>
      </c>
      <c r="D6771" t="n">
        <v>3.92560283104276</v>
      </c>
    </row>
    <row r="6772">
      <c r="A6772" t="inlineStr">
        <is>
          <t>Mali</t>
        </is>
      </c>
      <c r="B6772" t="inlineStr">
        <is>
          <t>MLI</t>
        </is>
      </c>
      <c r="C6772" t="n">
        <v>2022</v>
      </c>
      <c r="D6772" t="n">
        <v>9.62147608489072</v>
      </c>
    </row>
    <row r="6773">
      <c r="A6773" t="inlineStr">
        <is>
          <t>Mali</t>
        </is>
      </c>
      <c r="B6773" t="inlineStr">
        <is>
          <t>MLI</t>
        </is>
      </c>
      <c r="C6773" t="n">
        <v>2023</v>
      </c>
      <c r="D6773" t="n">
        <v>2.05880228274214</v>
      </c>
    </row>
    <row r="6774">
      <c r="A6774" t="inlineStr">
        <is>
          <t>Mali</t>
        </is>
      </c>
      <c r="B6774" t="inlineStr">
        <is>
          <t>MLI</t>
        </is>
      </c>
      <c r="C6774" t="n">
        <v>2024</v>
      </c>
      <c r="D6774" t="n">
        <v>3.20639864099652</v>
      </c>
    </row>
    <row r="6775">
      <c r="A6775" t="inlineStr">
        <is>
          <t>Malta</t>
        </is>
      </c>
      <c r="B6775" t="inlineStr">
        <is>
          <t>MLT</t>
        </is>
      </c>
      <c r="C6775" t="n">
        <v>1960</v>
      </c>
      <c r="D6775" t="n">
        <v>3.38461538461553</v>
      </c>
    </row>
    <row r="6776">
      <c r="A6776" t="inlineStr">
        <is>
          <t>Malta</t>
        </is>
      </c>
      <c r="B6776" t="inlineStr">
        <is>
          <t>MLT</t>
        </is>
      </c>
      <c r="C6776" t="n">
        <v>1961</v>
      </c>
      <c r="D6776" t="n">
        <v>2.51132153100695</v>
      </c>
    </row>
    <row r="6777">
      <c r="A6777" t="inlineStr">
        <is>
          <t>Malta</t>
        </is>
      </c>
      <c r="B6777" t="inlineStr">
        <is>
          <t>MLT</t>
        </is>
      </c>
      <c r="C6777" t="n">
        <v>1962</v>
      </c>
      <c r="D6777" t="n">
        <v>0.168674698957635</v>
      </c>
    </row>
    <row r="6778">
      <c r="A6778" t="inlineStr">
        <is>
          <t>Malta</t>
        </is>
      </c>
      <c r="B6778" t="inlineStr">
        <is>
          <t>MLT</t>
        </is>
      </c>
      <c r="C6778" t="n">
        <v>1963</v>
      </c>
      <c r="D6778" t="n">
        <v>1.87635313921265</v>
      </c>
    </row>
    <row r="6779">
      <c r="A6779" t="inlineStr">
        <is>
          <t>Malta</t>
        </is>
      </c>
      <c r="B6779" t="inlineStr">
        <is>
          <t>MLT</t>
        </is>
      </c>
      <c r="C6779" t="n">
        <v>1964</v>
      </c>
      <c r="D6779" t="n">
        <v>2.18024399859687</v>
      </c>
    </row>
    <row r="6780">
      <c r="A6780" t="inlineStr">
        <is>
          <t>Malta</t>
        </is>
      </c>
      <c r="B6780" t="inlineStr">
        <is>
          <t>MLT</t>
        </is>
      </c>
      <c r="C6780" t="n">
        <v>1965</v>
      </c>
      <c r="D6780" t="n">
        <v>1.60221845610132</v>
      </c>
    </row>
    <row r="6781">
      <c r="A6781" t="inlineStr">
        <is>
          <t>Malta</t>
        </is>
      </c>
      <c r="B6781" t="inlineStr">
        <is>
          <t>MLT</t>
        </is>
      </c>
      <c r="C6781" t="n">
        <v>1966</v>
      </c>
      <c r="D6781" t="n">
        <v>0.52312357869953</v>
      </c>
    </row>
    <row r="6782">
      <c r="A6782" t="inlineStr">
        <is>
          <t>Malta</t>
        </is>
      </c>
      <c r="B6782" t="inlineStr">
        <is>
          <t>MLT</t>
        </is>
      </c>
      <c r="C6782" t="n">
        <v>1967</v>
      </c>
      <c r="D6782" t="n">
        <v>0.693868315713048</v>
      </c>
    </row>
    <row r="6783">
      <c r="A6783" t="inlineStr">
        <is>
          <t>Malta</t>
        </is>
      </c>
      <c r="B6783" t="inlineStr">
        <is>
          <t>MLT</t>
        </is>
      </c>
      <c r="C6783" t="n">
        <v>1968</v>
      </c>
      <c r="D6783" t="n">
        <v>2.03730057682276</v>
      </c>
    </row>
    <row r="6784">
      <c r="A6784" t="inlineStr">
        <is>
          <t>Malta</t>
        </is>
      </c>
      <c r="B6784" t="inlineStr">
        <is>
          <t>MLT</t>
        </is>
      </c>
      <c r="C6784" t="n">
        <v>1969</v>
      </c>
      <c r="D6784" t="n">
        <v>2.33428760186217</v>
      </c>
    </row>
    <row r="6785">
      <c r="A6785" t="inlineStr">
        <is>
          <t>Malta</t>
        </is>
      </c>
      <c r="B6785" t="inlineStr">
        <is>
          <t>MLT</t>
        </is>
      </c>
      <c r="C6785" t="n">
        <v>1970</v>
      </c>
      <c r="D6785" t="n">
        <v>3.71565884809263</v>
      </c>
    </row>
    <row r="6786">
      <c r="A6786" t="inlineStr">
        <is>
          <t>Malta</t>
        </is>
      </c>
      <c r="B6786" t="inlineStr">
        <is>
          <t>MLT</t>
        </is>
      </c>
      <c r="C6786" t="n">
        <v>1971</v>
      </c>
      <c r="D6786" t="n">
        <v>2.32381215838809</v>
      </c>
    </row>
    <row r="6787">
      <c r="A6787" t="inlineStr">
        <is>
          <t>Malta</t>
        </is>
      </c>
      <c r="B6787" t="inlineStr">
        <is>
          <t>MLT</t>
        </is>
      </c>
      <c r="C6787" t="n">
        <v>1972</v>
      </c>
      <c r="D6787" t="n">
        <v>3.37276106781155</v>
      </c>
    </row>
    <row r="6788">
      <c r="A6788" t="inlineStr">
        <is>
          <t>Malta</t>
        </is>
      </c>
      <c r="B6788" t="inlineStr">
        <is>
          <t>MLT</t>
        </is>
      </c>
      <c r="C6788" t="n">
        <v>1973</v>
      </c>
      <c r="D6788" t="n">
        <v>7.68928991786149</v>
      </c>
    </row>
    <row r="6789">
      <c r="A6789" t="inlineStr">
        <is>
          <t>Malta</t>
        </is>
      </c>
      <c r="B6789" t="inlineStr">
        <is>
          <t>MLT</t>
        </is>
      </c>
      <c r="C6789" t="n">
        <v>1974</v>
      </c>
      <c r="D6789" t="n">
        <v>7.25561627204007</v>
      </c>
    </row>
    <row r="6790">
      <c r="A6790" t="inlineStr">
        <is>
          <t>Malta</t>
        </is>
      </c>
      <c r="B6790" t="inlineStr">
        <is>
          <t>MLT</t>
        </is>
      </c>
      <c r="C6790" t="n">
        <v>1975</v>
      </c>
      <c r="D6790" t="n">
        <v>8.791666666166909</v>
      </c>
    </row>
    <row r="6791">
      <c r="A6791" t="inlineStr">
        <is>
          <t>Malta</t>
        </is>
      </c>
      <c r="B6791" t="inlineStr">
        <is>
          <t>MLT</t>
        </is>
      </c>
      <c r="C6791" t="n">
        <v>1976</v>
      </c>
      <c r="D6791" t="n">
        <v>0.551512830258583</v>
      </c>
    </row>
    <row r="6792">
      <c r="A6792" t="inlineStr">
        <is>
          <t>Malta</t>
        </is>
      </c>
      <c r="B6792" t="inlineStr">
        <is>
          <t>MLT</t>
        </is>
      </c>
      <c r="C6792" t="n">
        <v>1977</v>
      </c>
      <c r="D6792" t="n">
        <v>10.0403748002364</v>
      </c>
    </row>
    <row r="6793">
      <c r="A6793" t="inlineStr">
        <is>
          <t>Malta</t>
        </is>
      </c>
      <c r="B6793" t="inlineStr">
        <is>
          <t>MLT</t>
        </is>
      </c>
      <c r="C6793" t="n">
        <v>1978</v>
      </c>
      <c r="D6793" t="n">
        <v>4.70751124951487</v>
      </c>
    </row>
    <row r="6794">
      <c r="A6794" t="inlineStr">
        <is>
          <t>Malta</t>
        </is>
      </c>
      <c r="B6794" t="inlineStr">
        <is>
          <t>MLT</t>
        </is>
      </c>
      <c r="C6794" t="n">
        <v>1979</v>
      </c>
      <c r="D6794" t="n">
        <v>7.14710743797893</v>
      </c>
    </row>
    <row r="6795">
      <c r="A6795" t="inlineStr">
        <is>
          <t>Malta</t>
        </is>
      </c>
      <c r="B6795" t="inlineStr">
        <is>
          <t>MLT</t>
        </is>
      </c>
      <c r="C6795" t="n">
        <v>1980</v>
      </c>
      <c r="D6795" t="n">
        <v>15.747254103486</v>
      </c>
    </row>
    <row r="6796">
      <c r="A6796" t="inlineStr">
        <is>
          <t>Malta</t>
        </is>
      </c>
      <c r="B6796" t="inlineStr">
        <is>
          <t>MLT</t>
        </is>
      </c>
      <c r="C6796" t="n">
        <v>1981</v>
      </c>
      <c r="D6796" t="n">
        <v>11.5097558377123</v>
      </c>
    </row>
    <row r="6797">
      <c r="A6797" t="inlineStr">
        <is>
          <t>Malta</t>
        </is>
      </c>
      <c r="B6797" t="inlineStr">
        <is>
          <t>MLT</t>
        </is>
      </c>
      <c r="C6797" t="n">
        <v>1982</v>
      </c>
      <c r="D6797" t="n">
        <v>5.81823397218665</v>
      </c>
    </row>
    <row r="6798">
      <c r="A6798" t="inlineStr">
        <is>
          <t>Malta</t>
        </is>
      </c>
      <c r="B6798" t="inlineStr">
        <is>
          <t>MLT</t>
        </is>
      </c>
      <c r="C6798" t="n">
        <v>1983</v>
      </c>
      <c r="D6798" t="n">
        <v>-0.880997560317507</v>
      </c>
    </row>
    <row r="6799">
      <c r="A6799" t="inlineStr">
        <is>
          <t>Malta</t>
        </is>
      </c>
      <c r="B6799" t="inlineStr">
        <is>
          <t>MLT</t>
        </is>
      </c>
      <c r="C6799" t="n">
        <v>1984</v>
      </c>
      <c r="D6799" t="n">
        <v>-0.442500000750075</v>
      </c>
    </row>
    <row r="6800">
      <c r="A6800" t="inlineStr">
        <is>
          <t>Malta</t>
        </is>
      </c>
      <c r="B6800" t="inlineStr">
        <is>
          <t>MLT</t>
        </is>
      </c>
      <c r="C6800" t="n">
        <v>1985</v>
      </c>
      <c r="D6800" t="n">
        <v>-0.235207459677474</v>
      </c>
    </row>
    <row r="6801">
      <c r="A6801" t="inlineStr">
        <is>
          <t>Malta</t>
        </is>
      </c>
      <c r="B6801" t="inlineStr">
        <is>
          <t>MLT</t>
        </is>
      </c>
      <c r="C6801" t="n">
        <v>1986</v>
      </c>
      <c r="D6801" t="n">
        <v>2.02788871414761</v>
      </c>
    </row>
    <row r="6802">
      <c r="A6802" t="inlineStr">
        <is>
          <t>Malta</t>
        </is>
      </c>
      <c r="B6802" t="inlineStr">
        <is>
          <t>MLT</t>
        </is>
      </c>
      <c r="C6802" t="n">
        <v>1987</v>
      </c>
      <c r="D6802" t="n">
        <v>0.431725669422442</v>
      </c>
    </row>
    <row r="6803">
      <c r="A6803" t="inlineStr">
        <is>
          <t>Malta</t>
        </is>
      </c>
      <c r="B6803" t="inlineStr">
        <is>
          <t>MLT</t>
        </is>
      </c>
      <c r="C6803" t="n">
        <v>1988</v>
      </c>
      <c r="D6803" t="n">
        <v>0.938344387128515</v>
      </c>
    </row>
    <row r="6804">
      <c r="A6804" t="inlineStr">
        <is>
          <t>Malta</t>
        </is>
      </c>
      <c r="B6804" t="inlineStr">
        <is>
          <t>MLT</t>
        </is>
      </c>
      <c r="C6804" t="n">
        <v>1989</v>
      </c>
      <c r="D6804" t="n">
        <v>0.847691359226212</v>
      </c>
    </row>
    <row r="6805">
      <c r="A6805" t="inlineStr">
        <is>
          <t>Malta</t>
        </is>
      </c>
      <c r="B6805" t="inlineStr">
        <is>
          <t>MLT</t>
        </is>
      </c>
      <c r="C6805" t="n">
        <v>1990</v>
      </c>
      <c r="D6805" t="n">
        <v>2.9834058606356</v>
      </c>
    </row>
    <row r="6806">
      <c r="A6806" t="inlineStr">
        <is>
          <t>Malta</t>
        </is>
      </c>
      <c r="B6806" t="inlineStr">
        <is>
          <t>MLT</t>
        </is>
      </c>
      <c r="C6806" t="n">
        <v>1991</v>
      </c>
      <c r="D6806" t="n">
        <v>2.54219284786975</v>
      </c>
    </row>
    <row r="6807">
      <c r="A6807" t="inlineStr">
        <is>
          <t>Malta</t>
        </is>
      </c>
      <c r="B6807" t="inlineStr">
        <is>
          <t>MLT</t>
        </is>
      </c>
      <c r="C6807" t="n">
        <v>1992</v>
      </c>
      <c r="D6807" t="n">
        <v>1.63321209889045</v>
      </c>
    </row>
    <row r="6808">
      <c r="A6808" t="inlineStr">
        <is>
          <t>Malta</t>
        </is>
      </c>
      <c r="B6808" t="inlineStr">
        <is>
          <t>MLT</t>
        </is>
      </c>
      <c r="C6808" t="n">
        <v>1993</v>
      </c>
      <c r="D6808" t="n">
        <v>4.14481954180488</v>
      </c>
    </row>
    <row r="6809">
      <c r="A6809" t="inlineStr">
        <is>
          <t>Malta</t>
        </is>
      </c>
      <c r="B6809" t="inlineStr">
        <is>
          <t>MLT</t>
        </is>
      </c>
      <c r="C6809" t="n">
        <v>1994</v>
      </c>
      <c r="D6809" t="n">
        <v>4.12992181638259</v>
      </c>
    </row>
    <row r="6810">
      <c r="A6810" t="inlineStr">
        <is>
          <t>Malta</t>
        </is>
      </c>
      <c r="B6810" t="inlineStr">
        <is>
          <t>MLT</t>
        </is>
      </c>
      <c r="C6810" t="n">
        <v>1995</v>
      </c>
      <c r="D6810" t="n">
        <v>4.42664550286654</v>
      </c>
    </row>
    <row r="6811">
      <c r="A6811" t="inlineStr">
        <is>
          <t>Malta</t>
        </is>
      </c>
      <c r="B6811" t="inlineStr">
        <is>
          <t>MLT</t>
        </is>
      </c>
      <c r="C6811" t="n">
        <v>1996</v>
      </c>
      <c r="D6811" t="n">
        <v>2.05400000000009</v>
      </c>
    </row>
    <row r="6812">
      <c r="A6812" t="inlineStr">
        <is>
          <t>Malta</t>
        </is>
      </c>
      <c r="B6812" t="inlineStr">
        <is>
          <t>MLT</t>
        </is>
      </c>
      <c r="C6812" t="n">
        <v>1997</v>
      </c>
      <c r="D6812" t="n">
        <v>3.11207791953272</v>
      </c>
    </row>
    <row r="6813">
      <c r="A6813" t="inlineStr">
        <is>
          <t>Malta</t>
        </is>
      </c>
      <c r="B6813" t="inlineStr">
        <is>
          <t>MLT</t>
        </is>
      </c>
      <c r="C6813" t="n">
        <v>1998</v>
      </c>
      <c r="D6813" t="n">
        <v>2.38525135417661</v>
      </c>
    </row>
    <row r="6814">
      <c r="A6814" t="inlineStr">
        <is>
          <t>Malta</t>
        </is>
      </c>
      <c r="B6814" t="inlineStr">
        <is>
          <t>MLT</t>
        </is>
      </c>
      <c r="C6814" t="n">
        <v>1999</v>
      </c>
      <c r="D6814" t="n">
        <v>2.13476888806386</v>
      </c>
    </row>
    <row r="6815">
      <c r="A6815" t="inlineStr">
        <is>
          <t>Malta</t>
        </is>
      </c>
      <c r="B6815" t="inlineStr">
        <is>
          <t>MLT</t>
        </is>
      </c>
      <c r="C6815" t="n">
        <v>2000</v>
      </c>
      <c r="D6815" t="n">
        <v>2.36959287531806</v>
      </c>
    </row>
    <row r="6816">
      <c r="A6816" t="inlineStr">
        <is>
          <t>Malta</t>
        </is>
      </c>
      <c r="B6816" t="inlineStr">
        <is>
          <t>MLT</t>
        </is>
      </c>
      <c r="C6816" t="n">
        <v>2001</v>
      </c>
      <c r="D6816" t="n">
        <v>2.92949244324104</v>
      </c>
    </row>
    <row r="6817">
      <c r="A6817" t="inlineStr">
        <is>
          <t>Malta</t>
        </is>
      </c>
      <c r="B6817" t="inlineStr">
        <is>
          <t>MLT</t>
        </is>
      </c>
      <c r="C6817" t="n">
        <v>2002</v>
      </c>
      <c r="D6817" t="n">
        <v>2.18849048060549</v>
      </c>
    </row>
    <row r="6818">
      <c r="A6818" t="inlineStr">
        <is>
          <t>Malta</t>
        </is>
      </c>
      <c r="B6818" t="inlineStr">
        <is>
          <t>MLT</t>
        </is>
      </c>
      <c r="C6818" t="n">
        <v>2003</v>
      </c>
      <c r="D6818" t="n">
        <v>1.30383777442602</v>
      </c>
    </row>
    <row r="6819">
      <c r="A6819" t="inlineStr">
        <is>
          <t>Malta</t>
        </is>
      </c>
      <c r="B6819" t="inlineStr">
        <is>
          <t>MLT</t>
        </is>
      </c>
      <c r="C6819" t="n">
        <v>2004</v>
      </c>
      <c r="D6819" t="n">
        <v>2.79082848067754</v>
      </c>
    </row>
    <row r="6820">
      <c r="A6820" t="inlineStr">
        <is>
          <t>Malta</t>
        </is>
      </c>
      <c r="B6820" t="inlineStr">
        <is>
          <t>MLT</t>
        </is>
      </c>
      <c r="C6820" t="n">
        <v>2005</v>
      </c>
      <c r="D6820" t="n">
        <v>3.00796652450313</v>
      </c>
    </row>
    <row r="6821">
      <c r="A6821" t="inlineStr">
        <is>
          <t>Malta</t>
        </is>
      </c>
      <c r="B6821" t="inlineStr">
        <is>
          <t>MLT</t>
        </is>
      </c>
      <c r="C6821" t="n">
        <v>2006</v>
      </c>
      <c r="D6821" t="n">
        <v>2.77378006481472</v>
      </c>
    </row>
    <row r="6822">
      <c r="A6822" t="inlineStr">
        <is>
          <t>Malta</t>
        </is>
      </c>
      <c r="B6822" t="inlineStr">
        <is>
          <t>MLT</t>
        </is>
      </c>
      <c r="C6822" t="n">
        <v>2007</v>
      </c>
      <c r="D6822" t="n">
        <v>1.24921923797629</v>
      </c>
    </row>
    <row r="6823">
      <c r="A6823" t="inlineStr">
        <is>
          <t>Malta</t>
        </is>
      </c>
      <c r="B6823" t="inlineStr">
        <is>
          <t>MLT</t>
        </is>
      </c>
      <c r="C6823" t="n">
        <v>2008</v>
      </c>
      <c r="D6823" t="n">
        <v>4.25862171897073</v>
      </c>
    </row>
    <row r="6824">
      <c r="A6824" t="inlineStr">
        <is>
          <t>Malta</t>
        </is>
      </c>
      <c r="B6824" t="inlineStr">
        <is>
          <t>MLT</t>
        </is>
      </c>
      <c r="C6824" t="n">
        <v>2009</v>
      </c>
      <c r="D6824" t="n">
        <v>2.08432746082343</v>
      </c>
    </row>
    <row r="6825">
      <c r="A6825" t="inlineStr">
        <is>
          <t>Malta</t>
        </is>
      </c>
      <c r="B6825" t="inlineStr">
        <is>
          <t>MLT</t>
        </is>
      </c>
      <c r="C6825" t="n">
        <v>2010</v>
      </c>
      <c r="D6825" t="n">
        <v>1.51563513618532</v>
      </c>
    </row>
    <row r="6826">
      <c r="A6826" t="inlineStr">
        <is>
          <t>Malta</t>
        </is>
      </c>
      <c r="B6826" t="inlineStr">
        <is>
          <t>MLT</t>
        </is>
      </c>
      <c r="C6826" t="n">
        <v>2011</v>
      </c>
      <c r="D6826" t="n">
        <v>2.9629852819288</v>
      </c>
    </row>
    <row r="6827">
      <c r="A6827" t="inlineStr">
        <is>
          <t>Malta</t>
        </is>
      </c>
      <c r="B6827" t="inlineStr">
        <is>
          <t>MLT</t>
        </is>
      </c>
      <c r="C6827" t="n">
        <v>2012</v>
      </c>
      <c r="D6827" t="n">
        <v>2.37582057760386</v>
      </c>
    </row>
    <row r="6828">
      <c r="A6828" t="inlineStr">
        <is>
          <t>Malta</t>
        </is>
      </c>
      <c r="B6828" t="inlineStr">
        <is>
          <t>MLT</t>
        </is>
      </c>
      <c r="C6828" t="n">
        <v>2013</v>
      </c>
      <c r="D6828" t="n">
        <v>1.1802843636655</v>
      </c>
    </row>
    <row r="6829">
      <c r="A6829" t="inlineStr">
        <is>
          <t>Malta</t>
        </is>
      </c>
      <c r="B6829" t="inlineStr">
        <is>
          <t>MLT</t>
        </is>
      </c>
      <c r="C6829" t="n">
        <v>2014</v>
      </c>
      <c r="D6829" t="n">
        <v>0.310306472181665</v>
      </c>
    </row>
    <row r="6830">
      <c r="A6830" t="inlineStr">
        <is>
          <t>Malta</t>
        </is>
      </c>
      <c r="B6830" t="inlineStr">
        <is>
          <t>MLT</t>
        </is>
      </c>
      <c r="C6830" t="n">
        <v>2015</v>
      </c>
      <c r="D6830" t="n">
        <v>1.10054826378929</v>
      </c>
    </row>
    <row r="6831">
      <c r="A6831" t="inlineStr">
        <is>
          <t>Malta</t>
        </is>
      </c>
      <c r="B6831" t="inlineStr">
        <is>
          <t>MLT</t>
        </is>
      </c>
      <c r="C6831" t="n">
        <v>2016</v>
      </c>
      <c r="D6831" t="n">
        <v>0.642702771527304</v>
      </c>
    </row>
    <row r="6832">
      <c r="A6832" t="inlineStr">
        <is>
          <t>Malta</t>
        </is>
      </c>
      <c r="B6832" t="inlineStr">
        <is>
          <t>MLT</t>
        </is>
      </c>
      <c r="C6832" t="n">
        <v>2017</v>
      </c>
      <c r="D6832" t="n">
        <v>1.36435448150708</v>
      </c>
    </row>
    <row r="6833">
      <c r="A6833" t="inlineStr">
        <is>
          <t>Malta</t>
        </is>
      </c>
      <c r="B6833" t="inlineStr">
        <is>
          <t>MLT</t>
        </is>
      </c>
      <c r="C6833" t="n">
        <v>2018</v>
      </c>
      <c r="D6833" t="n">
        <v>1.15782362451517</v>
      </c>
    </row>
    <row r="6834">
      <c r="A6834" t="inlineStr">
        <is>
          <t>Malta</t>
        </is>
      </c>
      <c r="B6834" t="inlineStr">
        <is>
          <t>MLT</t>
        </is>
      </c>
      <c r="C6834" t="n">
        <v>2019</v>
      </c>
      <c r="D6834" t="n">
        <v>1.6420600176894</v>
      </c>
    </row>
    <row r="6835">
      <c r="A6835" t="inlineStr">
        <is>
          <t>Malta</t>
        </is>
      </c>
      <c r="B6835" t="inlineStr">
        <is>
          <t>MLT</t>
        </is>
      </c>
      <c r="C6835" t="n">
        <v>2020</v>
      </c>
      <c r="D6835" t="n">
        <v>0.638544956776712</v>
      </c>
    </row>
    <row r="6836">
      <c r="A6836" t="inlineStr">
        <is>
          <t>Malta</t>
        </is>
      </c>
      <c r="B6836" t="inlineStr">
        <is>
          <t>MLT</t>
        </is>
      </c>
      <c r="C6836" t="n">
        <v>2021</v>
      </c>
      <c r="D6836" t="n">
        <v>1.49789217934724</v>
      </c>
    </row>
    <row r="6837">
      <c r="A6837" t="inlineStr">
        <is>
          <t>Malta</t>
        </is>
      </c>
      <c r="B6837" t="inlineStr">
        <is>
          <t>MLT</t>
        </is>
      </c>
      <c r="C6837" t="n">
        <v>2022</v>
      </c>
      <c r="D6837" t="n">
        <v>6.15375621933037</v>
      </c>
    </row>
    <row r="6838">
      <c r="A6838" t="inlineStr">
        <is>
          <t>Malta</t>
        </is>
      </c>
      <c r="B6838" t="inlineStr">
        <is>
          <t>MLT</t>
        </is>
      </c>
      <c r="C6838" t="n">
        <v>2023</v>
      </c>
      <c r="D6838" t="n">
        <v>5.09396758978883</v>
      </c>
    </row>
    <row r="6839">
      <c r="A6839" t="inlineStr">
        <is>
          <t>Myanmar</t>
        </is>
      </c>
      <c r="B6839" t="inlineStr">
        <is>
          <t>MMR</t>
        </is>
      </c>
      <c r="C6839" t="n">
        <v>1960</v>
      </c>
      <c r="D6839" t="n">
        <v>7.38993710703491</v>
      </c>
    </row>
    <row r="6840">
      <c r="A6840" t="inlineStr">
        <is>
          <t>Myanmar</t>
        </is>
      </c>
      <c r="B6840" t="inlineStr">
        <is>
          <t>MMR</t>
        </is>
      </c>
      <c r="C6840" t="n">
        <v>1961</v>
      </c>
      <c r="D6840" t="n">
        <v>-0.146412882872103</v>
      </c>
    </row>
    <row r="6841">
      <c r="A6841" t="inlineStr">
        <is>
          <t>Myanmar</t>
        </is>
      </c>
      <c r="B6841" t="inlineStr">
        <is>
          <t>MMR</t>
        </is>
      </c>
      <c r="C6841" t="n">
        <v>1962</v>
      </c>
      <c r="D6841" t="n">
        <v>-1.61290322727254</v>
      </c>
    </row>
    <row r="6842">
      <c r="A6842" t="inlineStr">
        <is>
          <t>Myanmar</t>
        </is>
      </c>
      <c r="B6842" t="inlineStr">
        <is>
          <t>MMR</t>
        </is>
      </c>
      <c r="C6842" t="n">
        <v>1963</v>
      </c>
      <c r="D6842" t="n">
        <v>-2.68256333834103</v>
      </c>
    </row>
    <row r="6843">
      <c r="A6843" t="inlineStr">
        <is>
          <t>Myanmar</t>
        </is>
      </c>
      <c r="B6843" t="inlineStr">
        <is>
          <t>MMR</t>
        </is>
      </c>
      <c r="C6843" t="n">
        <v>1964</v>
      </c>
      <c r="D6843" t="n">
        <v>-0.459418068919959</v>
      </c>
    </row>
    <row r="6844">
      <c r="A6844" t="inlineStr">
        <is>
          <t>Myanmar</t>
        </is>
      </c>
      <c r="B6844" t="inlineStr">
        <is>
          <t>MMR</t>
        </is>
      </c>
      <c r="C6844" t="n">
        <v>1965</v>
      </c>
      <c r="D6844" t="n">
        <v>17.6923076923075</v>
      </c>
    </row>
    <row r="6845">
      <c r="A6845" t="inlineStr">
        <is>
          <t>Myanmar</t>
        </is>
      </c>
      <c r="B6845" t="inlineStr">
        <is>
          <t>MMR</t>
        </is>
      </c>
      <c r="C6845" t="n">
        <v>1966</v>
      </c>
      <c r="D6845" t="n">
        <v>25.4901960784319</v>
      </c>
    </row>
    <row r="6846">
      <c r="A6846" t="inlineStr">
        <is>
          <t>Myanmar</t>
        </is>
      </c>
      <c r="B6846" t="inlineStr">
        <is>
          <t>MMR</t>
        </is>
      </c>
      <c r="C6846" t="n">
        <v>1967</v>
      </c>
      <c r="D6846" t="n">
        <v>0.833333332291585</v>
      </c>
    </row>
    <row r="6847">
      <c r="A6847" t="inlineStr">
        <is>
          <t>Myanmar</t>
        </is>
      </c>
      <c r="B6847" t="inlineStr">
        <is>
          <t>MMR</t>
        </is>
      </c>
      <c r="C6847" t="n">
        <v>1968</v>
      </c>
      <c r="D6847" t="n">
        <v>2.37603305787562</v>
      </c>
    </row>
    <row r="6848">
      <c r="A6848" t="inlineStr">
        <is>
          <t>Myanmar</t>
        </is>
      </c>
      <c r="B6848" t="inlineStr">
        <is>
          <t>MMR</t>
        </is>
      </c>
      <c r="C6848" t="n">
        <v>1969</v>
      </c>
      <c r="D6848" t="n">
        <v>-4.33905146321215</v>
      </c>
    </row>
    <row r="6849">
      <c r="A6849" t="inlineStr">
        <is>
          <t>Myanmar</t>
        </is>
      </c>
      <c r="B6849" t="inlineStr">
        <is>
          <t>MMR</t>
        </is>
      </c>
      <c r="C6849" t="n">
        <v>1970</v>
      </c>
      <c r="D6849" t="n">
        <v>-4.00843881755277</v>
      </c>
    </row>
    <row r="6850">
      <c r="A6850" t="inlineStr">
        <is>
          <t>Myanmar</t>
        </is>
      </c>
      <c r="B6850" t="inlineStr">
        <is>
          <t>MMR</t>
        </is>
      </c>
      <c r="C6850" t="n">
        <v>1971</v>
      </c>
      <c r="D6850" t="n">
        <v>2.08791208791186</v>
      </c>
    </row>
    <row r="6851">
      <c r="A6851" t="inlineStr">
        <is>
          <t>Myanmar</t>
        </is>
      </c>
      <c r="B6851" t="inlineStr">
        <is>
          <t>MMR</t>
        </is>
      </c>
      <c r="C6851" t="n">
        <v>1972</v>
      </c>
      <c r="D6851" t="n">
        <v>7.64262648008593</v>
      </c>
    </row>
    <row r="6852">
      <c r="A6852" t="inlineStr">
        <is>
          <t>Myanmar</t>
        </is>
      </c>
      <c r="B6852" t="inlineStr">
        <is>
          <t>MMR</t>
        </is>
      </c>
      <c r="C6852" t="n">
        <v>1973</v>
      </c>
      <c r="D6852" t="n">
        <v>25.1999999992502</v>
      </c>
    </row>
    <row r="6853">
      <c r="A6853" t="inlineStr">
        <is>
          <t>Myanmar</t>
        </is>
      </c>
      <c r="B6853" t="inlineStr">
        <is>
          <t>MMR</t>
        </is>
      </c>
      <c r="C6853" t="n">
        <v>1974</v>
      </c>
      <c r="D6853" t="n">
        <v>25.2116613422039</v>
      </c>
    </row>
    <row r="6854">
      <c r="A6854" t="inlineStr">
        <is>
          <t>Myanmar</t>
        </is>
      </c>
      <c r="B6854" t="inlineStr">
        <is>
          <t>MMR</t>
        </is>
      </c>
      <c r="C6854" t="n">
        <v>1975</v>
      </c>
      <c r="D6854" t="n">
        <v>31.6556629348014</v>
      </c>
    </row>
    <row r="6855">
      <c r="A6855" t="inlineStr">
        <is>
          <t>Myanmar</t>
        </is>
      </c>
      <c r="B6855" t="inlineStr">
        <is>
          <t>MMR</t>
        </is>
      </c>
      <c r="C6855" t="n">
        <v>1976</v>
      </c>
      <c r="D6855" t="n">
        <v>22.3844016992292</v>
      </c>
    </row>
    <row r="6856">
      <c r="A6856" t="inlineStr">
        <is>
          <t>Myanmar</t>
        </is>
      </c>
      <c r="B6856" t="inlineStr">
        <is>
          <t>MMR</t>
        </is>
      </c>
      <c r="C6856" t="n">
        <v>1977</v>
      </c>
      <c r="D6856" t="n">
        <v>-1.15668724252864</v>
      </c>
    </row>
    <row r="6857">
      <c r="A6857" t="inlineStr">
        <is>
          <t>Myanmar</t>
        </is>
      </c>
      <c r="B6857" t="inlineStr">
        <is>
          <t>MMR</t>
        </is>
      </c>
      <c r="C6857" t="n">
        <v>1978</v>
      </c>
      <c r="D6857" t="n">
        <v>-6.04470612570265</v>
      </c>
    </row>
    <row r="6858">
      <c r="A6858" t="inlineStr">
        <is>
          <t>Myanmar</t>
        </is>
      </c>
      <c r="B6858" t="inlineStr">
        <is>
          <t>MMR</t>
        </is>
      </c>
      <c r="C6858" t="n">
        <v>1979</v>
      </c>
      <c r="D6858" t="n">
        <v>5.67229502887827</v>
      </c>
    </row>
    <row r="6859">
      <c r="A6859" t="inlineStr">
        <is>
          <t>Myanmar</t>
        </is>
      </c>
      <c r="B6859" t="inlineStr">
        <is>
          <t>MMR</t>
        </is>
      </c>
      <c r="C6859" t="n">
        <v>1980</v>
      </c>
      <c r="D6859" t="n">
        <v>0.608153083899614</v>
      </c>
    </row>
    <row r="6860">
      <c r="A6860" t="inlineStr">
        <is>
          <t>Myanmar</t>
        </is>
      </c>
      <c r="B6860" t="inlineStr">
        <is>
          <t>MMR</t>
        </is>
      </c>
      <c r="C6860" t="n">
        <v>1981</v>
      </c>
      <c r="D6860" t="n">
        <v>0.318444733265915</v>
      </c>
    </row>
    <row r="6861">
      <c r="A6861" t="inlineStr">
        <is>
          <t>Myanmar</t>
        </is>
      </c>
      <c r="B6861" t="inlineStr">
        <is>
          <t>MMR</t>
        </is>
      </c>
      <c r="C6861" t="n">
        <v>1982</v>
      </c>
      <c r="D6861" t="n">
        <v>5.30474040537993</v>
      </c>
    </row>
    <row r="6862">
      <c r="A6862" t="inlineStr">
        <is>
          <t>Myanmar</t>
        </is>
      </c>
      <c r="B6862" t="inlineStr">
        <is>
          <t>MMR</t>
        </is>
      </c>
      <c r="C6862" t="n">
        <v>1983</v>
      </c>
      <c r="D6862" t="n">
        <v>5.65008336345438</v>
      </c>
    </row>
    <row r="6863">
      <c r="A6863" t="inlineStr">
        <is>
          <t>Myanmar</t>
        </is>
      </c>
      <c r="B6863" t="inlineStr">
        <is>
          <t>MMR</t>
        </is>
      </c>
      <c r="C6863" t="n">
        <v>1984</v>
      </c>
      <c r="D6863" t="n">
        <v>4.84631154769053</v>
      </c>
    </row>
    <row r="6864">
      <c r="A6864" t="inlineStr">
        <is>
          <t>Myanmar</t>
        </is>
      </c>
      <c r="B6864" t="inlineStr">
        <is>
          <t>MMR</t>
        </is>
      </c>
      <c r="C6864" t="n">
        <v>1985</v>
      </c>
      <c r="D6864" t="n">
        <v>6.80756655768333</v>
      </c>
    </row>
    <row r="6865">
      <c r="A6865" t="inlineStr">
        <is>
          <t>Myanmar</t>
        </is>
      </c>
      <c r="B6865" t="inlineStr">
        <is>
          <t>MMR</t>
        </is>
      </c>
      <c r="C6865" t="n">
        <v>1986</v>
      </c>
      <c r="D6865" t="n">
        <v>9.325461900076521</v>
      </c>
    </row>
    <row r="6866">
      <c r="A6866" t="inlineStr">
        <is>
          <t>Myanmar</t>
        </is>
      </c>
      <c r="B6866" t="inlineStr">
        <is>
          <t>MMR</t>
        </is>
      </c>
      <c r="C6866" t="n">
        <v>1987</v>
      </c>
      <c r="D6866" t="n">
        <v>24.7599999999999</v>
      </c>
    </row>
    <row r="6867">
      <c r="A6867" t="inlineStr">
        <is>
          <t>Myanmar</t>
        </is>
      </c>
      <c r="B6867" t="inlineStr">
        <is>
          <t>MMR</t>
        </is>
      </c>
      <c r="C6867" t="n">
        <v>1988</v>
      </c>
      <c r="D6867" t="n">
        <v>16.0428021801856</v>
      </c>
    </row>
    <row r="6868">
      <c r="A6868" t="inlineStr">
        <is>
          <t>Myanmar</t>
        </is>
      </c>
      <c r="B6868" t="inlineStr">
        <is>
          <t>MMR</t>
        </is>
      </c>
      <c r="C6868" t="n">
        <v>1989</v>
      </c>
      <c r="D6868" t="n">
        <v>27.1985264490888</v>
      </c>
    </row>
    <row r="6869">
      <c r="A6869" t="inlineStr">
        <is>
          <t>Myanmar</t>
        </is>
      </c>
      <c r="B6869" t="inlineStr">
        <is>
          <t>MMR</t>
        </is>
      </c>
      <c r="C6869" t="n">
        <v>1990</v>
      </c>
      <c r="D6869" t="n">
        <v>17.6267750314504</v>
      </c>
    </row>
    <row r="6870">
      <c r="A6870" t="inlineStr">
        <is>
          <t>Myanmar</t>
        </is>
      </c>
      <c r="B6870" t="inlineStr">
        <is>
          <t>MMR</t>
        </is>
      </c>
      <c r="C6870" t="n">
        <v>1991</v>
      </c>
      <c r="D6870" t="n">
        <v>32.2720382866416</v>
      </c>
    </row>
    <row r="6871">
      <c r="A6871" t="inlineStr">
        <is>
          <t>Myanmar</t>
        </is>
      </c>
      <c r="B6871" t="inlineStr">
        <is>
          <t>MMR</t>
        </is>
      </c>
      <c r="C6871" t="n">
        <v>1992</v>
      </c>
      <c r="D6871" t="n">
        <v>21.9132104007913</v>
      </c>
    </row>
    <row r="6872">
      <c r="A6872" t="inlineStr">
        <is>
          <t>Myanmar</t>
        </is>
      </c>
      <c r="B6872" t="inlineStr">
        <is>
          <t>MMR</t>
        </is>
      </c>
      <c r="C6872" t="n">
        <v>1993</v>
      </c>
      <c r="D6872" t="n">
        <v>31.83160687276</v>
      </c>
    </row>
    <row r="6873">
      <c r="A6873" t="inlineStr">
        <is>
          <t>Myanmar</t>
        </is>
      </c>
      <c r="B6873" t="inlineStr">
        <is>
          <t>MMR</t>
        </is>
      </c>
      <c r="C6873" t="n">
        <v>1994</v>
      </c>
      <c r="D6873" t="n">
        <v>24.0987860757019</v>
      </c>
    </row>
    <row r="6874">
      <c r="A6874" t="inlineStr">
        <is>
          <t>Myanmar</t>
        </is>
      </c>
      <c r="B6874" t="inlineStr">
        <is>
          <t>MMR</t>
        </is>
      </c>
      <c r="C6874" t="n">
        <v>1995</v>
      </c>
      <c r="D6874" t="n">
        <v>25.1947123972847</v>
      </c>
    </row>
    <row r="6875">
      <c r="A6875" t="inlineStr">
        <is>
          <t>Myanmar</t>
        </is>
      </c>
      <c r="B6875" t="inlineStr">
        <is>
          <t>MMR</t>
        </is>
      </c>
      <c r="C6875" t="n">
        <v>1996</v>
      </c>
      <c r="D6875" t="n">
        <v>16.2753966377374</v>
      </c>
    </row>
    <row r="6876">
      <c r="A6876" t="inlineStr">
        <is>
          <t>Myanmar</t>
        </is>
      </c>
      <c r="B6876" t="inlineStr">
        <is>
          <t>MMR</t>
        </is>
      </c>
      <c r="C6876" t="n">
        <v>1997</v>
      </c>
      <c r="D6876" t="n">
        <v>29.6972325791529</v>
      </c>
    </row>
    <row r="6877">
      <c r="A6877" t="inlineStr">
        <is>
          <t>Myanmar</t>
        </is>
      </c>
      <c r="B6877" t="inlineStr">
        <is>
          <t>MMR</t>
        </is>
      </c>
      <c r="C6877" t="n">
        <v>1998</v>
      </c>
      <c r="D6877" t="n">
        <v>51.4875497504079</v>
      </c>
    </row>
    <row r="6878">
      <c r="A6878" t="inlineStr">
        <is>
          <t>Myanmar</t>
        </is>
      </c>
      <c r="B6878" t="inlineStr">
        <is>
          <t>MMR</t>
        </is>
      </c>
      <c r="C6878" t="n">
        <v>1999</v>
      </c>
      <c r="D6878" t="n">
        <v>18.4010433741609</v>
      </c>
    </row>
    <row r="6879">
      <c r="A6879" t="inlineStr">
        <is>
          <t>Myanmar</t>
        </is>
      </c>
      <c r="B6879" t="inlineStr">
        <is>
          <t>MMR</t>
        </is>
      </c>
      <c r="C6879" t="n">
        <v>2000</v>
      </c>
      <c r="D6879" t="n">
        <v>-0.109165514668565</v>
      </c>
    </row>
    <row r="6880">
      <c r="A6880" t="inlineStr">
        <is>
          <t>Myanmar</t>
        </is>
      </c>
      <c r="B6880" t="inlineStr">
        <is>
          <t>MMR</t>
        </is>
      </c>
      <c r="C6880" t="n">
        <v>2001</v>
      </c>
      <c r="D6880" t="n">
        <v>21.101305376923</v>
      </c>
    </row>
    <row r="6881">
      <c r="A6881" t="inlineStr">
        <is>
          <t>Myanmar</t>
        </is>
      </c>
      <c r="B6881" t="inlineStr">
        <is>
          <t>MMR</t>
        </is>
      </c>
      <c r="C6881" t="n">
        <v>2002</v>
      </c>
      <c r="D6881" t="n">
        <v>57.0745112621703</v>
      </c>
    </row>
    <row r="6882">
      <c r="A6882" t="inlineStr">
        <is>
          <t>Myanmar</t>
        </is>
      </c>
      <c r="B6882" t="inlineStr">
        <is>
          <t>MMR</t>
        </is>
      </c>
      <c r="C6882" t="n">
        <v>2003</v>
      </c>
      <c r="D6882" t="n">
        <v>36.5897175323924</v>
      </c>
    </row>
    <row r="6883">
      <c r="A6883" t="inlineStr">
        <is>
          <t>Myanmar</t>
        </is>
      </c>
      <c r="B6883" t="inlineStr">
        <is>
          <t>MMR</t>
        </is>
      </c>
      <c r="C6883" t="n">
        <v>2004</v>
      </c>
      <c r="D6883" t="n">
        <v>4.53421374129692</v>
      </c>
    </row>
    <row r="6884">
      <c r="A6884" t="inlineStr">
        <is>
          <t>Myanmar</t>
        </is>
      </c>
      <c r="B6884" t="inlineStr">
        <is>
          <t>MMR</t>
        </is>
      </c>
      <c r="C6884" t="n">
        <v>2005</v>
      </c>
      <c r="D6884" t="n">
        <v>9.36861814196704</v>
      </c>
    </row>
    <row r="6885">
      <c r="A6885" t="inlineStr">
        <is>
          <t>Myanmar</t>
        </is>
      </c>
      <c r="B6885" t="inlineStr">
        <is>
          <t>MMR</t>
        </is>
      </c>
      <c r="C6885" t="n">
        <v>2006</v>
      </c>
      <c r="D6885" t="n">
        <v>19.9964873359214</v>
      </c>
    </row>
    <row r="6886">
      <c r="A6886" t="inlineStr">
        <is>
          <t>Myanmar</t>
        </is>
      </c>
      <c r="B6886" t="inlineStr">
        <is>
          <t>MMR</t>
        </is>
      </c>
      <c r="C6886" t="n">
        <v>2007</v>
      </c>
      <c r="D6886" t="n">
        <v>35.0245970717698</v>
      </c>
    </row>
    <row r="6887">
      <c r="A6887" t="inlineStr">
        <is>
          <t>Myanmar</t>
        </is>
      </c>
      <c r="B6887" t="inlineStr">
        <is>
          <t>MMR</t>
        </is>
      </c>
      <c r="C6887" t="n">
        <v>2008</v>
      </c>
      <c r="D6887" t="n">
        <v>26.7995371934022</v>
      </c>
    </row>
    <row r="6888">
      <c r="A6888" t="inlineStr">
        <is>
          <t>Myanmar</t>
        </is>
      </c>
      <c r="B6888" t="inlineStr">
        <is>
          <t>MMR</t>
        </is>
      </c>
      <c r="C6888" t="n">
        <v>2009</v>
      </c>
      <c r="D6888" t="n">
        <v>1.47234311385647</v>
      </c>
    </row>
    <row r="6889">
      <c r="A6889" t="inlineStr">
        <is>
          <t>Myanmar</t>
        </is>
      </c>
      <c r="B6889" t="inlineStr">
        <is>
          <t>MMR</t>
        </is>
      </c>
      <c r="C6889" t="n">
        <v>2010</v>
      </c>
      <c r="D6889" t="n">
        <v>7.71838195873614</v>
      </c>
    </row>
    <row r="6890">
      <c r="A6890" t="inlineStr">
        <is>
          <t>Myanmar</t>
        </is>
      </c>
      <c r="B6890" t="inlineStr">
        <is>
          <t>MMR</t>
        </is>
      </c>
      <c r="C6890" t="n">
        <v>2011</v>
      </c>
      <c r="D6890" t="n">
        <v>5.0214601462073</v>
      </c>
    </row>
    <row r="6891">
      <c r="A6891" t="inlineStr">
        <is>
          <t>Myanmar</t>
        </is>
      </c>
      <c r="B6891" t="inlineStr">
        <is>
          <t>MMR</t>
        </is>
      </c>
      <c r="C6891" t="n">
        <v>2012</v>
      </c>
      <c r="D6891" t="n">
        <v>1.46758322674679</v>
      </c>
    </row>
    <row r="6892">
      <c r="A6892" t="inlineStr">
        <is>
          <t>Myanmar</t>
        </is>
      </c>
      <c r="B6892" t="inlineStr">
        <is>
          <t>MMR</t>
        </is>
      </c>
      <c r="C6892" t="n">
        <v>2013</v>
      </c>
      <c r="D6892" t="n">
        <v>5.64303883425501</v>
      </c>
    </row>
    <row r="6893">
      <c r="A6893" t="inlineStr">
        <is>
          <t>Myanmar</t>
        </is>
      </c>
      <c r="B6893" t="inlineStr">
        <is>
          <t>MMR</t>
        </is>
      </c>
      <c r="C6893" t="n">
        <v>2014</v>
      </c>
      <c r="D6893" t="n">
        <v>4.953299184844</v>
      </c>
    </row>
    <row r="6894">
      <c r="A6894" t="inlineStr">
        <is>
          <t>Myanmar</t>
        </is>
      </c>
      <c r="B6894" t="inlineStr">
        <is>
          <t>MMR</t>
        </is>
      </c>
      <c r="C6894" t="n">
        <v>2015</v>
      </c>
      <c r="D6894" t="n">
        <v>9.454171895260179</v>
      </c>
    </row>
    <row r="6895">
      <c r="A6895" t="inlineStr">
        <is>
          <t>Myanmar</t>
        </is>
      </c>
      <c r="B6895" t="inlineStr">
        <is>
          <t>MMR</t>
        </is>
      </c>
      <c r="C6895" t="n">
        <v>2016</v>
      </c>
      <c r="D6895" t="n">
        <v>6.92882525816076</v>
      </c>
    </row>
    <row r="6896">
      <c r="A6896" t="inlineStr">
        <is>
          <t>Myanmar</t>
        </is>
      </c>
      <c r="B6896" t="inlineStr">
        <is>
          <t>MMR</t>
        </is>
      </c>
      <c r="C6896" t="n">
        <v>2017</v>
      </c>
      <c r="D6896" t="n">
        <v>4.5725365531752</v>
      </c>
    </row>
    <row r="6897">
      <c r="A6897" t="inlineStr">
        <is>
          <t>Myanmar</t>
        </is>
      </c>
      <c r="B6897" t="inlineStr">
        <is>
          <t>MMR</t>
        </is>
      </c>
      <c r="C6897" t="n">
        <v>2018</v>
      </c>
      <c r="D6897" t="n">
        <v>6.87232865662935</v>
      </c>
    </row>
    <row r="6898">
      <c r="A6898" t="inlineStr">
        <is>
          <t>Myanmar</t>
        </is>
      </c>
      <c r="B6898" t="inlineStr">
        <is>
          <t>MMR</t>
        </is>
      </c>
      <c r="C6898" t="n">
        <v>2019</v>
      </c>
      <c r="D6898" t="n">
        <v>8.825066968045579</v>
      </c>
    </row>
    <row r="6899">
      <c r="A6899" t="inlineStr">
        <is>
          <t>Middle East &amp; North Africa (excluding high income)</t>
        </is>
      </c>
      <c r="B6899" t="inlineStr">
        <is>
          <t>MNA</t>
        </is>
      </c>
      <c r="C6899" t="n">
        <v>1970</v>
      </c>
      <c r="D6899" t="n">
        <v>4.0592469302555</v>
      </c>
    </row>
    <row r="6900">
      <c r="A6900" t="inlineStr">
        <is>
          <t>Middle East &amp; North Africa (excluding high income)</t>
        </is>
      </c>
      <c r="B6900" t="inlineStr">
        <is>
          <t>MNA</t>
        </is>
      </c>
      <c r="C6900" t="n">
        <v>1971</v>
      </c>
      <c r="D6900" t="n">
        <v>3.87562123955683</v>
      </c>
    </row>
    <row r="6901">
      <c r="A6901" t="inlineStr">
        <is>
          <t>Middle East &amp; North Africa (excluding high income)</t>
        </is>
      </c>
      <c r="B6901" t="inlineStr">
        <is>
          <t>MNA</t>
        </is>
      </c>
      <c r="C6901" t="n">
        <v>1972</v>
      </c>
      <c r="D6901" t="n">
        <v>3.70773884352749</v>
      </c>
    </row>
    <row r="6902">
      <c r="A6902" t="inlineStr">
        <is>
          <t>Middle East &amp; North Africa (excluding high income)</t>
        </is>
      </c>
      <c r="B6902" t="inlineStr">
        <is>
          <t>MNA</t>
        </is>
      </c>
      <c r="C6902" t="n">
        <v>1973</v>
      </c>
      <c r="D6902" t="n">
        <v>7.07186753470658</v>
      </c>
    </row>
    <row r="6903">
      <c r="A6903" t="inlineStr">
        <is>
          <t>Middle East &amp; North Africa (excluding high income)</t>
        </is>
      </c>
      <c r="B6903" t="inlineStr">
        <is>
          <t>MNA</t>
        </is>
      </c>
      <c r="C6903" t="n">
        <v>1974</v>
      </c>
      <c r="D6903" t="n">
        <v>12.1366266449525</v>
      </c>
    </row>
    <row r="6904">
      <c r="A6904" t="inlineStr">
        <is>
          <t>Middle East &amp; North Africa (excluding high income)</t>
        </is>
      </c>
      <c r="B6904" t="inlineStr">
        <is>
          <t>MNA</t>
        </is>
      </c>
      <c r="C6904" t="n">
        <v>1975</v>
      </c>
      <c r="D6904" t="n">
        <v>9.593436412783911</v>
      </c>
    </row>
    <row r="6905">
      <c r="A6905" t="inlineStr">
        <is>
          <t>Middle East &amp; North Africa (excluding high income)</t>
        </is>
      </c>
      <c r="B6905" t="inlineStr">
        <is>
          <t>MNA</t>
        </is>
      </c>
      <c r="C6905" t="n">
        <v>1976</v>
      </c>
      <c r="D6905" t="n">
        <v>10.7867791969762</v>
      </c>
    </row>
    <row r="6906">
      <c r="A6906" t="inlineStr">
        <is>
          <t>Middle East &amp; North Africa (excluding high income)</t>
        </is>
      </c>
      <c r="B6906" t="inlineStr">
        <is>
          <t>MNA</t>
        </is>
      </c>
      <c r="C6906" t="n">
        <v>1977</v>
      </c>
      <c r="D6906" t="n">
        <v>12.293142157056</v>
      </c>
    </row>
    <row r="6907">
      <c r="A6907" t="inlineStr">
        <is>
          <t>Middle East &amp; North Africa (excluding high income)</t>
        </is>
      </c>
      <c r="B6907" t="inlineStr">
        <is>
          <t>MNA</t>
        </is>
      </c>
      <c r="C6907" t="n">
        <v>1978</v>
      </c>
      <c r="D6907" t="n">
        <v>10.3970665660787</v>
      </c>
    </row>
    <row r="6908">
      <c r="A6908" t="inlineStr">
        <is>
          <t>Middle East &amp; North Africa (excluding high income)</t>
        </is>
      </c>
      <c r="B6908" t="inlineStr">
        <is>
          <t>MNA</t>
        </is>
      </c>
      <c r="C6908" t="n">
        <v>1979</v>
      </c>
      <c r="D6908" t="n">
        <v>9.904360512311291</v>
      </c>
    </row>
    <row r="6909">
      <c r="A6909" t="inlineStr">
        <is>
          <t>Middle East &amp; North Africa (excluding high income)</t>
        </is>
      </c>
      <c r="B6909" t="inlineStr">
        <is>
          <t>MNA</t>
        </is>
      </c>
      <c r="C6909" t="n">
        <v>1980</v>
      </c>
      <c r="D6909" t="n">
        <v>11.5845673416485</v>
      </c>
    </row>
    <row r="6910">
      <c r="A6910" t="inlineStr">
        <is>
          <t>Middle East &amp; North Africa (excluding high income)</t>
        </is>
      </c>
      <c r="B6910" t="inlineStr">
        <is>
          <t>MNA</t>
        </is>
      </c>
      <c r="C6910" t="n">
        <v>1981</v>
      </c>
      <c r="D6910" t="n">
        <v>11.8461254997948</v>
      </c>
    </row>
    <row r="6911">
      <c r="A6911" t="inlineStr">
        <is>
          <t>Middle East &amp; North Africa (excluding high income)</t>
        </is>
      </c>
      <c r="B6911" t="inlineStr">
        <is>
          <t>MNA</t>
        </is>
      </c>
      <c r="C6911" t="n">
        <v>1982</v>
      </c>
      <c r="D6911" t="n">
        <v>10.3933080764634</v>
      </c>
    </row>
    <row r="6912">
      <c r="A6912" t="inlineStr">
        <is>
          <t>Middle East &amp; North Africa (excluding high income)</t>
        </is>
      </c>
      <c r="B6912" t="inlineStr">
        <is>
          <t>MNA</t>
        </is>
      </c>
      <c r="C6912" t="n">
        <v>1983</v>
      </c>
      <c r="D6912" t="n">
        <v>6.16761386479387</v>
      </c>
    </row>
    <row r="6913">
      <c r="A6913" t="inlineStr">
        <is>
          <t>Middle East &amp; North Africa (excluding high income)</t>
        </is>
      </c>
      <c r="B6913" t="inlineStr">
        <is>
          <t>MNA</t>
        </is>
      </c>
      <c r="C6913" t="n">
        <v>1984</v>
      </c>
      <c r="D6913" t="n">
        <v>9.229518194754959</v>
      </c>
    </row>
    <row r="6914">
      <c r="A6914" t="inlineStr">
        <is>
          <t>Middle East &amp; North Africa (excluding high income)</t>
        </is>
      </c>
      <c r="B6914" t="inlineStr">
        <is>
          <t>MNA</t>
        </is>
      </c>
      <c r="C6914" t="n">
        <v>1985</v>
      </c>
      <c r="D6914" t="n">
        <v>7.7286389008592</v>
      </c>
    </row>
    <row r="6915">
      <c r="A6915" t="inlineStr">
        <is>
          <t>Middle East &amp; North Africa (excluding high income)</t>
        </is>
      </c>
      <c r="B6915" t="inlineStr">
        <is>
          <t>MNA</t>
        </is>
      </c>
      <c r="C6915" t="n">
        <v>1986</v>
      </c>
      <c r="D6915" t="n">
        <v>12.3716091651299</v>
      </c>
    </row>
    <row r="6916">
      <c r="A6916" t="inlineStr">
        <is>
          <t>Middle East &amp; North Africa (excluding high income)</t>
        </is>
      </c>
      <c r="B6916" t="inlineStr">
        <is>
          <t>MNA</t>
        </is>
      </c>
      <c r="C6916" t="n">
        <v>1987</v>
      </c>
      <c r="D6916" t="n">
        <v>7.44126091287247</v>
      </c>
    </row>
    <row r="6917">
      <c r="A6917" t="inlineStr">
        <is>
          <t>Middle East &amp; North Africa (excluding high income)</t>
        </is>
      </c>
      <c r="B6917" t="inlineStr">
        <is>
          <t>MNA</t>
        </is>
      </c>
      <c r="C6917" t="n">
        <v>1988</v>
      </c>
      <c r="D6917" t="n">
        <v>6.90509807493766</v>
      </c>
    </row>
    <row r="6918">
      <c r="A6918" t="inlineStr">
        <is>
          <t>Middle East &amp; North Africa (excluding high income)</t>
        </is>
      </c>
      <c r="B6918" t="inlineStr">
        <is>
          <t>MNA</t>
        </is>
      </c>
      <c r="C6918" t="n">
        <v>1989</v>
      </c>
      <c r="D6918" t="n">
        <v>10.3517892397833</v>
      </c>
    </row>
    <row r="6919">
      <c r="A6919" t="inlineStr">
        <is>
          <t>Middle East &amp; North Africa (excluding high income)</t>
        </is>
      </c>
      <c r="B6919" t="inlineStr">
        <is>
          <t>MNA</t>
        </is>
      </c>
      <c r="C6919" t="n">
        <v>1990</v>
      </c>
      <c r="D6919" t="n">
        <v>12.3217999847811</v>
      </c>
    </row>
    <row r="6920">
      <c r="A6920" t="inlineStr">
        <is>
          <t>Middle East &amp; North Africa (excluding high income)</t>
        </is>
      </c>
      <c r="B6920" t="inlineStr">
        <is>
          <t>MNA</t>
        </is>
      </c>
      <c r="C6920" t="n">
        <v>1991</v>
      </c>
      <c r="D6920" t="n">
        <v>14.5123316222632</v>
      </c>
    </row>
    <row r="6921">
      <c r="A6921" t="inlineStr">
        <is>
          <t>Middle East &amp; North Africa (excluding high income)</t>
        </is>
      </c>
      <c r="B6921" t="inlineStr">
        <is>
          <t>MNA</t>
        </is>
      </c>
      <c r="C6921" t="n">
        <v>1992</v>
      </c>
      <c r="D6921" t="n">
        <v>12.3232992418242</v>
      </c>
    </row>
    <row r="6922">
      <c r="A6922" t="inlineStr">
        <is>
          <t>Middle East &amp; North Africa (excluding high income)</t>
        </is>
      </c>
      <c r="B6922" t="inlineStr">
        <is>
          <t>MNA</t>
        </is>
      </c>
      <c r="C6922" t="n">
        <v>1993</v>
      </c>
      <c r="D6922" t="n">
        <v>12.6564663913828</v>
      </c>
    </row>
    <row r="6923">
      <c r="A6923" t="inlineStr">
        <is>
          <t>Middle East &amp; North Africa (excluding high income)</t>
        </is>
      </c>
      <c r="B6923" t="inlineStr">
        <is>
          <t>MNA</t>
        </is>
      </c>
      <c r="C6923" t="n">
        <v>1994</v>
      </c>
      <c r="D6923" t="n">
        <v>11.7413492195778</v>
      </c>
    </row>
    <row r="6924">
      <c r="A6924" t="inlineStr">
        <is>
          <t>Middle East &amp; North Africa (excluding high income)</t>
        </is>
      </c>
      <c r="B6924" t="inlineStr">
        <is>
          <t>MNA</t>
        </is>
      </c>
      <c r="C6924" t="n">
        <v>1995</v>
      </c>
      <c r="D6924" t="n">
        <v>11.8610941540332</v>
      </c>
    </row>
    <row r="6925">
      <c r="A6925" t="inlineStr">
        <is>
          <t>Middle East &amp; North Africa (excluding high income)</t>
        </is>
      </c>
      <c r="B6925" t="inlineStr">
        <is>
          <t>MNA</t>
        </is>
      </c>
      <c r="C6925" t="n">
        <v>1996</v>
      </c>
      <c r="D6925" t="n">
        <v>6.84416086199789</v>
      </c>
    </row>
    <row r="6926">
      <c r="A6926" t="inlineStr">
        <is>
          <t>Middle East &amp; North Africa (excluding high income)</t>
        </is>
      </c>
      <c r="B6926" t="inlineStr">
        <is>
          <t>MNA</t>
        </is>
      </c>
      <c r="C6926" t="n">
        <v>1997</v>
      </c>
      <c r="D6926" t="n">
        <v>3.65202620723071</v>
      </c>
    </row>
    <row r="6927">
      <c r="A6927" t="inlineStr">
        <is>
          <t>Middle East &amp; North Africa (excluding high income)</t>
        </is>
      </c>
      <c r="B6927" t="inlineStr">
        <is>
          <t>MNA</t>
        </is>
      </c>
      <c r="C6927" t="n">
        <v>1998</v>
      </c>
      <c r="D6927" t="n">
        <v>3.8725754642749</v>
      </c>
    </row>
    <row r="6928">
      <c r="A6928" t="inlineStr">
        <is>
          <t>Middle East &amp; North Africa (excluding high income)</t>
        </is>
      </c>
      <c r="B6928" t="inlineStr">
        <is>
          <t>MNA</t>
        </is>
      </c>
      <c r="C6928" t="n">
        <v>1999</v>
      </c>
      <c r="D6928" t="n">
        <v>2.6901248581158</v>
      </c>
    </row>
    <row r="6929">
      <c r="A6929" t="inlineStr">
        <is>
          <t>Middle East &amp; North Africa (excluding high income)</t>
        </is>
      </c>
      <c r="B6929" t="inlineStr">
        <is>
          <t>MNA</t>
        </is>
      </c>
      <c r="C6929" t="n">
        <v>2000</v>
      </c>
      <c r="D6929" t="n">
        <v>2.68380535348546</v>
      </c>
    </row>
    <row r="6930">
      <c r="A6930" t="inlineStr">
        <is>
          <t>Middle East &amp; North Africa (excluding high income)</t>
        </is>
      </c>
      <c r="B6930" t="inlineStr">
        <is>
          <t>MNA</t>
        </is>
      </c>
      <c r="C6930" t="n">
        <v>2001</v>
      </c>
      <c r="D6930" t="n">
        <v>2.12654526904647</v>
      </c>
    </row>
    <row r="6931">
      <c r="A6931" t="inlineStr">
        <is>
          <t>Middle East &amp; North Africa (excluding high income)</t>
        </is>
      </c>
      <c r="B6931" t="inlineStr">
        <is>
          <t>MNA</t>
        </is>
      </c>
      <c r="C6931" t="n">
        <v>2002</v>
      </c>
      <c r="D6931" t="n">
        <v>2.72913569925394</v>
      </c>
    </row>
    <row r="6932">
      <c r="A6932" t="inlineStr">
        <is>
          <t>Middle East &amp; North Africa (excluding high income)</t>
        </is>
      </c>
      <c r="B6932" t="inlineStr">
        <is>
          <t>MNA</t>
        </is>
      </c>
      <c r="C6932" t="n">
        <v>2003</v>
      </c>
      <c r="D6932" t="n">
        <v>4.33599308785194</v>
      </c>
    </row>
    <row r="6933">
      <c r="A6933" t="inlineStr">
        <is>
          <t>Middle East &amp; North Africa (excluding high income)</t>
        </is>
      </c>
      <c r="B6933" t="inlineStr">
        <is>
          <t>MNA</t>
        </is>
      </c>
      <c r="C6933" t="n">
        <v>2004</v>
      </c>
      <c r="D6933" t="n">
        <v>3.79704017606906</v>
      </c>
    </row>
    <row r="6934">
      <c r="A6934" t="inlineStr">
        <is>
          <t>Middle East &amp; North Africa (excluding high income)</t>
        </is>
      </c>
      <c r="B6934" t="inlineStr">
        <is>
          <t>MNA</t>
        </is>
      </c>
      <c r="C6934" t="n">
        <v>2005</v>
      </c>
      <c r="D6934" t="n">
        <v>3.80046802667731</v>
      </c>
    </row>
    <row r="6935">
      <c r="A6935" t="inlineStr">
        <is>
          <t>Middle East &amp; North Africa (excluding high income)</t>
        </is>
      </c>
      <c r="B6935" t="inlineStr">
        <is>
          <t>MNA</t>
        </is>
      </c>
      <c r="C6935" t="n">
        <v>2006</v>
      </c>
      <c r="D6935" t="n">
        <v>5.04703296140613</v>
      </c>
    </row>
    <row r="6936">
      <c r="A6936" t="inlineStr">
        <is>
          <t>Middle East &amp; North Africa (excluding high income)</t>
        </is>
      </c>
      <c r="B6936" t="inlineStr">
        <is>
          <t>MNA</t>
        </is>
      </c>
      <c r="C6936" t="n">
        <v>2007</v>
      </c>
      <c r="D6936" t="n">
        <v>4.32580794732628</v>
      </c>
    </row>
    <row r="6937">
      <c r="A6937" t="inlineStr">
        <is>
          <t>Middle East &amp; North Africa (excluding high income)</t>
        </is>
      </c>
      <c r="B6937" t="inlineStr">
        <is>
          <t>MNA</t>
        </is>
      </c>
      <c r="C6937" t="n">
        <v>2008</v>
      </c>
      <c r="D6937" t="n">
        <v>12.310736758289</v>
      </c>
    </row>
    <row r="6938">
      <c r="A6938" t="inlineStr">
        <is>
          <t>Middle East &amp; North Africa (excluding high income)</t>
        </is>
      </c>
      <c r="B6938" t="inlineStr">
        <is>
          <t>MNA</t>
        </is>
      </c>
      <c r="C6938" t="n">
        <v>2009</v>
      </c>
      <c r="D6938" t="n">
        <v>2.92089711805367</v>
      </c>
    </row>
    <row r="6939">
      <c r="A6939" t="inlineStr">
        <is>
          <t>Middle East &amp; North Africa (excluding high income)</t>
        </is>
      </c>
      <c r="B6939" t="inlineStr">
        <is>
          <t>MNA</t>
        </is>
      </c>
      <c r="C6939" t="n">
        <v>2010</v>
      </c>
      <c r="D6939" t="n">
        <v>3.95007875923885</v>
      </c>
    </row>
    <row r="6940">
      <c r="A6940" t="inlineStr">
        <is>
          <t>Middle East &amp; North Africa (excluding high income)</t>
        </is>
      </c>
      <c r="B6940" t="inlineStr">
        <is>
          <t>MNA</t>
        </is>
      </c>
      <c r="C6940" t="n">
        <v>2011</v>
      </c>
      <c r="D6940" t="n">
        <v>4.97148571692384</v>
      </c>
    </row>
    <row r="6941">
      <c r="A6941" t="inlineStr">
        <is>
          <t>Middle East &amp; North Africa (excluding high income)</t>
        </is>
      </c>
      <c r="B6941" t="inlineStr">
        <is>
          <t>MNA</t>
        </is>
      </c>
      <c r="C6941" t="n">
        <v>2012</v>
      </c>
      <c r="D6941" t="n">
        <v>6.08909641595043</v>
      </c>
    </row>
    <row r="6942">
      <c r="A6942" t="inlineStr">
        <is>
          <t>Middle East &amp; North Africa (excluding high income)</t>
        </is>
      </c>
      <c r="B6942" t="inlineStr">
        <is>
          <t>MNA</t>
        </is>
      </c>
      <c r="C6942" t="n">
        <v>2013</v>
      </c>
      <c r="D6942" t="n">
        <v>4.82101956297399</v>
      </c>
    </row>
    <row r="6943">
      <c r="A6943" t="inlineStr">
        <is>
          <t>Middle East &amp; North Africa (excluding high income)</t>
        </is>
      </c>
      <c r="B6943" t="inlineStr">
        <is>
          <t>MNA</t>
        </is>
      </c>
      <c r="C6943" t="n">
        <v>2014</v>
      </c>
      <c r="D6943" t="n">
        <v>2.89947905006057</v>
      </c>
    </row>
    <row r="6944">
      <c r="A6944" t="inlineStr">
        <is>
          <t>Middle East &amp; North Africa (excluding high income)</t>
        </is>
      </c>
      <c r="B6944" t="inlineStr">
        <is>
          <t>MNA</t>
        </is>
      </c>
      <c r="C6944" t="n">
        <v>2015</v>
      </c>
      <c r="D6944" t="n">
        <v>2.9976391933388</v>
      </c>
    </row>
    <row r="6945">
      <c r="A6945" t="inlineStr">
        <is>
          <t>Middle East &amp; North Africa (excluding high income)</t>
        </is>
      </c>
      <c r="B6945" t="inlineStr">
        <is>
          <t>MNA</t>
        </is>
      </c>
      <c r="C6945" t="n">
        <v>2016</v>
      </c>
      <c r="D6945" t="n">
        <v>3.18390573061568</v>
      </c>
    </row>
    <row r="6946">
      <c r="A6946" t="inlineStr">
        <is>
          <t>Middle East &amp; North Africa (excluding high income)</t>
        </is>
      </c>
      <c r="B6946" t="inlineStr">
        <is>
          <t>MNA</t>
        </is>
      </c>
      <c r="C6946" t="n">
        <v>2017</v>
      </c>
      <c r="D6946" t="n">
        <v>4.81510028934517</v>
      </c>
    </row>
    <row r="6947">
      <c r="A6947" t="inlineStr">
        <is>
          <t>Middle East &amp; North Africa (excluding high income)</t>
        </is>
      </c>
      <c r="B6947" t="inlineStr">
        <is>
          <t>MNA</t>
        </is>
      </c>
      <c r="C6947" t="n">
        <v>2018</v>
      </c>
      <c r="D6947" t="n">
        <v>4.36615064471282</v>
      </c>
    </row>
    <row r="6948">
      <c r="A6948" t="inlineStr">
        <is>
          <t>Middle East &amp; North Africa (excluding high income)</t>
        </is>
      </c>
      <c r="B6948" t="inlineStr">
        <is>
          <t>MNA</t>
        </is>
      </c>
      <c r="C6948" t="n">
        <v>2019</v>
      </c>
      <c r="D6948" t="n">
        <v>2.47857885221637</v>
      </c>
    </row>
    <row r="6949">
      <c r="A6949" t="inlineStr">
        <is>
          <t>Middle East &amp; North Africa (excluding high income)</t>
        </is>
      </c>
      <c r="B6949" t="inlineStr">
        <is>
          <t>MNA</t>
        </is>
      </c>
      <c r="C6949" t="n">
        <v>2020</v>
      </c>
      <c r="D6949" t="n">
        <v>1.7774078380617</v>
      </c>
    </row>
    <row r="6950">
      <c r="A6950" t="inlineStr">
        <is>
          <t>Middle East &amp; North Africa (excluding high income)</t>
        </is>
      </c>
      <c r="B6950" t="inlineStr">
        <is>
          <t>MNA</t>
        </is>
      </c>
      <c r="C6950" t="n">
        <v>2021</v>
      </c>
      <c r="D6950" t="n">
        <v>5.21404940513043</v>
      </c>
    </row>
    <row r="6951">
      <c r="A6951" t="inlineStr">
        <is>
          <t>Middle East &amp; North Africa (excluding high income)</t>
        </is>
      </c>
      <c r="B6951" t="inlineStr">
        <is>
          <t>MNA</t>
        </is>
      </c>
      <c r="C6951" t="n">
        <v>2022</v>
      </c>
      <c r="D6951" t="n">
        <v>6.65704202759067</v>
      </c>
    </row>
    <row r="6952">
      <c r="A6952" t="inlineStr">
        <is>
          <t>Middle East &amp; North Africa (excluding high income)</t>
        </is>
      </c>
      <c r="B6952" t="inlineStr">
        <is>
          <t>MNA</t>
        </is>
      </c>
      <c r="C6952" t="n">
        <v>2023</v>
      </c>
      <c r="D6952" t="n">
        <v>6.09114152504141</v>
      </c>
    </row>
    <row r="6953">
      <c r="A6953" t="inlineStr">
        <is>
          <t>Montenegro</t>
        </is>
      </c>
      <c r="B6953" t="inlineStr">
        <is>
          <t>MNE</t>
        </is>
      </c>
      <c r="C6953" t="n">
        <v>2006</v>
      </c>
      <c r="D6953" t="n">
        <v>2.92451258123648</v>
      </c>
    </row>
    <row r="6954">
      <c r="A6954" t="inlineStr">
        <is>
          <t>Montenegro</t>
        </is>
      </c>
      <c r="B6954" t="inlineStr">
        <is>
          <t>MNE</t>
        </is>
      </c>
      <c r="C6954" t="n">
        <v>2007</v>
      </c>
      <c r="D6954" t="n">
        <v>4.34712215656112</v>
      </c>
    </row>
    <row r="6955">
      <c r="A6955" t="inlineStr">
        <is>
          <t>Montenegro</t>
        </is>
      </c>
      <c r="B6955" t="inlineStr">
        <is>
          <t>MNE</t>
        </is>
      </c>
      <c r="C6955" t="n">
        <v>2008</v>
      </c>
      <c r="D6955" t="n">
        <v>8.758727695887981</v>
      </c>
    </row>
    <row r="6956">
      <c r="A6956" t="inlineStr">
        <is>
          <t>Montenegro</t>
        </is>
      </c>
      <c r="B6956" t="inlineStr">
        <is>
          <t>MNE</t>
        </is>
      </c>
      <c r="C6956" t="n">
        <v>2009</v>
      </c>
      <c r="D6956" t="n">
        <v>3.46672373207793</v>
      </c>
    </row>
    <row r="6957">
      <c r="A6957" t="inlineStr">
        <is>
          <t>Montenegro</t>
        </is>
      </c>
      <c r="B6957" t="inlineStr">
        <is>
          <t>MNE</t>
        </is>
      </c>
      <c r="C6957" t="n">
        <v>2010</v>
      </c>
      <c r="D6957" t="n">
        <v>0.654946570148479</v>
      </c>
    </row>
    <row r="6958">
      <c r="A6958" t="inlineStr">
        <is>
          <t>Montenegro</t>
        </is>
      </c>
      <c r="B6958" t="inlineStr">
        <is>
          <t>MNE</t>
        </is>
      </c>
      <c r="C6958" t="n">
        <v>2011</v>
      </c>
      <c r="D6958" t="n">
        <v>3.4501431124869</v>
      </c>
    </row>
    <row r="6959">
      <c r="A6959" t="inlineStr">
        <is>
          <t>Montenegro</t>
        </is>
      </c>
      <c r="B6959" t="inlineStr">
        <is>
          <t>MNE</t>
        </is>
      </c>
      <c r="C6959" t="n">
        <v>2012</v>
      </c>
      <c r="D6959" t="n">
        <v>4.14524724981119</v>
      </c>
    </row>
    <row r="6960">
      <c r="A6960" t="inlineStr">
        <is>
          <t>Montenegro</t>
        </is>
      </c>
      <c r="B6960" t="inlineStr">
        <is>
          <t>MNE</t>
        </is>
      </c>
      <c r="C6960" t="n">
        <v>2013</v>
      </c>
      <c r="D6960" t="n">
        <v>2.20589268141178</v>
      </c>
    </row>
    <row r="6961">
      <c r="A6961" t="inlineStr">
        <is>
          <t>Montenegro</t>
        </is>
      </c>
      <c r="B6961" t="inlineStr">
        <is>
          <t>MNE</t>
        </is>
      </c>
      <c r="C6961" t="n">
        <v>2014</v>
      </c>
      <c r="D6961" t="n">
        <v>-0.710514051710227</v>
      </c>
    </row>
    <row r="6962">
      <c r="A6962" t="inlineStr">
        <is>
          <t>Montenegro</t>
        </is>
      </c>
      <c r="B6962" t="inlineStr">
        <is>
          <t>MNE</t>
        </is>
      </c>
      <c r="C6962" t="n">
        <v>2015</v>
      </c>
      <c r="D6962" t="n">
        <v>1.54869158222486</v>
      </c>
    </row>
    <row r="6963">
      <c r="A6963" t="inlineStr">
        <is>
          <t>Montenegro</t>
        </is>
      </c>
      <c r="B6963" t="inlineStr">
        <is>
          <t>MNE</t>
        </is>
      </c>
      <c r="C6963" t="n">
        <v>2016</v>
      </c>
      <c r="D6963" t="n">
        <v>-0.271385023385176</v>
      </c>
    </row>
    <row r="6964">
      <c r="A6964" t="inlineStr">
        <is>
          <t>Montenegro</t>
        </is>
      </c>
      <c r="B6964" t="inlineStr">
        <is>
          <t>MNE</t>
        </is>
      </c>
      <c r="C6964" t="n">
        <v>2017</v>
      </c>
      <c r="D6964" t="n">
        <v>2.3802359905313</v>
      </c>
    </row>
    <row r="6965">
      <c r="A6965" t="inlineStr">
        <is>
          <t>Montenegro</t>
        </is>
      </c>
      <c r="B6965" t="inlineStr">
        <is>
          <t>MNE</t>
        </is>
      </c>
      <c r="C6965" t="n">
        <v>2018</v>
      </c>
      <c r="D6965" t="n">
        <v>2.611223782638</v>
      </c>
    </row>
    <row r="6966">
      <c r="A6966" t="inlineStr">
        <is>
          <t>Montenegro</t>
        </is>
      </c>
      <c r="B6966" t="inlineStr">
        <is>
          <t>MNE</t>
        </is>
      </c>
      <c r="C6966" t="n">
        <v>2019</v>
      </c>
      <c r="D6966" t="n">
        <v>0.361563704540767</v>
      </c>
    </row>
    <row r="6967">
      <c r="A6967" t="inlineStr">
        <is>
          <t>Montenegro</t>
        </is>
      </c>
      <c r="B6967" t="inlineStr">
        <is>
          <t>MNE</t>
        </is>
      </c>
      <c r="C6967" t="n">
        <v>2020</v>
      </c>
      <c r="D6967" t="n">
        <v>-0.255655699848551</v>
      </c>
    </row>
    <row r="6968">
      <c r="A6968" t="inlineStr">
        <is>
          <t>Montenegro</t>
        </is>
      </c>
      <c r="B6968" t="inlineStr">
        <is>
          <t>MNE</t>
        </is>
      </c>
      <c r="C6968" t="n">
        <v>2021</v>
      </c>
      <c r="D6968" t="n">
        <v>2.41080198403165</v>
      </c>
    </row>
    <row r="6969">
      <c r="A6969" t="inlineStr">
        <is>
          <t>Montenegro</t>
        </is>
      </c>
      <c r="B6969" t="inlineStr">
        <is>
          <t>MNE</t>
        </is>
      </c>
      <c r="C6969" t="n">
        <v>2022</v>
      </c>
      <c r="D6969" t="n">
        <v>13.0403036347004</v>
      </c>
    </row>
    <row r="6970">
      <c r="A6970" t="inlineStr">
        <is>
          <t>Montenegro</t>
        </is>
      </c>
      <c r="B6970" t="inlineStr">
        <is>
          <t>MNE</t>
        </is>
      </c>
      <c r="C6970" t="n">
        <v>2023</v>
      </c>
      <c r="D6970" t="n">
        <v>8.584769104554031</v>
      </c>
    </row>
    <row r="6971">
      <c r="A6971" t="inlineStr">
        <is>
          <t>Montenegro</t>
        </is>
      </c>
      <c r="B6971" t="inlineStr">
        <is>
          <t>MNE</t>
        </is>
      </c>
      <c r="C6971" t="n">
        <v>2024</v>
      </c>
      <c r="D6971" t="n">
        <v>3.33675009282281</v>
      </c>
    </row>
    <row r="6972">
      <c r="A6972" t="inlineStr">
        <is>
          <t>Mongolia</t>
        </is>
      </c>
      <c r="B6972" t="inlineStr">
        <is>
          <t>MNG</t>
        </is>
      </c>
      <c r="C6972" t="n">
        <v>1993</v>
      </c>
      <c r="D6972" t="n">
        <v>268.150488882784</v>
      </c>
    </row>
    <row r="6973">
      <c r="A6973" t="inlineStr">
        <is>
          <t>Mongolia</t>
        </is>
      </c>
      <c r="B6973" t="inlineStr">
        <is>
          <t>MNG</t>
        </is>
      </c>
      <c r="C6973" t="n">
        <v>1994</v>
      </c>
      <c r="D6973" t="n">
        <v>87.58000932980799</v>
      </c>
    </row>
    <row r="6974">
      <c r="A6974" t="inlineStr">
        <is>
          <t>Mongolia</t>
        </is>
      </c>
      <c r="B6974" t="inlineStr">
        <is>
          <t>MNG</t>
        </is>
      </c>
      <c r="C6974" t="n">
        <v>1995</v>
      </c>
      <c r="D6974" t="n">
        <v>0.0435161009571923</v>
      </c>
    </row>
    <row r="6975">
      <c r="A6975" t="inlineStr">
        <is>
          <t>Mongolia</t>
        </is>
      </c>
      <c r="B6975" t="inlineStr">
        <is>
          <t>MNG</t>
        </is>
      </c>
      <c r="C6975" t="n">
        <v>1996</v>
      </c>
      <c r="D6975" t="n">
        <v>46.8899521531103</v>
      </c>
    </row>
    <row r="6976">
      <c r="A6976" t="inlineStr">
        <is>
          <t>Mongolia</t>
        </is>
      </c>
      <c r="B6976" t="inlineStr">
        <is>
          <t>MNG</t>
        </is>
      </c>
      <c r="C6976" t="n">
        <v>1997</v>
      </c>
      <c r="D6976" t="n">
        <v>36.5561148948773</v>
      </c>
    </row>
    <row r="6977">
      <c r="A6977" t="inlineStr">
        <is>
          <t>Mongolia</t>
        </is>
      </c>
      <c r="B6977" t="inlineStr">
        <is>
          <t>MNG</t>
        </is>
      </c>
      <c r="C6977" t="n">
        <v>1998</v>
      </c>
      <c r="D6977" t="n">
        <v>9.357042177165511</v>
      </c>
    </row>
    <row r="6978">
      <c r="A6978" t="inlineStr">
        <is>
          <t>Mongolia</t>
        </is>
      </c>
      <c r="B6978" t="inlineStr">
        <is>
          <t>MNG</t>
        </is>
      </c>
      <c r="C6978" t="n">
        <v>1999</v>
      </c>
      <c r="D6978" t="n">
        <v>7.56494150307371</v>
      </c>
    </row>
    <row r="6979">
      <c r="A6979" t="inlineStr">
        <is>
          <t>Mongolia</t>
        </is>
      </c>
      <c r="B6979" t="inlineStr">
        <is>
          <t>MNG</t>
        </is>
      </c>
      <c r="C6979" t="n">
        <v>2000</v>
      </c>
      <c r="D6979" t="n">
        <v>11.5955387593327</v>
      </c>
    </row>
    <row r="6980">
      <c r="A6980" t="inlineStr">
        <is>
          <t>Mongolia</t>
        </is>
      </c>
      <c r="B6980" t="inlineStr">
        <is>
          <t>MNG</t>
        </is>
      </c>
      <c r="C6980" t="n">
        <v>2001</v>
      </c>
      <c r="D6980" t="n">
        <v>6.27736020484006</v>
      </c>
    </row>
    <row r="6981">
      <c r="A6981" t="inlineStr">
        <is>
          <t>Mongolia</t>
        </is>
      </c>
      <c r="B6981" t="inlineStr">
        <is>
          <t>MNG</t>
        </is>
      </c>
      <c r="C6981" t="n">
        <v>2002</v>
      </c>
      <c r="D6981" t="n">
        <v>0.917074687184271</v>
      </c>
    </row>
    <row r="6982">
      <c r="A6982" t="inlineStr">
        <is>
          <t>Mongolia</t>
        </is>
      </c>
      <c r="B6982" t="inlineStr">
        <is>
          <t>MNG</t>
        </is>
      </c>
      <c r="C6982" t="n">
        <v>2003</v>
      </c>
      <c r="D6982" t="n">
        <v>5.12899499422417</v>
      </c>
    </row>
    <row r="6983">
      <c r="A6983" t="inlineStr">
        <is>
          <t>Mongolia</t>
        </is>
      </c>
      <c r="B6983" t="inlineStr">
        <is>
          <t>MNG</t>
        </is>
      </c>
      <c r="C6983" t="n">
        <v>2004</v>
      </c>
      <c r="D6983" t="n">
        <v>8.241154494176181</v>
      </c>
    </row>
    <row r="6984">
      <c r="A6984" t="inlineStr">
        <is>
          <t>Mongolia</t>
        </is>
      </c>
      <c r="B6984" t="inlineStr">
        <is>
          <t>MNG</t>
        </is>
      </c>
      <c r="C6984" t="n">
        <v>2005</v>
      </c>
      <c r="D6984" t="n">
        <v>12.7165674066053</v>
      </c>
    </row>
    <row r="6985">
      <c r="A6985" t="inlineStr">
        <is>
          <t>Mongolia</t>
        </is>
      </c>
      <c r="B6985" t="inlineStr">
        <is>
          <t>MNG</t>
        </is>
      </c>
      <c r="C6985" t="n">
        <v>2006</v>
      </c>
      <c r="D6985" t="n">
        <v>5.09516661663163</v>
      </c>
    </row>
    <row r="6986">
      <c r="A6986" t="inlineStr">
        <is>
          <t>Mongolia</t>
        </is>
      </c>
      <c r="B6986" t="inlineStr">
        <is>
          <t>MNG</t>
        </is>
      </c>
      <c r="C6986" t="n">
        <v>2007</v>
      </c>
      <c r="D6986" t="n">
        <v>9.63096309630969</v>
      </c>
    </row>
    <row r="6987">
      <c r="A6987" t="inlineStr">
        <is>
          <t>Mongolia</t>
        </is>
      </c>
      <c r="B6987" t="inlineStr">
        <is>
          <t>MNG</t>
        </is>
      </c>
      <c r="C6987" t="n">
        <v>2008</v>
      </c>
      <c r="D6987" t="n">
        <v>27.9556650246306</v>
      </c>
    </row>
    <row r="6988">
      <c r="A6988" t="inlineStr">
        <is>
          <t>Mongolia</t>
        </is>
      </c>
      <c r="B6988" t="inlineStr">
        <is>
          <t>MNG</t>
        </is>
      </c>
      <c r="C6988" t="n">
        <v>2009</v>
      </c>
      <c r="D6988" t="n">
        <v>7.61950593519404</v>
      </c>
    </row>
    <row r="6989">
      <c r="A6989" t="inlineStr">
        <is>
          <t>Mongolia</t>
        </is>
      </c>
      <c r="B6989" t="inlineStr">
        <is>
          <t>MNG</t>
        </is>
      </c>
      <c r="C6989" t="n">
        <v>2010</v>
      </c>
      <c r="D6989" t="n">
        <v>10.0462065881651</v>
      </c>
    </row>
    <row r="6990">
      <c r="A6990" t="inlineStr">
        <is>
          <t>Mongolia</t>
        </is>
      </c>
      <c r="B6990" t="inlineStr">
        <is>
          <t>MNG</t>
        </is>
      </c>
      <c r="C6990" t="n">
        <v>2011</v>
      </c>
      <c r="D6990" t="n">
        <v>8.411214953270999</v>
      </c>
    </row>
    <row r="6991">
      <c r="A6991" t="inlineStr">
        <is>
          <t>Mongolia</t>
        </is>
      </c>
      <c r="B6991" t="inlineStr">
        <is>
          <t>MNG</t>
        </is>
      </c>
      <c r="C6991" t="n">
        <v>2012</v>
      </c>
      <c r="D6991" t="n">
        <v>14.3303348325837</v>
      </c>
    </row>
    <row r="6992">
      <c r="A6992" t="inlineStr">
        <is>
          <t>Mongolia</t>
        </is>
      </c>
      <c r="B6992" t="inlineStr">
        <is>
          <t>MNG</t>
        </is>
      </c>
      <c r="C6992" t="n">
        <v>2013</v>
      </c>
      <c r="D6992" t="n">
        <v>10.4906567588242</v>
      </c>
    </row>
    <row r="6993">
      <c r="A6993" t="inlineStr">
        <is>
          <t>Mongolia</t>
        </is>
      </c>
      <c r="B6993" t="inlineStr">
        <is>
          <t>MNG</t>
        </is>
      </c>
      <c r="C6993" t="n">
        <v>2014</v>
      </c>
      <c r="D6993" t="n">
        <v>12.253980812976</v>
      </c>
    </row>
    <row r="6994">
      <c r="A6994" t="inlineStr">
        <is>
          <t>Mongolia</t>
        </is>
      </c>
      <c r="B6994" t="inlineStr">
        <is>
          <t>MNG</t>
        </is>
      </c>
      <c r="C6994" t="n">
        <v>2015</v>
      </c>
      <c r="D6994" t="n">
        <v>5.7356828193832</v>
      </c>
    </row>
    <row r="6995">
      <c r="A6995" t="inlineStr">
        <is>
          <t>Mongolia</t>
        </is>
      </c>
      <c r="B6995" t="inlineStr">
        <is>
          <t>MNG</t>
        </is>
      </c>
      <c r="C6995" t="n">
        <v>2016</v>
      </c>
      <c r="D6995" t="n">
        <v>0.733272227314397</v>
      </c>
    </row>
    <row r="6996">
      <c r="A6996" t="inlineStr">
        <is>
          <t>Mongolia</t>
        </is>
      </c>
      <c r="B6996" t="inlineStr">
        <is>
          <t>MNG</t>
        </is>
      </c>
      <c r="C6996" t="n">
        <v>2017</v>
      </c>
      <c r="D6996" t="n">
        <v>4.30143105302342</v>
      </c>
    </row>
    <row r="6997">
      <c r="A6997" t="inlineStr">
        <is>
          <t>Mongolia</t>
        </is>
      </c>
      <c r="B6997" t="inlineStr">
        <is>
          <t>MNG</t>
        </is>
      </c>
      <c r="C6997" t="n">
        <v>2018</v>
      </c>
      <c r="D6997" t="n">
        <v>6.82424790145522</v>
      </c>
    </row>
    <row r="6998">
      <c r="A6998" t="inlineStr">
        <is>
          <t>Mongolia</t>
        </is>
      </c>
      <c r="B6998" t="inlineStr">
        <is>
          <t>MNG</t>
        </is>
      </c>
      <c r="C6998" t="n">
        <v>2019</v>
      </c>
      <c r="D6998" t="n">
        <v>7.30106953550723</v>
      </c>
    </row>
    <row r="6999">
      <c r="A6999" t="inlineStr">
        <is>
          <t>Mongolia</t>
        </is>
      </c>
      <c r="B6999" t="inlineStr">
        <is>
          <t>MNG</t>
        </is>
      </c>
      <c r="C6999" t="n">
        <v>2020</v>
      </c>
      <c r="D6999" t="n">
        <v>3.79604026111247</v>
      </c>
    </row>
    <row r="7000">
      <c r="A7000" t="inlineStr">
        <is>
          <t>Mongolia</t>
        </is>
      </c>
      <c r="B7000" t="inlineStr">
        <is>
          <t>MNG</t>
        </is>
      </c>
      <c r="C7000" t="n">
        <v>2021</v>
      </c>
      <c r="D7000" t="n">
        <v>7.35281243380219</v>
      </c>
    </row>
    <row r="7001">
      <c r="A7001" t="inlineStr">
        <is>
          <t>Mongolia</t>
        </is>
      </c>
      <c r="B7001" t="inlineStr">
        <is>
          <t>MNG</t>
        </is>
      </c>
      <c r="C7001" t="n">
        <v>2022</v>
      </c>
      <c r="D7001" t="n">
        <v>15.1479560897226</v>
      </c>
    </row>
    <row r="7002">
      <c r="A7002" t="inlineStr">
        <is>
          <t>Mongolia</t>
        </is>
      </c>
      <c r="B7002" t="inlineStr">
        <is>
          <t>MNG</t>
        </is>
      </c>
      <c r="C7002" t="n">
        <v>2023</v>
      </c>
      <c r="D7002" t="n">
        <v>10.3475831314339</v>
      </c>
    </row>
    <row r="7003">
      <c r="A7003" t="inlineStr">
        <is>
          <t>Mongolia</t>
        </is>
      </c>
      <c r="B7003" t="inlineStr">
        <is>
          <t>MNG</t>
        </is>
      </c>
      <c r="C7003" t="n">
        <v>2024</v>
      </c>
      <c r="D7003" t="n">
        <v>6.80284899332961</v>
      </c>
    </row>
    <row r="7004">
      <c r="A7004" t="inlineStr">
        <is>
          <t>Mozambique</t>
        </is>
      </c>
      <c r="B7004" t="inlineStr">
        <is>
          <t>MOZ</t>
        </is>
      </c>
      <c r="C7004" t="n">
        <v>2005</v>
      </c>
      <c r="D7004" t="n">
        <v>6.42755278070087</v>
      </c>
    </row>
    <row r="7005">
      <c r="A7005" t="inlineStr">
        <is>
          <t>Mozambique</t>
        </is>
      </c>
      <c r="B7005" t="inlineStr">
        <is>
          <t>MOZ</t>
        </is>
      </c>
      <c r="C7005" t="n">
        <v>2006</v>
      </c>
      <c r="D7005" t="n">
        <v>13.2450879070999</v>
      </c>
    </row>
    <row r="7006">
      <c r="A7006" t="inlineStr">
        <is>
          <t>Mozambique</t>
        </is>
      </c>
      <c r="B7006" t="inlineStr">
        <is>
          <t>MOZ</t>
        </is>
      </c>
      <c r="C7006" t="n">
        <v>2007</v>
      </c>
      <c r="D7006" t="n">
        <v>8.48948675497455</v>
      </c>
    </row>
    <row r="7007">
      <c r="A7007" t="inlineStr">
        <is>
          <t>Mozambique</t>
        </is>
      </c>
      <c r="B7007" t="inlineStr">
        <is>
          <t>MOZ</t>
        </is>
      </c>
      <c r="C7007" t="n">
        <v>2008</v>
      </c>
      <c r="D7007" t="n">
        <v>14.5028053002268</v>
      </c>
    </row>
    <row r="7008">
      <c r="A7008" t="inlineStr">
        <is>
          <t>Mozambique</t>
        </is>
      </c>
      <c r="B7008" t="inlineStr">
        <is>
          <t>MOZ</t>
        </is>
      </c>
      <c r="C7008" t="n">
        <v>2009</v>
      </c>
      <c r="D7008" t="n">
        <v>3.78861330914625</v>
      </c>
    </row>
    <row r="7009">
      <c r="A7009" t="inlineStr">
        <is>
          <t>Mozambique</t>
        </is>
      </c>
      <c r="B7009" t="inlineStr">
        <is>
          <t>MOZ</t>
        </is>
      </c>
      <c r="C7009" t="n">
        <v>2010</v>
      </c>
      <c r="D7009" t="n">
        <v>12.4255421735156</v>
      </c>
    </row>
    <row r="7010">
      <c r="A7010" t="inlineStr">
        <is>
          <t>Mozambique</t>
        </is>
      </c>
      <c r="B7010" t="inlineStr">
        <is>
          <t>MOZ</t>
        </is>
      </c>
      <c r="C7010" t="n">
        <v>2011</v>
      </c>
      <c r="D7010" t="n">
        <v>11.1666056127874</v>
      </c>
    </row>
    <row r="7011">
      <c r="A7011" t="inlineStr">
        <is>
          <t>Mozambique</t>
        </is>
      </c>
      <c r="B7011" t="inlineStr">
        <is>
          <t>MOZ</t>
        </is>
      </c>
      <c r="C7011" t="n">
        <v>2012</v>
      </c>
      <c r="D7011" t="n">
        <v>2.60245456956618</v>
      </c>
    </row>
    <row r="7012">
      <c r="A7012" t="inlineStr">
        <is>
          <t>Mozambique</t>
        </is>
      </c>
      <c r="B7012" t="inlineStr">
        <is>
          <t>MOZ</t>
        </is>
      </c>
      <c r="C7012" t="n">
        <v>2013</v>
      </c>
      <c r="D7012" t="n">
        <v>4.26135250941963</v>
      </c>
    </row>
    <row r="7013">
      <c r="A7013" t="inlineStr">
        <is>
          <t>Mozambique</t>
        </is>
      </c>
      <c r="B7013" t="inlineStr">
        <is>
          <t>MOZ</t>
        </is>
      </c>
      <c r="C7013" t="n">
        <v>2014</v>
      </c>
      <c r="D7013" t="n">
        <v>2.55974875844295</v>
      </c>
    </row>
    <row r="7014">
      <c r="A7014" t="inlineStr">
        <is>
          <t>Mozambique</t>
        </is>
      </c>
      <c r="B7014" t="inlineStr">
        <is>
          <t>MOZ</t>
        </is>
      </c>
      <c r="C7014" t="n">
        <v>2015</v>
      </c>
      <c r="D7014" t="n">
        <v>3.55075967356746</v>
      </c>
    </row>
    <row r="7015">
      <c r="A7015" t="inlineStr">
        <is>
          <t>Mozambique</t>
        </is>
      </c>
      <c r="B7015" t="inlineStr">
        <is>
          <t>MOZ</t>
        </is>
      </c>
      <c r="C7015" t="n">
        <v>2016</v>
      </c>
      <c r="D7015" t="n">
        <v>17.4180418197597</v>
      </c>
    </row>
    <row r="7016">
      <c r="A7016" t="inlineStr">
        <is>
          <t>Mozambique</t>
        </is>
      </c>
      <c r="B7016" t="inlineStr">
        <is>
          <t>MOZ</t>
        </is>
      </c>
      <c r="C7016" t="n">
        <v>2017</v>
      </c>
      <c r="D7016" t="n">
        <v>15.1132073899384</v>
      </c>
    </row>
    <row r="7017">
      <c r="A7017" t="inlineStr">
        <is>
          <t>Mozambique</t>
        </is>
      </c>
      <c r="B7017" t="inlineStr">
        <is>
          <t>MOZ</t>
        </is>
      </c>
      <c r="C7017" t="n">
        <v>2018</v>
      </c>
      <c r="D7017" t="n">
        <v>3.91133439990729</v>
      </c>
    </row>
    <row r="7018">
      <c r="A7018" t="inlineStr">
        <is>
          <t>Mozambique</t>
        </is>
      </c>
      <c r="B7018" t="inlineStr">
        <is>
          <t>MOZ</t>
        </is>
      </c>
      <c r="C7018" t="n">
        <v>2019</v>
      </c>
      <c r="D7018" t="n">
        <v>2.80270307928111</v>
      </c>
    </row>
    <row r="7019">
      <c r="A7019" t="inlineStr">
        <is>
          <t>Mozambique</t>
        </is>
      </c>
      <c r="B7019" t="inlineStr">
        <is>
          <t>MOZ</t>
        </is>
      </c>
      <c r="C7019" t="n">
        <v>2020</v>
      </c>
      <c r="D7019" t="n">
        <v>3.48393567493204</v>
      </c>
    </row>
    <row r="7020">
      <c r="A7020" t="inlineStr">
        <is>
          <t>Mozambique</t>
        </is>
      </c>
      <c r="B7020" t="inlineStr">
        <is>
          <t>MOZ</t>
        </is>
      </c>
      <c r="C7020" t="n">
        <v>2021</v>
      </c>
      <c r="D7020" t="n">
        <v>6.40847652975692</v>
      </c>
    </row>
    <row r="7021">
      <c r="A7021" t="inlineStr">
        <is>
          <t>Mozambique</t>
        </is>
      </c>
      <c r="B7021" t="inlineStr">
        <is>
          <t>MOZ</t>
        </is>
      </c>
      <c r="C7021" t="n">
        <v>2022</v>
      </c>
      <c r="D7021" t="n">
        <v>10.2794018093421</v>
      </c>
    </row>
    <row r="7022">
      <c r="A7022" t="inlineStr">
        <is>
          <t>Mozambique</t>
        </is>
      </c>
      <c r="B7022" t="inlineStr">
        <is>
          <t>MOZ</t>
        </is>
      </c>
      <c r="C7022" t="n">
        <v>2023</v>
      </c>
      <c r="D7022" t="n">
        <v>7.12697482131851</v>
      </c>
    </row>
    <row r="7023">
      <c r="A7023" t="inlineStr">
        <is>
          <t>Mauritania</t>
        </is>
      </c>
      <c r="B7023" t="inlineStr">
        <is>
          <t>MRT</t>
        </is>
      </c>
      <c r="C7023" t="n">
        <v>1986</v>
      </c>
      <c r="D7023" t="n">
        <v>7.4333333333332</v>
      </c>
    </row>
    <row r="7024">
      <c r="A7024" t="inlineStr">
        <is>
          <t>Mauritania</t>
        </is>
      </c>
      <c r="B7024" t="inlineStr">
        <is>
          <t>MRT</t>
        </is>
      </c>
      <c r="C7024" t="n">
        <v>1987</v>
      </c>
      <c r="D7024" t="n">
        <v>8.15234253800871</v>
      </c>
    </row>
    <row r="7025">
      <c r="A7025" t="inlineStr">
        <is>
          <t>Mauritania</t>
        </is>
      </c>
      <c r="B7025" t="inlineStr">
        <is>
          <t>MRT</t>
        </is>
      </c>
      <c r="C7025" t="n">
        <v>1988</v>
      </c>
      <c r="D7025" t="n">
        <v>1.31965861005482</v>
      </c>
    </row>
    <row r="7026">
      <c r="A7026" t="inlineStr">
        <is>
          <t>Mauritania</t>
        </is>
      </c>
      <c r="B7026" t="inlineStr">
        <is>
          <t>MRT</t>
        </is>
      </c>
      <c r="C7026" t="n">
        <v>1989</v>
      </c>
      <c r="D7026" t="n">
        <v>12.9326820981099</v>
      </c>
    </row>
    <row r="7027">
      <c r="A7027" t="inlineStr">
        <is>
          <t>Mauritania</t>
        </is>
      </c>
      <c r="B7027" t="inlineStr">
        <is>
          <t>MRT</t>
        </is>
      </c>
      <c r="C7027" t="n">
        <v>1990</v>
      </c>
      <c r="D7027" t="n">
        <v>6.60022564874018</v>
      </c>
    </row>
    <row r="7028">
      <c r="A7028" t="inlineStr">
        <is>
          <t>Mauritania</t>
        </is>
      </c>
      <c r="B7028" t="inlineStr">
        <is>
          <t>MRT</t>
        </is>
      </c>
      <c r="C7028" t="n">
        <v>1991</v>
      </c>
      <c r="D7028" t="n">
        <v>5.62866666666699</v>
      </c>
    </row>
    <row r="7029">
      <c r="A7029" t="inlineStr">
        <is>
          <t>Mauritania</t>
        </is>
      </c>
      <c r="B7029" t="inlineStr">
        <is>
          <t>MRT</t>
        </is>
      </c>
      <c r="C7029" t="n">
        <v>1992</v>
      </c>
      <c r="D7029" t="n">
        <v>10.141817562151</v>
      </c>
    </row>
    <row r="7030">
      <c r="A7030" t="inlineStr">
        <is>
          <t>Mauritania</t>
        </is>
      </c>
      <c r="B7030" t="inlineStr">
        <is>
          <t>MRT</t>
        </is>
      </c>
      <c r="C7030" t="n">
        <v>1993</v>
      </c>
      <c r="D7030" t="n">
        <v>9.370344159714611</v>
      </c>
    </row>
    <row r="7031">
      <c r="A7031" t="inlineStr">
        <is>
          <t>Mauritania</t>
        </is>
      </c>
      <c r="B7031" t="inlineStr">
        <is>
          <t>MRT</t>
        </is>
      </c>
      <c r="C7031" t="n">
        <v>1994</v>
      </c>
      <c r="D7031" t="n">
        <v>4.12825861295442</v>
      </c>
    </row>
    <row r="7032">
      <c r="A7032" t="inlineStr">
        <is>
          <t>Mauritania</t>
        </is>
      </c>
      <c r="B7032" t="inlineStr">
        <is>
          <t>MRT</t>
        </is>
      </c>
      <c r="C7032" t="n">
        <v>1995</v>
      </c>
      <c r="D7032" t="n">
        <v>6.54379068524171</v>
      </c>
    </row>
    <row r="7033">
      <c r="A7033" t="inlineStr">
        <is>
          <t>Mauritania</t>
        </is>
      </c>
      <c r="B7033" t="inlineStr">
        <is>
          <t>MRT</t>
        </is>
      </c>
      <c r="C7033" t="n">
        <v>1996</v>
      </c>
      <c r="D7033" t="n">
        <v>4.68130623916413</v>
      </c>
    </row>
    <row r="7034">
      <c r="A7034" t="inlineStr">
        <is>
          <t>Mauritania</t>
        </is>
      </c>
      <c r="B7034" t="inlineStr">
        <is>
          <t>MRT</t>
        </is>
      </c>
      <c r="C7034" t="n">
        <v>1997</v>
      </c>
      <c r="D7034" t="n">
        <v>4.62534695318394</v>
      </c>
    </row>
    <row r="7035">
      <c r="A7035" t="inlineStr">
        <is>
          <t>Mauritania</t>
        </is>
      </c>
      <c r="B7035" t="inlineStr">
        <is>
          <t>MRT</t>
        </is>
      </c>
      <c r="C7035" t="n">
        <v>1998</v>
      </c>
      <c r="D7035" t="n">
        <v>8.03166665498858</v>
      </c>
    </row>
    <row r="7036">
      <c r="A7036" t="inlineStr">
        <is>
          <t>Mauritania</t>
        </is>
      </c>
      <c r="B7036" t="inlineStr">
        <is>
          <t>MRT</t>
        </is>
      </c>
      <c r="C7036" t="n">
        <v>1999</v>
      </c>
      <c r="D7036" t="n">
        <v>4.07417613596754</v>
      </c>
    </row>
    <row r="7037">
      <c r="A7037" t="inlineStr">
        <is>
          <t>Mauritania</t>
        </is>
      </c>
      <c r="B7037" t="inlineStr">
        <is>
          <t>MRT</t>
        </is>
      </c>
      <c r="C7037" t="n">
        <v>2000</v>
      </c>
      <c r="D7037" t="n">
        <v>3.25406745833358</v>
      </c>
    </row>
    <row r="7038">
      <c r="A7038" t="inlineStr">
        <is>
          <t>Mauritania</t>
        </is>
      </c>
      <c r="B7038" t="inlineStr">
        <is>
          <t>MRT</t>
        </is>
      </c>
      <c r="C7038" t="n">
        <v>2001</v>
      </c>
      <c r="D7038" t="n">
        <v>4.7148963468961</v>
      </c>
    </row>
    <row r="7039">
      <c r="A7039" t="inlineStr">
        <is>
          <t>Mauritania</t>
        </is>
      </c>
      <c r="B7039" t="inlineStr">
        <is>
          <t>MRT</t>
        </is>
      </c>
      <c r="C7039" t="n">
        <v>2002</v>
      </c>
      <c r="D7039" t="n">
        <v>3.8957052575849</v>
      </c>
    </row>
    <row r="7040">
      <c r="A7040" t="inlineStr">
        <is>
          <t>Mauritania</t>
        </is>
      </c>
      <c r="B7040" t="inlineStr">
        <is>
          <t>MRT</t>
        </is>
      </c>
      <c r="C7040" t="n">
        <v>2003</v>
      </c>
      <c r="D7040" t="n">
        <v>5.15190150769578</v>
      </c>
    </row>
    <row r="7041">
      <c r="A7041" t="inlineStr">
        <is>
          <t>Mauritania</t>
        </is>
      </c>
      <c r="B7041" t="inlineStr">
        <is>
          <t>MRT</t>
        </is>
      </c>
      <c r="C7041" t="n">
        <v>2004</v>
      </c>
      <c r="D7041" t="n">
        <v>10.3676233473073</v>
      </c>
    </row>
    <row r="7042">
      <c r="A7042" t="inlineStr">
        <is>
          <t>Mauritania</t>
        </is>
      </c>
      <c r="B7042" t="inlineStr">
        <is>
          <t>MRT</t>
        </is>
      </c>
      <c r="C7042" t="n">
        <v>2005</v>
      </c>
      <c r="D7042" t="n">
        <v>12.1256487185541</v>
      </c>
    </row>
    <row r="7043">
      <c r="A7043" t="inlineStr">
        <is>
          <t>Mauritania</t>
        </is>
      </c>
      <c r="B7043" t="inlineStr">
        <is>
          <t>MRT</t>
        </is>
      </c>
      <c r="C7043" t="n">
        <v>2006</v>
      </c>
      <c r="D7043" t="n">
        <v>6.2410332814282</v>
      </c>
    </row>
    <row r="7044">
      <c r="A7044" t="inlineStr">
        <is>
          <t>Mauritania</t>
        </is>
      </c>
      <c r="B7044" t="inlineStr">
        <is>
          <t>MRT</t>
        </is>
      </c>
      <c r="C7044" t="n">
        <v>2007</v>
      </c>
      <c r="D7044" t="n">
        <v>7.25410841304887</v>
      </c>
    </row>
    <row r="7045">
      <c r="A7045" t="inlineStr">
        <is>
          <t>Mauritania</t>
        </is>
      </c>
      <c r="B7045" t="inlineStr">
        <is>
          <t>MRT</t>
        </is>
      </c>
      <c r="C7045" t="n">
        <v>2008</v>
      </c>
      <c r="D7045" t="n">
        <v>7.34663541249786</v>
      </c>
    </row>
    <row r="7046">
      <c r="A7046" t="inlineStr">
        <is>
          <t>Mauritania</t>
        </is>
      </c>
      <c r="B7046" t="inlineStr">
        <is>
          <t>MRT</t>
        </is>
      </c>
      <c r="C7046" t="n">
        <v>2009</v>
      </c>
      <c r="D7046" t="n">
        <v>2.22092032381779</v>
      </c>
    </row>
    <row r="7047">
      <c r="A7047" t="inlineStr">
        <is>
          <t>Mauritania</t>
        </is>
      </c>
      <c r="B7047" t="inlineStr">
        <is>
          <t>MRT</t>
        </is>
      </c>
      <c r="C7047" t="n">
        <v>2010</v>
      </c>
      <c r="D7047" t="n">
        <v>6.28354087427704</v>
      </c>
    </row>
    <row r="7048">
      <c r="A7048" t="inlineStr">
        <is>
          <t>Mauritania</t>
        </is>
      </c>
      <c r="B7048" t="inlineStr">
        <is>
          <t>MRT</t>
        </is>
      </c>
      <c r="C7048" t="n">
        <v>2011</v>
      </c>
      <c r="D7048" t="n">
        <v>5.68631959575954</v>
      </c>
    </row>
    <row r="7049">
      <c r="A7049" t="inlineStr">
        <is>
          <t>Mauritania</t>
        </is>
      </c>
      <c r="B7049" t="inlineStr">
        <is>
          <t>MRT</t>
        </is>
      </c>
      <c r="C7049" t="n">
        <v>2012</v>
      </c>
      <c r="D7049" t="n">
        <v>4.90242727217997</v>
      </c>
    </row>
    <row r="7050">
      <c r="A7050" t="inlineStr">
        <is>
          <t>Mauritania</t>
        </is>
      </c>
      <c r="B7050" t="inlineStr">
        <is>
          <t>MRT</t>
        </is>
      </c>
      <c r="C7050" t="n">
        <v>2013</v>
      </c>
      <c r="D7050" t="n">
        <v>4.12910173783393</v>
      </c>
    </row>
    <row r="7051">
      <c r="A7051" t="inlineStr">
        <is>
          <t>Mauritania</t>
        </is>
      </c>
      <c r="B7051" t="inlineStr">
        <is>
          <t>MRT</t>
        </is>
      </c>
      <c r="C7051" t="n">
        <v>2014</v>
      </c>
      <c r="D7051" t="n">
        <v>3.53436856147324</v>
      </c>
    </row>
    <row r="7052">
      <c r="A7052" t="inlineStr">
        <is>
          <t>Mauritania</t>
        </is>
      </c>
      <c r="B7052" t="inlineStr">
        <is>
          <t>MRT</t>
        </is>
      </c>
      <c r="C7052" t="n">
        <v>2015</v>
      </c>
      <c r="D7052" t="n">
        <v>3.25472688117631</v>
      </c>
    </row>
    <row r="7053">
      <c r="A7053" t="inlineStr">
        <is>
          <t>Mauritania</t>
        </is>
      </c>
      <c r="B7053" t="inlineStr">
        <is>
          <t>MRT</t>
        </is>
      </c>
      <c r="C7053" t="n">
        <v>2016</v>
      </c>
      <c r="D7053" t="n">
        <v>1.47171045650004</v>
      </c>
    </row>
    <row r="7054">
      <c r="A7054" t="inlineStr">
        <is>
          <t>Mauritania</t>
        </is>
      </c>
      <c r="B7054" t="inlineStr">
        <is>
          <t>MRT</t>
        </is>
      </c>
      <c r="C7054" t="n">
        <v>2017</v>
      </c>
      <c r="D7054" t="n">
        <v>2.25427651934813</v>
      </c>
    </row>
    <row r="7055">
      <c r="A7055" t="inlineStr">
        <is>
          <t>Mauritania</t>
        </is>
      </c>
      <c r="B7055" t="inlineStr">
        <is>
          <t>MRT</t>
        </is>
      </c>
      <c r="C7055" t="n">
        <v>2018</v>
      </c>
      <c r="D7055" t="n">
        <v>3.06735996058356</v>
      </c>
    </row>
    <row r="7056">
      <c r="A7056" t="inlineStr">
        <is>
          <t>Mauritania</t>
        </is>
      </c>
      <c r="B7056" t="inlineStr">
        <is>
          <t>MRT</t>
        </is>
      </c>
      <c r="C7056" t="n">
        <v>2019</v>
      </c>
      <c r="D7056" t="n">
        <v>2.30009262117937</v>
      </c>
    </row>
    <row r="7057">
      <c r="A7057" t="inlineStr">
        <is>
          <t>Mauritania</t>
        </is>
      </c>
      <c r="B7057" t="inlineStr">
        <is>
          <t>MRT</t>
        </is>
      </c>
      <c r="C7057" t="n">
        <v>2020</v>
      </c>
      <c r="D7057" t="n">
        <v>2.3856948845632</v>
      </c>
    </row>
    <row r="7058">
      <c r="A7058" t="inlineStr">
        <is>
          <t>Mauritania</t>
        </is>
      </c>
      <c r="B7058" t="inlineStr">
        <is>
          <t>MRT</t>
        </is>
      </c>
      <c r="C7058" t="n">
        <v>2021</v>
      </c>
      <c r="D7058" t="n">
        <v>3.56516484650185</v>
      </c>
    </row>
    <row r="7059">
      <c r="A7059" t="inlineStr">
        <is>
          <t>Mauritania</t>
        </is>
      </c>
      <c r="B7059" t="inlineStr">
        <is>
          <t>MRT</t>
        </is>
      </c>
      <c r="C7059" t="n">
        <v>2022</v>
      </c>
      <c r="D7059" t="n">
        <v>9.52526628622843</v>
      </c>
    </row>
    <row r="7060">
      <c r="A7060" t="inlineStr">
        <is>
          <t>Mauritania</t>
        </is>
      </c>
      <c r="B7060" t="inlineStr">
        <is>
          <t>MRT</t>
        </is>
      </c>
      <c r="C7060" t="n">
        <v>2023</v>
      </c>
      <c r="D7060" t="n">
        <v>4.95305034506872</v>
      </c>
    </row>
    <row r="7061">
      <c r="A7061" t="inlineStr">
        <is>
          <t>Mauritius</t>
        </is>
      </c>
      <c r="B7061" t="inlineStr">
        <is>
          <t>MUS</t>
        </is>
      </c>
      <c r="C7061" t="n">
        <v>1964</v>
      </c>
      <c r="D7061" t="n">
        <v>1.89557417281005</v>
      </c>
    </row>
    <row r="7062">
      <c r="A7062" t="inlineStr">
        <is>
          <t>Mauritius</t>
        </is>
      </c>
      <c r="B7062" t="inlineStr">
        <is>
          <t>MUS</t>
        </is>
      </c>
      <c r="C7062" t="n">
        <v>1965</v>
      </c>
      <c r="D7062" t="n">
        <v>1.78556598298218</v>
      </c>
    </row>
    <row r="7063">
      <c r="A7063" t="inlineStr">
        <is>
          <t>Mauritius</t>
        </is>
      </c>
      <c r="B7063" t="inlineStr">
        <is>
          <t>MUS</t>
        </is>
      </c>
      <c r="C7063" t="n">
        <v>1966</v>
      </c>
      <c r="D7063" t="n">
        <v>2.50489556095845</v>
      </c>
    </row>
    <row r="7064">
      <c r="A7064" t="inlineStr">
        <is>
          <t>Mauritius</t>
        </is>
      </c>
      <c r="B7064" t="inlineStr">
        <is>
          <t>MUS</t>
        </is>
      </c>
      <c r="C7064" t="n">
        <v>1967</v>
      </c>
      <c r="D7064" t="n">
        <v>1.87853219781652</v>
      </c>
    </row>
    <row r="7065">
      <c r="A7065" t="inlineStr">
        <is>
          <t>Mauritius</t>
        </is>
      </c>
      <c r="B7065" t="inlineStr">
        <is>
          <t>MUS</t>
        </is>
      </c>
      <c r="C7065" t="n">
        <v>1968</v>
      </c>
      <c r="D7065" t="n">
        <v>6.97710758672967</v>
      </c>
    </row>
    <row r="7066">
      <c r="A7066" t="inlineStr">
        <is>
          <t>Mauritius</t>
        </is>
      </c>
      <c r="B7066" t="inlineStr">
        <is>
          <t>MUS</t>
        </is>
      </c>
      <c r="C7066" t="n">
        <v>1969</v>
      </c>
      <c r="D7066" t="n">
        <v>2.31522056676475</v>
      </c>
    </row>
    <row r="7067">
      <c r="A7067" t="inlineStr">
        <is>
          <t>Mauritius</t>
        </is>
      </c>
      <c r="B7067" t="inlineStr">
        <is>
          <t>MUS</t>
        </is>
      </c>
      <c r="C7067" t="n">
        <v>1970</v>
      </c>
      <c r="D7067" t="n">
        <v>1.54186594325664</v>
      </c>
    </row>
    <row r="7068">
      <c r="A7068" t="inlineStr">
        <is>
          <t>Mauritius</t>
        </is>
      </c>
      <c r="B7068" t="inlineStr">
        <is>
          <t>MUS</t>
        </is>
      </c>
      <c r="C7068" t="n">
        <v>1971</v>
      </c>
      <c r="D7068" t="n">
        <v>0.316344463692539</v>
      </c>
    </row>
    <row r="7069">
      <c r="A7069" t="inlineStr">
        <is>
          <t>Mauritius</t>
        </is>
      </c>
      <c r="B7069" t="inlineStr">
        <is>
          <t>MUS</t>
        </is>
      </c>
      <c r="C7069" t="n">
        <v>1972</v>
      </c>
      <c r="D7069" t="n">
        <v>5.39593552933407</v>
      </c>
    </row>
    <row r="7070">
      <c r="A7070" t="inlineStr">
        <is>
          <t>Mauritius</t>
        </is>
      </c>
      <c r="B7070" t="inlineStr">
        <is>
          <t>MUS</t>
        </is>
      </c>
      <c r="C7070" t="n">
        <v>1973</v>
      </c>
      <c r="D7070" t="n">
        <v>13.4507978726776</v>
      </c>
    </row>
    <row r="7071">
      <c r="A7071" t="inlineStr">
        <is>
          <t>Mauritius</t>
        </is>
      </c>
      <c r="B7071" t="inlineStr">
        <is>
          <t>MUS</t>
        </is>
      </c>
      <c r="C7071" t="n">
        <v>1974</v>
      </c>
      <c r="D7071" t="n">
        <v>29.115630311092</v>
      </c>
    </row>
    <row r="7072">
      <c r="A7072" t="inlineStr">
        <is>
          <t>Mauritius</t>
        </is>
      </c>
      <c r="B7072" t="inlineStr">
        <is>
          <t>MUS</t>
        </is>
      </c>
      <c r="C7072" t="n">
        <v>1975</v>
      </c>
      <c r="D7072" t="n">
        <v>14.738323271755</v>
      </c>
    </row>
    <row r="7073">
      <c r="A7073" t="inlineStr">
        <is>
          <t>Mauritius</t>
        </is>
      </c>
      <c r="B7073" t="inlineStr">
        <is>
          <t>MUS</t>
        </is>
      </c>
      <c r="C7073" t="n">
        <v>1976</v>
      </c>
      <c r="D7073" t="n">
        <v>12.9557291671836</v>
      </c>
    </row>
    <row r="7074">
      <c r="A7074" t="inlineStr">
        <is>
          <t>Mauritius</t>
        </is>
      </c>
      <c r="B7074" t="inlineStr">
        <is>
          <t>MUS</t>
        </is>
      </c>
      <c r="C7074" t="n">
        <v>1977</v>
      </c>
      <c r="D7074" t="n">
        <v>9.17249897074802</v>
      </c>
    </row>
    <row r="7075">
      <c r="A7075" t="inlineStr">
        <is>
          <t>Mauritius</t>
        </is>
      </c>
      <c r="B7075" t="inlineStr">
        <is>
          <t>MUS</t>
        </is>
      </c>
      <c r="C7075" t="n">
        <v>1978</v>
      </c>
      <c r="D7075" t="n">
        <v>8.54513915082283</v>
      </c>
    </row>
    <row r="7076">
      <c r="A7076" t="inlineStr">
        <is>
          <t>Mauritius</t>
        </is>
      </c>
      <c r="B7076" t="inlineStr">
        <is>
          <t>MUS</t>
        </is>
      </c>
      <c r="C7076" t="n">
        <v>1979</v>
      </c>
      <c r="D7076" t="n">
        <v>14.4663702058304</v>
      </c>
    </row>
    <row r="7077">
      <c r="A7077" t="inlineStr">
        <is>
          <t>Mauritius</t>
        </is>
      </c>
      <c r="B7077" t="inlineStr">
        <is>
          <t>MUS</t>
        </is>
      </c>
      <c r="C7077" t="n">
        <v>1980</v>
      </c>
      <c r="D7077" t="n">
        <v>41.9995143865698</v>
      </c>
    </row>
    <row r="7078">
      <c r="A7078" t="inlineStr">
        <is>
          <t>Mauritius</t>
        </is>
      </c>
      <c r="B7078" t="inlineStr">
        <is>
          <t>MUS</t>
        </is>
      </c>
      <c r="C7078" t="n">
        <v>1981</v>
      </c>
      <c r="D7078" t="n">
        <v>14.4615910742106</v>
      </c>
    </row>
    <row r="7079">
      <c r="A7079" t="inlineStr">
        <is>
          <t>Mauritius</t>
        </is>
      </c>
      <c r="B7079" t="inlineStr">
        <is>
          <t>MUS</t>
        </is>
      </c>
      <c r="C7079" t="n">
        <v>1982</v>
      </c>
      <c r="D7079" t="n">
        <v>11.4156931283652</v>
      </c>
    </row>
    <row r="7080">
      <c r="A7080" t="inlineStr">
        <is>
          <t>Mauritius</t>
        </is>
      </c>
      <c r="B7080" t="inlineStr">
        <is>
          <t>MUS</t>
        </is>
      </c>
      <c r="C7080" t="n">
        <v>1983</v>
      </c>
      <c r="D7080" t="n">
        <v>5.58949801843945</v>
      </c>
    </row>
    <row r="7081">
      <c r="A7081" t="inlineStr">
        <is>
          <t>Mauritius</t>
        </is>
      </c>
      <c r="B7081" t="inlineStr">
        <is>
          <t>MUS</t>
        </is>
      </c>
      <c r="C7081" t="n">
        <v>1984</v>
      </c>
      <c r="D7081" t="n">
        <v>7.3891625616946</v>
      </c>
    </row>
    <row r="7082">
      <c r="A7082" t="inlineStr">
        <is>
          <t>Mauritius</t>
        </is>
      </c>
      <c r="B7082" t="inlineStr">
        <is>
          <t>MUS</t>
        </is>
      </c>
      <c r="C7082" t="n">
        <v>1985</v>
      </c>
      <c r="D7082" t="n">
        <v>6.69870394658498</v>
      </c>
    </row>
    <row r="7083">
      <c r="A7083" t="inlineStr">
        <is>
          <t>Mauritius</t>
        </is>
      </c>
      <c r="B7083" t="inlineStr">
        <is>
          <t>MUS</t>
        </is>
      </c>
      <c r="C7083" t="n">
        <v>1986</v>
      </c>
      <c r="D7083" t="n">
        <v>1.63265306122486</v>
      </c>
    </row>
    <row r="7084">
      <c r="A7084" t="inlineStr">
        <is>
          <t>Mauritius</t>
        </is>
      </c>
      <c r="B7084" t="inlineStr">
        <is>
          <t>MUS</t>
        </is>
      </c>
      <c r="C7084" t="n">
        <v>1987</v>
      </c>
      <c r="D7084" t="n">
        <v>0.518741633199852</v>
      </c>
    </row>
    <row r="7085">
      <c r="A7085" t="inlineStr">
        <is>
          <t>Mauritius</t>
        </is>
      </c>
      <c r="B7085" t="inlineStr">
        <is>
          <t>MUS</t>
        </is>
      </c>
      <c r="C7085" t="n">
        <v>1988</v>
      </c>
      <c r="D7085" t="n">
        <v>9.159314133510589</v>
      </c>
    </row>
    <row r="7086">
      <c r="A7086" t="inlineStr">
        <is>
          <t>Mauritius</t>
        </is>
      </c>
      <c r="B7086" t="inlineStr">
        <is>
          <t>MUS</t>
        </is>
      </c>
      <c r="C7086" t="n">
        <v>1989</v>
      </c>
      <c r="D7086" t="n">
        <v>12.670042091136</v>
      </c>
    </row>
    <row r="7087">
      <c r="A7087" t="inlineStr">
        <is>
          <t>Mauritius</t>
        </is>
      </c>
      <c r="B7087" t="inlineStr">
        <is>
          <t>MUS</t>
        </is>
      </c>
      <c r="C7087" t="n">
        <v>1990</v>
      </c>
      <c r="D7087" t="n">
        <v>13.4880887926371</v>
      </c>
    </row>
    <row r="7088">
      <c r="A7088" t="inlineStr">
        <is>
          <t>Mauritius</t>
        </is>
      </c>
      <c r="B7088" t="inlineStr">
        <is>
          <t>MUS</t>
        </is>
      </c>
      <c r="C7088" t="n">
        <v>1991</v>
      </c>
      <c r="D7088" t="n">
        <v>7.00101377541886</v>
      </c>
    </row>
    <row r="7089">
      <c r="A7089" t="inlineStr">
        <is>
          <t>Mauritius</t>
        </is>
      </c>
      <c r="B7089" t="inlineStr">
        <is>
          <t>MUS</t>
        </is>
      </c>
      <c r="C7089" t="n">
        <v>1992</v>
      </c>
      <c r="D7089" t="n">
        <v>4.64351929883709</v>
      </c>
    </row>
    <row r="7090">
      <c r="A7090" t="inlineStr">
        <is>
          <t>Mauritius</t>
        </is>
      </c>
      <c r="B7090" t="inlineStr">
        <is>
          <t>MUS</t>
        </is>
      </c>
      <c r="C7090" t="n">
        <v>1993</v>
      </c>
      <c r="D7090" t="n">
        <v>10.5178384472895</v>
      </c>
    </row>
    <row r="7091">
      <c r="A7091" t="inlineStr">
        <is>
          <t>Mauritius</t>
        </is>
      </c>
      <c r="B7091" t="inlineStr">
        <is>
          <t>MUS</t>
        </is>
      </c>
      <c r="C7091" t="n">
        <v>1994</v>
      </c>
      <c r="D7091" t="n">
        <v>7.32347154412294</v>
      </c>
    </row>
    <row r="7092">
      <c r="A7092" t="inlineStr">
        <is>
          <t>Mauritius</t>
        </is>
      </c>
      <c r="B7092" t="inlineStr">
        <is>
          <t>MUS</t>
        </is>
      </c>
      <c r="C7092" t="n">
        <v>1995</v>
      </c>
      <c r="D7092" t="n">
        <v>6.02933188484532</v>
      </c>
    </row>
    <row r="7093">
      <c r="A7093" t="inlineStr">
        <is>
          <t>Mauritius</t>
        </is>
      </c>
      <c r="B7093" t="inlineStr">
        <is>
          <t>MUS</t>
        </is>
      </c>
      <c r="C7093" t="n">
        <v>1996</v>
      </c>
      <c r="D7093" t="n">
        <v>6.55097336065571</v>
      </c>
    </row>
    <row r="7094">
      <c r="A7094" t="inlineStr">
        <is>
          <t>Mauritius</t>
        </is>
      </c>
      <c r="B7094" t="inlineStr">
        <is>
          <t>MUS</t>
        </is>
      </c>
      <c r="C7094" t="n">
        <v>1997</v>
      </c>
      <c r="D7094" t="n">
        <v>6.83334334996105</v>
      </c>
    </row>
    <row r="7095">
      <c r="A7095" t="inlineStr">
        <is>
          <t>Mauritius</t>
        </is>
      </c>
      <c r="B7095" t="inlineStr">
        <is>
          <t>MUS</t>
        </is>
      </c>
      <c r="C7095" t="n">
        <v>1998</v>
      </c>
      <c r="D7095" t="n">
        <v>6.81079323797192</v>
      </c>
    </row>
    <row r="7096">
      <c r="A7096" t="inlineStr">
        <is>
          <t>Mauritius</t>
        </is>
      </c>
      <c r="B7096" t="inlineStr">
        <is>
          <t>MUS</t>
        </is>
      </c>
      <c r="C7096" t="n">
        <v>1999</v>
      </c>
      <c r="D7096" t="n">
        <v>6.90914624866778</v>
      </c>
    </row>
    <row r="7097">
      <c r="A7097" t="inlineStr">
        <is>
          <t>Mauritius</t>
        </is>
      </c>
      <c r="B7097" t="inlineStr">
        <is>
          <t>MUS</t>
        </is>
      </c>
      <c r="C7097" t="n">
        <v>2000</v>
      </c>
      <c r="D7097" t="n">
        <v>4.19928825622803</v>
      </c>
    </row>
    <row r="7098">
      <c r="A7098" t="inlineStr">
        <is>
          <t>Mauritius</t>
        </is>
      </c>
      <c r="B7098" t="inlineStr">
        <is>
          <t>MUS</t>
        </is>
      </c>
      <c r="C7098" t="n">
        <v>2001</v>
      </c>
      <c r="D7098" t="n">
        <v>5.3893442622951</v>
      </c>
    </row>
    <row r="7099">
      <c r="A7099" t="inlineStr">
        <is>
          <t>Mauritius</t>
        </is>
      </c>
      <c r="B7099" t="inlineStr">
        <is>
          <t>MUS</t>
        </is>
      </c>
      <c r="C7099" t="n">
        <v>2002</v>
      </c>
      <c r="D7099" t="n">
        <v>6.41933372221151</v>
      </c>
    </row>
    <row r="7100">
      <c r="A7100" t="inlineStr">
        <is>
          <t>Mauritius</t>
        </is>
      </c>
      <c r="B7100" t="inlineStr">
        <is>
          <t>MUS</t>
        </is>
      </c>
      <c r="C7100" t="n">
        <v>2003</v>
      </c>
      <c r="D7100" t="n">
        <v>3.92105357558198</v>
      </c>
    </row>
    <row r="7101">
      <c r="A7101" t="inlineStr">
        <is>
          <t>Mauritius</t>
        </is>
      </c>
      <c r="B7101" t="inlineStr">
        <is>
          <t>MUS</t>
        </is>
      </c>
      <c r="C7101" t="n">
        <v>2004</v>
      </c>
      <c r="D7101" t="n">
        <v>4.71037060105879</v>
      </c>
    </row>
    <row r="7102">
      <c r="A7102" t="inlineStr">
        <is>
          <t>Mauritius</t>
        </is>
      </c>
      <c r="B7102" t="inlineStr">
        <is>
          <t>MUS</t>
        </is>
      </c>
      <c r="C7102" t="n">
        <v>2005</v>
      </c>
      <c r="D7102" t="n">
        <v>4.93717004981786</v>
      </c>
    </row>
    <row r="7103">
      <c r="A7103" t="inlineStr">
        <is>
          <t>Mauritius</t>
        </is>
      </c>
      <c r="B7103" t="inlineStr">
        <is>
          <t>MUS</t>
        </is>
      </c>
      <c r="C7103" t="n">
        <v>2006</v>
      </c>
      <c r="D7103" t="n">
        <v>8.91350105650141</v>
      </c>
    </row>
    <row r="7104">
      <c r="A7104" t="inlineStr">
        <is>
          <t>Mauritius</t>
        </is>
      </c>
      <c r="B7104" t="inlineStr">
        <is>
          <t>MUS</t>
        </is>
      </c>
      <c r="C7104" t="n">
        <v>2007</v>
      </c>
      <c r="D7104" t="n">
        <v>8.827292723932979</v>
      </c>
    </row>
    <row r="7105">
      <c r="A7105" t="inlineStr">
        <is>
          <t>Mauritius</t>
        </is>
      </c>
      <c r="B7105" t="inlineStr">
        <is>
          <t>MUS</t>
        </is>
      </c>
      <c r="C7105" t="n">
        <v>2008</v>
      </c>
      <c r="D7105" t="n">
        <v>9.732283171468829</v>
      </c>
    </row>
    <row r="7106">
      <c r="A7106" t="inlineStr">
        <is>
          <t>Mauritius</t>
        </is>
      </c>
      <c r="B7106" t="inlineStr">
        <is>
          <t>MUS</t>
        </is>
      </c>
      <c r="C7106" t="n">
        <v>2009</v>
      </c>
      <c r="D7106" t="n">
        <v>2.51609128145118</v>
      </c>
    </row>
    <row r="7107">
      <c r="A7107" t="inlineStr">
        <is>
          <t>Mauritius</t>
        </is>
      </c>
      <c r="B7107" t="inlineStr">
        <is>
          <t>MUS</t>
        </is>
      </c>
      <c r="C7107" t="n">
        <v>2010</v>
      </c>
      <c r="D7107" t="n">
        <v>2.93236301369854</v>
      </c>
    </row>
    <row r="7108">
      <c r="A7108" t="inlineStr">
        <is>
          <t>Mauritius</t>
        </is>
      </c>
      <c r="B7108" t="inlineStr">
        <is>
          <t>MUS</t>
        </is>
      </c>
      <c r="C7108" t="n">
        <v>2011</v>
      </c>
      <c r="D7108" t="n">
        <v>6.52249254869342</v>
      </c>
    </row>
    <row r="7109">
      <c r="A7109" t="inlineStr">
        <is>
          <t>Mauritius</t>
        </is>
      </c>
      <c r="B7109" t="inlineStr">
        <is>
          <t>MUS</t>
        </is>
      </c>
      <c r="C7109" t="n">
        <v>2012</v>
      </c>
      <c r="D7109" t="n">
        <v>3.85216033315983</v>
      </c>
    </row>
    <row r="7110">
      <c r="A7110" t="inlineStr">
        <is>
          <t>Mauritius</t>
        </is>
      </c>
      <c r="B7110" t="inlineStr">
        <is>
          <t>MUS</t>
        </is>
      </c>
      <c r="C7110" t="n">
        <v>2013</v>
      </c>
      <c r="D7110" t="n">
        <v>3.54329573934839</v>
      </c>
    </row>
    <row r="7111">
      <c r="A7111" t="inlineStr">
        <is>
          <t>Mauritius</t>
        </is>
      </c>
      <c r="B7111" t="inlineStr">
        <is>
          <t>MUS</t>
        </is>
      </c>
      <c r="C7111" t="n">
        <v>2014</v>
      </c>
      <c r="D7111" t="n">
        <v>3.21769191994684</v>
      </c>
    </row>
    <row r="7112">
      <c r="A7112" t="inlineStr">
        <is>
          <t>Mauritius</t>
        </is>
      </c>
      <c r="B7112" t="inlineStr">
        <is>
          <t>MUS</t>
        </is>
      </c>
      <c r="C7112" t="n">
        <v>2015</v>
      </c>
      <c r="D7112" t="n">
        <v>1.28654970760232</v>
      </c>
    </row>
    <row r="7113">
      <c r="A7113" t="inlineStr">
        <is>
          <t>Mauritius</t>
        </is>
      </c>
      <c r="B7113" t="inlineStr">
        <is>
          <t>MUS</t>
        </is>
      </c>
      <c r="C7113" t="n">
        <v>2016</v>
      </c>
      <c r="D7113" t="n">
        <v>0.977675134719049</v>
      </c>
    </row>
    <row r="7114">
      <c r="A7114" t="inlineStr">
        <is>
          <t>Mauritius</t>
        </is>
      </c>
      <c r="B7114" t="inlineStr">
        <is>
          <t>MUS</t>
        </is>
      </c>
      <c r="C7114" t="n">
        <v>2017</v>
      </c>
      <c r="D7114" t="n">
        <v>3.66699702675908</v>
      </c>
    </row>
    <row r="7115">
      <c r="A7115" t="inlineStr">
        <is>
          <t>Mauritius</t>
        </is>
      </c>
      <c r="B7115" t="inlineStr">
        <is>
          <t>MUS</t>
        </is>
      </c>
      <c r="C7115" t="n">
        <v>2018</v>
      </c>
      <c r="D7115" t="n">
        <v>3.21605383144587</v>
      </c>
    </row>
    <row r="7116">
      <c r="A7116" t="inlineStr">
        <is>
          <t>Mauritius</t>
        </is>
      </c>
      <c r="B7116" t="inlineStr">
        <is>
          <t>MUS</t>
        </is>
      </c>
      <c r="C7116" t="n">
        <v>2019</v>
      </c>
      <c r="D7116" t="n">
        <v>0.405655190309553</v>
      </c>
    </row>
    <row r="7117">
      <c r="A7117" t="inlineStr">
        <is>
          <t>Mauritius</t>
        </is>
      </c>
      <c r="B7117" t="inlineStr">
        <is>
          <t>MUS</t>
        </is>
      </c>
      <c r="C7117" t="n">
        <v>2020</v>
      </c>
      <c r="D7117" t="n">
        <v>2.58080077182822</v>
      </c>
    </row>
    <row r="7118">
      <c r="A7118" t="inlineStr">
        <is>
          <t>Mauritius</t>
        </is>
      </c>
      <c r="B7118" t="inlineStr">
        <is>
          <t>MUS</t>
        </is>
      </c>
      <c r="C7118" t="n">
        <v>2021</v>
      </c>
      <c r="D7118" t="n">
        <v>4.02852888157383</v>
      </c>
    </row>
    <row r="7119">
      <c r="A7119" t="inlineStr">
        <is>
          <t>Mauritius</t>
        </is>
      </c>
      <c r="B7119" t="inlineStr">
        <is>
          <t>MUS</t>
        </is>
      </c>
      <c r="C7119" t="n">
        <v>2022</v>
      </c>
      <c r="D7119" t="n">
        <v>10.7737512242899</v>
      </c>
    </row>
    <row r="7120">
      <c r="A7120" t="inlineStr">
        <is>
          <t>Mauritius</t>
        </is>
      </c>
      <c r="B7120" t="inlineStr">
        <is>
          <t>MUS</t>
        </is>
      </c>
      <c r="C7120" t="n">
        <v>2023</v>
      </c>
      <c r="D7120" t="n">
        <v>7.05298238454735</v>
      </c>
    </row>
    <row r="7121">
      <c r="A7121" t="inlineStr">
        <is>
          <t>Mauritius</t>
        </is>
      </c>
      <c r="B7121" t="inlineStr">
        <is>
          <t>MUS</t>
        </is>
      </c>
      <c r="C7121" t="n">
        <v>2024</v>
      </c>
      <c r="D7121" t="n">
        <v>4.10263226568006</v>
      </c>
    </row>
    <row r="7122">
      <c r="A7122" t="inlineStr">
        <is>
          <t>Malawi</t>
        </is>
      </c>
      <c r="B7122" t="inlineStr">
        <is>
          <t>MWI</t>
        </is>
      </c>
      <c r="C7122" t="n">
        <v>1981</v>
      </c>
      <c r="D7122" t="n">
        <v>11.8146975500212</v>
      </c>
    </row>
    <row r="7123">
      <c r="A7123" t="inlineStr">
        <is>
          <t>Malawi</t>
        </is>
      </c>
      <c r="B7123" t="inlineStr">
        <is>
          <t>MWI</t>
        </is>
      </c>
      <c r="C7123" t="n">
        <v>1982</v>
      </c>
      <c r="D7123" t="n">
        <v>9.82116244432078</v>
      </c>
    </row>
    <row r="7124">
      <c r="A7124" t="inlineStr">
        <is>
          <t>Malawi</t>
        </is>
      </c>
      <c r="B7124" t="inlineStr">
        <is>
          <t>MWI</t>
        </is>
      </c>
      <c r="C7124" t="n">
        <v>1983</v>
      </c>
      <c r="D7124" t="n">
        <v>13.5025105170179</v>
      </c>
    </row>
    <row r="7125">
      <c r="A7125" t="inlineStr">
        <is>
          <t>Malawi</t>
        </is>
      </c>
      <c r="B7125" t="inlineStr">
        <is>
          <t>MWI</t>
        </is>
      </c>
      <c r="C7125" t="n">
        <v>1984</v>
      </c>
      <c r="D7125" t="n">
        <v>20.0263032042325</v>
      </c>
    </row>
    <row r="7126">
      <c r="A7126" t="inlineStr">
        <is>
          <t>Malawi</t>
        </is>
      </c>
      <c r="B7126" t="inlineStr">
        <is>
          <t>MWI</t>
        </is>
      </c>
      <c r="C7126" t="n">
        <v>1985</v>
      </c>
      <c r="D7126" t="n">
        <v>10.5189759937166</v>
      </c>
    </row>
    <row r="7127">
      <c r="A7127" t="inlineStr">
        <is>
          <t>Malawi</t>
        </is>
      </c>
      <c r="B7127" t="inlineStr">
        <is>
          <t>MWI</t>
        </is>
      </c>
      <c r="C7127" t="n">
        <v>1986</v>
      </c>
      <c r="D7127" t="n">
        <v>14.0468679587644</v>
      </c>
    </row>
    <row r="7128">
      <c r="A7128" t="inlineStr">
        <is>
          <t>Malawi</t>
        </is>
      </c>
      <c r="B7128" t="inlineStr">
        <is>
          <t>MWI</t>
        </is>
      </c>
      <c r="C7128" t="n">
        <v>1987</v>
      </c>
      <c r="D7128" t="n">
        <v>25.1550954282911</v>
      </c>
    </row>
    <row r="7129">
      <c r="A7129" t="inlineStr">
        <is>
          <t>Malawi</t>
        </is>
      </c>
      <c r="B7129" t="inlineStr">
        <is>
          <t>MWI</t>
        </is>
      </c>
      <c r="C7129" t="n">
        <v>1988</v>
      </c>
      <c r="D7129" t="n">
        <v>33.9121649354339</v>
      </c>
    </row>
    <row r="7130">
      <c r="A7130" t="inlineStr">
        <is>
          <t>Malawi</t>
        </is>
      </c>
      <c r="B7130" t="inlineStr">
        <is>
          <t>MWI</t>
        </is>
      </c>
      <c r="C7130" t="n">
        <v>1989</v>
      </c>
      <c r="D7130" t="n">
        <v>12.4463620502664</v>
      </c>
    </row>
    <row r="7131">
      <c r="A7131" t="inlineStr">
        <is>
          <t>Malawi</t>
        </is>
      </c>
      <c r="B7131" t="inlineStr">
        <is>
          <t>MWI</t>
        </is>
      </c>
      <c r="C7131" t="n">
        <v>1990</v>
      </c>
      <c r="D7131" t="n">
        <v>11.8235380454151</v>
      </c>
    </row>
    <row r="7132">
      <c r="A7132" t="inlineStr">
        <is>
          <t>Malawi</t>
        </is>
      </c>
      <c r="B7132" t="inlineStr">
        <is>
          <t>MWI</t>
        </is>
      </c>
      <c r="C7132" t="n">
        <v>1991</v>
      </c>
      <c r="D7132" t="n">
        <v>12.6153153828849</v>
      </c>
    </row>
    <row r="7133">
      <c r="A7133" t="inlineStr">
        <is>
          <t>Malawi</t>
        </is>
      </c>
      <c r="B7133" t="inlineStr">
        <is>
          <t>MWI</t>
        </is>
      </c>
      <c r="C7133" t="n">
        <v>1992</v>
      </c>
      <c r="D7133" t="n">
        <v>23.7513530230399</v>
      </c>
    </row>
    <row r="7134">
      <c r="A7134" t="inlineStr">
        <is>
          <t>Malawi</t>
        </is>
      </c>
      <c r="B7134" t="inlineStr">
        <is>
          <t>MWI</t>
        </is>
      </c>
      <c r="C7134" t="n">
        <v>1993</v>
      </c>
      <c r="D7134" t="n">
        <v>22.7727102336625</v>
      </c>
    </row>
    <row r="7135">
      <c r="A7135" t="inlineStr">
        <is>
          <t>Malawi</t>
        </is>
      </c>
      <c r="B7135" t="inlineStr">
        <is>
          <t>MWI</t>
        </is>
      </c>
      <c r="C7135" t="n">
        <v>1994</v>
      </c>
      <c r="D7135" t="n">
        <v>34.6496361508324</v>
      </c>
    </row>
    <row r="7136">
      <c r="A7136" t="inlineStr">
        <is>
          <t>Malawi</t>
        </is>
      </c>
      <c r="B7136" t="inlineStr">
        <is>
          <t>MWI</t>
        </is>
      </c>
      <c r="C7136" t="n">
        <v>1995</v>
      </c>
      <c r="D7136" t="n">
        <v>83.3257747543458</v>
      </c>
    </row>
    <row r="7137">
      <c r="A7137" t="inlineStr">
        <is>
          <t>Malawi</t>
        </is>
      </c>
      <c r="B7137" t="inlineStr">
        <is>
          <t>MWI</t>
        </is>
      </c>
      <c r="C7137" t="n">
        <v>1996</v>
      </c>
      <c r="D7137" t="n">
        <v>37.6020450235016</v>
      </c>
    </row>
    <row r="7138">
      <c r="A7138" t="inlineStr">
        <is>
          <t>Malawi</t>
        </is>
      </c>
      <c r="B7138" t="inlineStr">
        <is>
          <t>MWI</t>
        </is>
      </c>
      <c r="C7138" t="n">
        <v>1997</v>
      </c>
      <c r="D7138" t="n">
        <v>9.13735243003495</v>
      </c>
    </row>
    <row r="7139">
      <c r="A7139" t="inlineStr">
        <is>
          <t>Malawi</t>
        </is>
      </c>
      <c r="B7139" t="inlineStr">
        <is>
          <t>MWI</t>
        </is>
      </c>
      <c r="C7139" t="n">
        <v>1998</v>
      </c>
      <c r="D7139" t="n">
        <v>29.7486512828264</v>
      </c>
    </row>
    <row r="7140">
      <c r="A7140" t="inlineStr">
        <is>
          <t>Malawi</t>
        </is>
      </c>
      <c r="B7140" t="inlineStr">
        <is>
          <t>MWI</t>
        </is>
      </c>
      <c r="C7140" t="n">
        <v>1999</v>
      </c>
      <c r="D7140" t="n">
        <v>44.8041642861674</v>
      </c>
    </row>
    <row r="7141">
      <c r="A7141" t="inlineStr">
        <is>
          <t>Malawi</t>
        </is>
      </c>
      <c r="B7141" t="inlineStr">
        <is>
          <t>MWI</t>
        </is>
      </c>
      <c r="C7141" t="n">
        <v>2000</v>
      </c>
      <c r="D7141" t="n">
        <v>29.5814884631684</v>
      </c>
    </row>
    <row r="7142">
      <c r="A7142" t="inlineStr">
        <is>
          <t>Malawi</t>
        </is>
      </c>
      <c r="B7142" t="inlineStr">
        <is>
          <t>MWI</t>
        </is>
      </c>
      <c r="C7142" t="n">
        <v>2001</v>
      </c>
      <c r="D7142" t="n">
        <v>22.7</v>
      </c>
    </row>
    <row r="7143">
      <c r="A7143" t="inlineStr">
        <is>
          <t>Malawi</t>
        </is>
      </c>
      <c r="B7143" t="inlineStr">
        <is>
          <t>MWI</t>
        </is>
      </c>
      <c r="C7143" t="n">
        <v>2002</v>
      </c>
      <c r="D7143" t="n">
        <v>14.7446346101603</v>
      </c>
    </row>
    <row r="7144">
      <c r="A7144" t="inlineStr">
        <is>
          <t>Malawi</t>
        </is>
      </c>
      <c r="B7144" t="inlineStr">
        <is>
          <t>MWI</t>
        </is>
      </c>
      <c r="C7144" t="n">
        <v>2003</v>
      </c>
      <c r="D7144" t="n">
        <v>9.57679786919214</v>
      </c>
    </row>
    <row r="7145">
      <c r="A7145" t="inlineStr">
        <is>
          <t>Malawi</t>
        </is>
      </c>
      <c r="B7145" t="inlineStr">
        <is>
          <t>MWI</t>
        </is>
      </c>
      <c r="C7145" t="n">
        <v>2004</v>
      </c>
      <c r="D7145" t="n">
        <v>11.4298060822124</v>
      </c>
    </row>
    <row r="7146">
      <c r="A7146" t="inlineStr">
        <is>
          <t>Malawi</t>
        </is>
      </c>
      <c r="B7146" t="inlineStr">
        <is>
          <t>MWI</t>
        </is>
      </c>
      <c r="C7146" t="n">
        <v>2005</v>
      </c>
      <c r="D7146" t="n">
        <v>15.4103446604296</v>
      </c>
    </row>
    <row r="7147">
      <c r="A7147" t="inlineStr">
        <is>
          <t>Malawi</t>
        </is>
      </c>
      <c r="B7147" t="inlineStr">
        <is>
          <t>MWI</t>
        </is>
      </c>
      <c r="C7147" t="n">
        <v>2006</v>
      </c>
      <c r="D7147" t="n">
        <v>13.9742943548388</v>
      </c>
    </row>
    <row r="7148">
      <c r="A7148" t="inlineStr">
        <is>
          <t>Malawi</t>
        </is>
      </c>
      <c r="B7148" t="inlineStr">
        <is>
          <t>MWI</t>
        </is>
      </c>
      <c r="C7148" t="n">
        <v>2007</v>
      </c>
      <c r="D7148" t="n">
        <v>7.9522099086403</v>
      </c>
    </row>
    <row r="7149">
      <c r="A7149" t="inlineStr">
        <is>
          <t>Malawi</t>
        </is>
      </c>
      <c r="B7149" t="inlineStr">
        <is>
          <t>MWI</t>
        </is>
      </c>
      <c r="C7149" t="n">
        <v>2008</v>
      </c>
      <c r="D7149" t="n">
        <v>8.712601866090431</v>
      </c>
    </row>
    <row r="7150">
      <c r="A7150" t="inlineStr">
        <is>
          <t>Malawi</t>
        </is>
      </c>
      <c r="B7150" t="inlineStr">
        <is>
          <t>MWI</t>
        </is>
      </c>
      <c r="C7150" t="n">
        <v>2009</v>
      </c>
      <c r="D7150" t="n">
        <v>8.422044276966551</v>
      </c>
    </row>
    <row r="7151">
      <c r="A7151" t="inlineStr">
        <is>
          <t>Malawi</t>
        </is>
      </c>
      <c r="B7151" t="inlineStr">
        <is>
          <t>MWI</t>
        </is>
      </c>
      <c r="C7151" t="n">
        <v>2010</v>
      </c>
      <c r="D7151" t="n">
        <v>7.41159092883827</v>
      </c>
    </row>
    <row r="7152">
      <c r="A7152" t="inlineStr">
        <is>
          <t>Malawi</t>
        </is>
      </c>
      <c r="B7152" t="inlineStr">
        <is>
          <t>MWI</t>
        </is>
      </c>
      <c r="C7152" t="n">
        <v>2011</v>
      </c>
      <c r="D7152" t="n">
        <v>7.6228226284852</v>
      </c>
    </row>
    <row r="7153">
      <c r="A7153" t="inlineStr">
        <is>
          <t>Malawi</t>
        </is>
      </c>
      <c r="B7153" t="inlineStr">
        <is>
          <t>MWI</t>
        </is>
      </c>
      <c r="C7153" t="n">
        <v>2012</v>
      </c>
      <c r="D7153" t="n">
        <v>21.2712650013779</v>
      </c>
    </row>
    <row r="7154">
      <c r="A7154" t="inlineStr">
        <is>
          <t>Malawi</t>
        </is>
      </c>
      <c r="B7154" t="inlineStr">
        <is>
          <t>MWI</t>
        </is>
      </c>
      <c r="C7154" t="n">
        <v>2013</v>
      </c>
      <c r="D7154" t="n">
        <v>27.2833333333334</v>
      </c>
    </row>
    <row r="7155">
      <c r="A7155" t="inlineStr">
        <is>
          <t>Malawi</t>
        </is>
      </c>
      <c r="B7155" t="inlineStr">
        <is>
          <t>MWI</t>
        </is>
      </c>
      <c r="C7155" t="n">
        <v>2014</v>
      </c>
      <c r="D7155" t="n">
        <v>23.7920649469687</v>
      </c>
    </row>
    <row r="7156">
      <c r="A7156" t="inlineStr">
        <is>
          <t>Malawi</t>
        </is>
      </c>
      <c r="B7156" t="inlineStr">
        <is>
          <t>MWI</t>
        </is>
      </c>
      <c r="C7156" t="n">
        <v>2015</v>
      </c>
      <c r="D7156" t="n">
        <v>21.8673475542553</v>
      </c>
    </row>
    <row r="7157">
      <c r="A7157" t="inlineStr">
        <is>
          <t>Malawi</t>
        </is>
      </c>
      <c r="B7157" t="inlineStr">
        <is>
          <t>MWI</t>
        </is>
      </c>
      <c r="C7157" t="n">
        <v>2016</v>
      </c>
      <c r="D7157" t="n">
        <v>21.7111132136499</v>
      </c>
    </row>
    <row r="7158">
      <c r="A7158" t="inlineStr">
        <is>
          <t>Malawi</t>
        </is>
      </c>
      <c r="B7158" t="inlineStr">
        <is>
          <t>MWI</t>
        </is>
      </c>
      <c r="C7158" t="n">
        <v>2017</v>
      </c>
      <c r="D7158" t="n">
        <v>11.5433939188771</v>
      </c>
    </row>
    <row r="7159">
      <c r="A7159" t="inlineStr">
        <is>
          <t>Malawi</t>
        </is>
      </c>
      <c r="B7159" t="inlineStr">
        <is>
          <t>MWI</t>
        </is>
      </c>
      <c r="C7159" t="n">
        <v>2018</v>
      </c>
      <c r="D7159" t="n">
        <v>12.420178108921</v>
      </c>
    </row>
    <row r="7160">
      <c r="A7160" t="inlineStr">
        <is>
          <t>Malawi</t>
        </is>
      </c>
      <c r="B7160" t="inlineStr">
        <is>
          <t>MWI</t>
        </is>
      </c>
      <c r="C7160" t="n">
        <v>2019</v>
      </c>
      <c r="D7160" t="n">
        <v>9.370836056056699</v>
      </c>
    </row>
    <row r="7161">
      <c r="A7161" t="inlineStr">
        <is>
          <t>Malawi</t>
        </is>
      </c>
      <c r="B7161" t="inlineStr">
        <is>
          <t>MWI</t>
        </is>
      </c>
      <c r="C7161" t="n">
        <v>2020</v>
      </c>
      <c r="D7161" t="n">
        <v>8.625514696505521</v>
      </c>
    </row>
    <row r="7162">
      <c r="A7162" t="inlineStr">
        <is>
          <t>Malawi</t>
        </is>
      </c>
      <c r="B7162" t="inlineStr">
        <is>
          <t>MWI</t>
        </is>
      </c>
      <c r="C7162" t="n">
        <v>2021</v>
      </c>
      <c r="D7162" t="n">
        <v>9.330144108352121</v>
      </c>
    </row>
    <row r="7163">
      <c r="A7163" t="inlineStr">
        <is>
          <t>Malawi</t>
        </is>
      </c>
      <c r="B7163" t="inlineStr">
        <is>
          <t>MWI</t>
        </is>
      </c>
      <c r="C7163" t="n">
        <v>2022</v>
      </c>
      <c r="D7163" t="n">
        <v>20.953969729969</v>
      </c>
    </row>
    <row r="7164">
      <c r="A7164" t="inlineStr">
        <is>
          <t>Malawi</t>
        </is>
      </c>
      <c r="B7164" t="inlineStr">
        <is>
          <t>MWI</t>
        </is>
      </c>
      <c r="C7164" t="n">
        <v>2023</v>
      </c>
      <c r="D7164" t="n">
        <v>28.7897428247298</v>
      </c>
    </row>
    <row r="7165">
      <c r="A7165" t="inlineStr">
        <is>
          <t>Malawi</t>
        </is>
      </c>
      <c r="B7165" t="inlineStr">
        <is>
          <t>MWI</t>
        </is>
      </c>
      <c r="C7165" t="n">
        <v>2024</v>
      </c>
      <c r="D7165" t="n">
        <v>32.1796504225025</v>
      </c>
    </row>
    <row r="7166">
      <c r="A7166" t="inlineStr">
        <is>
          <t>Malaysia</t>
        </is>
      </c>
      <c r="B7166" t="inlineStr">
        <is>
          <t>MYS</t>
        </is>
      </c>
      <c r="C7166" t="n">
        <v>1960</v>
      </c>
      <c r="D7166" t="n">
        <v>0.06318259788816701</v>
      </c>
    </row>
    <row r="7167">
      <c r="A7167" t="inlineStr">
        <is>
          <t>Malaysia</t>
        </is>
      </c>
      <c r="B7167" t="inlineStr">
        <is>
          <t>MYS</t>
        </is>
      </c>
      <c r="C7167" t="n">
        <v>1961</v>
      </c>
      <c r="D7167" t="n">
        <v>-0.180407721631565</v>
      </c>
    </row>
    <row r="7168">
      <c r="A7168" t="inlineStr">
        <is>
          <t>Malaysia</t>
        </is>
      </c>
      <c r="B7168" t="inlineStr">
        <is>
          <t>MYS</t>
        </is>
      </c>
      <c r="C7168" t="n">
        <v>1962</v>
      </c>
      <c r="D7168" t="n">
        <v>0.10844026784809</v>
      </c>
    </row>
    <row r="7169">
      <c r="A7169" t="inlineStr">
        <is>
          <t>Malaysia</t>
        </is>
      </c>
      <c r="B7169" t="inlineStr">
        <is>
          <t>MYS</t>
        </is>
      </c>
      <c r="C7169" t="n">
        <v>1963</v>
      </c>
      <c r="D7169" t="n">
        <v>3.10525365608344</v>
      </c>
    </row>
    <row r="7170">
      <c r="A7170" t="inlineStr">
        <is>
          <t>Malaysia</t>
        </is>
      </c>
      <c r="B7170" t="inlineStr">
        <is>
          <t>MYS</t>
        </is>
      </c>
      <c r="C7170" t="n">
        <v>1964</v>
      </c>
      <c r="D7170" t="n">
        <v>-0.402731571003658</v>
      </c>
    </row>
    <row r="7171">
      <c r="A7171" t="inlineStr">
        <is>
          <t>Malaysia</t>
        </is>
      </c>
      <c r="B7171" t="inlineStr">
        <is>
          <t>MYS</t>
        </is>
      </c>
      <c r="C7171" t="n">
        <v>1965</v>
      </c>
      <c r="D7171" t="n">
        <v>-0.10548523224379</v>
      </c>
    </row>
    <row r="7172">
      <c r="A7172" t="inlineStr">
        <is>
          <t>Malaysia</t>
        </is>
      </c>
      <c r="B7172" t="inlineStr">
        <is>
          <t>MYS</t>
        </is>
      </c>
      <c r="C7172" t="n">
        <v>1966</v>
      </c>
      <c r="D7172" t="n">
        <v>0.967969025261369</v>
      </c>
    </row>
    <row r="7173">
      <c r="A7173" t="inlineStr">
        <is>
          <t>Malaysia</t>
        </is>
      </c>
      <c r="B7173" t="inlineStr">
        <is>
          <t>MYS</t>
        </is>
      </c>
      <c r="C7173" t="n">
        <v>1967</v>
      </c>
      <c r="D7173" t="n">
        <v>4.57556214033291</v>
      </c>
    </row>
    <row r="7174">
      <c r="A7174" t="inlineStr">
        <is>
          <t>Malaysia</t>
        </is>
      </c>
      <c r="B7174" t="inlineStr">
        <is>
          <t>MYS</t>
        </is>
      </c>
      <c r="C7174" t="n">
        <v>1968</v>
      </c>
      <c r="D7174" t="n">
        <v>-0.158346528794567</v>
      </c>
    </row>
    <row r="7175">
      <c r="A7175" t="inlineStr">
        <is>
          <t>Malaysia</t>
        </is>
      </c>
      <c r="B7175" t="inlineStr">
        <is>
          <t>MYS</t>
        </is>
      </c>
      <c r="C7175" t="n">
        <v>1969</v>
      </c>
      <c r="D7175" t="n">
        <v>-0.40901502529407</v>
      </c>
    </row>
    <row r="7176">
      <c r="A7176" t="inlineStr">
        <is>
          <t>Malaysia</t>
        </is>
      </c>
      <c r="B7176" t="inlineStr">
        <is>
          <t>MYS</t>
        </is>
      </c>
      <c r="C7176" t="n">
        <v>1970</v>
      </c>
      <c r="D7176" t="n">
        <v>1.84393596556387</v>
      </c>
    </row>
    <row r="7177">
      <c r="A7177" t="inlineStr">
        <is>
          <t>Malaysia</t>
        </is>
      </c>
      <c r="B7177" t="inlineStr">
        <is>
          <t>MYS</t>
        </is>
      </c>
      <c r="C7177" t="n">
        <v>1971</v>
      </c>
      <c r="D7177" t="n">
        <v>1.61303596395808</v>
      </c>
    </row>
    <row r="7178">
      <c r="A7178" t="inlineStr">
        <is>
          <t>Malaysia</t>
        </is>
      </c>
      <c r="B7178" t="inlineStr">
        <is>
          <t>MYS</t>
        </is>
      </c>
      <c r="C7178" t="n">
        <v>1972</v>
      </c>
      <c r="D7178" t="n">
        <v>3.23155422354874</v>
      </c>
    </row>
    <row r="7179">
      <c r="A7179" t="inlineStr">
        <is>
          <t>Malaysia</t>
        </is>
      </c>
      <c r="B7179" t="inlineStr">
        <is>
          <t>MYS</t>
        </is>
      </c>
      <c r="C7179" t="n">
        <v>1973</v>
      </c>
      <c r="D7179" t="n">
        <v>10.5601757413101</v>
      </c>
    </row>
    <row r="7180">
      <c r="A7180" t="inlineStr">
        <is>
          <t>Malaysia</t>
        </is>
      </c>
      <c r="B7180" t="inlineStr">
        <is>
          <t>MYS</t>
        </is>
      </c>
      <c r="C7180" t="n">
        <v>1974</v>
      </c>
      <c r="D7180" t="n">
        <v>17.3289809824411</v>
      </c>
    </row>
    <row r="7181">
      <c r="A7181" t="inlineStr">
        <is>
          <t>Malaysia</t>
        </is>
      </c>
      <c r="B7181" t="inlineStr">
        <is>
          <t>MYS</t>
        </is>
      </c>
      <c r="C7181" t="n">
        <v>1975</v>
      </c>
      <c r="D7181" t="n">
        <v>4.48772226915906</v>
      </c>
    </row>
    <row r="7182">
      <c r="A7182" t="inlineStr">
        <is>
          <t>Malaysia</t>
        </is>
      </c>
      <c r="B7182" t="inlineStr">
        <is>
          <t>MYS</t>
        </is>
      </c>
      <c r="C7182" t="n">
        <v>1976</v>
      </c>
      <c r="D7182" t="n">
        <v>2.63371150730571</v>
      </c>
    </row>
    <row r="7183">
      <c r="A7183" t="inlineStr">
        <is>
          <t>Malaysia</t>
        </is>
      </c>
      <c r="B7183" t="inlineStr">
        <is>
          <t>MYS</t>
        </is>
      </c>
      <c r="C7183" t="n">
        <v>1977</v>
      </c>
      <c r="D7183" t="n">
        <v>4.78822401445964</v>
      </c>
    </row>
    <row r="7184">
      <c r="A7184" t="inlineStr">
        <is>
          <t>Malaysia</t>
        </is>
      </c>
      <c r="B7184" t="inlineStr">
        <is>
          <t>MYS</t>
        </is>
      </c>
      <c r="C7184" t="n">
        <v>1978</v>
      </c>
      <c r="D7184" t="n">
        <v>4.86006458554252</v>
      </c>
    </row>
    <row r="7185">
      <c r="A7185" t="inlineStr">
        <is>
          <t>Malaysia</t>
        </is>
      </c>
      <c r="B7185" t="inlineStr">
        <is>
          <t>MYS</t>
        </is>
      </c>
      <c r="C7185" t="n">
        <v>1979</v>
      </c>
      <c r="D7185" t="n">
        <v>3.65446799796414</v>
      </c>
    </row>
    <row r="7186">
      <c r="A7186" t="inlineStr">
        <is>
          <t>Malaysia</t>
        </is>
      </c>
      <c r="B7186" t="inlineStr">
        <is>
          <t>MYS</t>
        </is>
      </c>
      <c r="C7186" t="n">
        <v>1980</v>
      </c>
      <c r="D7186" t="n">
        <v>6.6749195345051</v>
      </c>
    </row>
    <row r="7187">
      <c r="A7187" t="inlineStr">
        <is>
          <t>Malaysia</t>
        </is>
      </c>
      <c r="B7187" t="inlineStr">
        <is>
          <t>MYS</t>
        </is>
      </c>
      <c r="C7187" t="n">
        <v>1981</v>
      </c>
      <c r="D7187" t="n">
        <v>9.70000000000015</v>
      </c>
    </row>
    <row r="7188">
      <c r="A7188" t="inlineStr">
        <is>
          <t>Malaysia</t>
        </is>
      </c>
      <c r="B7188" t="inlineStr">
        <is>
          <t>MYS</t>
        </is>
      </c>
      <c r="C7188" t="n">
        <v>1982</v>
      </c>
      <c r="D7188" t="n">
        <v>5.8189000297783</v>
      </c>
    </row>
    <row r="7189">
      <c r="A7189" t="inlineStr">
        <is>
          <t>Malaysia</t>
        </is>
      </c>
      <c r="B7189" t="inlineStr">
        <is>
          <t>MYS</t>
        </is>
      </c>
      <c r="C7189" t="n">
        <v>1983</v>
      </c>
      <c r="D7189" t="n">
        <v>3.70423546319373</v>
      </c>
    </row>
    <row r="7190">
      <c r="A7190" t="inlineStr">
        <is>
          <t>Malaysia</t>
        </is>
      </c>
      <c r="B7190" t="inlineStr">
        <is>
          <t>MYS</t>
        </is>
      </c>
      <c r="C7190" t="n">
        <v>1984</v>
      </c>
      <c r="D7190" t="n">
        <v>3.89727260149768</v>
      </c>
    </row>
    <row r="7191">
      <c r="A7191" t="inlineStr">
        <is>
          <t>Malaysia</t>
        </is>
      </c>
      <c r="B7191" t="inlineStr">
        <is>
          <t>MYS</t>
        </is>
      </c>
      <c r="C7191" t="n">
        <v>1985</v>
      </c>
      <c r="D7191" t="n">
        <v>0.346458791259884</v>
      </c>
    </row>
    <row r="7192">
      <c r="A7192" t="inlineStr">
        <is>
          <t>Malaysia</t>
        </is>
      </c>
      <c r="B7192" t="inlineStr">
        <is>
          <t>MYS</t>
        </is>
      </c>
      <c r="C7192" t="n">
        <v>1986</v>
      </c>
      <c r="D7192" t="n">
        <v>0.737002855391939</v>
      </c>
    </row>
    <row r="7193">
      <c r="A7193" t="inlineStr">
        <is>
          <t>Malaysia</t>
        </is>
      </c>
      <c r="B7193" t="inlineStr">
        <is>
          <t>MYS</t>
        </is>
      </c>
      <c r="C7193" t="n">
        <v>1987</v>
      </c>
      <c r="D7193" t="n">
        <v>0.290007909438412</v>
      </c>
    </row>
    <row r="7194">
      <c r="A7194" t="inlineStr">
        <is>
          <t>Malaysia</t>
        </is>
      </c>
      <c r="B7194" t="inlineStr">
        <is>
          <t>MYS</t>
        </is>
      </c>
      <c r="C7194" t="n">
        <v>1988</v>
      </c>
      <c r="D7194" t="n">
        <v>2.55651945320742</v>
      </c>
    </row>
    <row r="7195">
      <c r="A7195" t="inlineStr">
        <is>
          <t>Malaysia</t>
        </is>
      </c>
      <c r="B7195" t="inlineStr">
        <is>
          <t>MYS</t>
        </is>
      </c>
      <c r="C7195" t="n">
        <v>1989</v>
      </c>
      <c r="D7195" t="n">
        <v>2.81320089714805</v>
      </c>
    </row>
    <row r="7196">
      <c r="A7196" t="inlineStr">
        <is>
          <t>Malaysia</t>
        </is>
      </c>
      <c r="B7196" t="inlineStr">
        <is>
          <t>MYS</t>
        </is>
      </c>
      <c r="C7196" t="n">
        <v>1990</v>
      </c>
      <c r="D7196" t="n">
        <v>2.61780104712051</v>
      </c>
    </row>
    <row r="7197">
      <c r="A7197" t="inlineStr">
        <is>
          <t>Malaysia</t>
        </is>
      </c>
      <c r="B7197" t="inlineStr">
        <is>
          <t>MYS</t>
        </is>
      </c>
      <c r="C7197" t="n">
        <v>1991</v>
      </c>
      <c r="D7197" t="n">
        <v>4.358333333333</v>
      </c>
    </row>
    <row r="7198">
      <c r="A7198" t="inlineStr">
        <is>
          <t>Malaysia</t>
        </is>
      </c>
      <c r="B7198" t="inlineStr">
        <is>
          <t>MYS</t>
        </is>
      </c>
      <c r="C7198" t="n">
        <v>1992</v>
      </c>
      <c r="D7198" t="n">
        <v>4.76722829992821</v>
      </c>
    </row>
    <row r="7199">
      <c r="A7199" t="inlineStr">
        <is>
          <t>Malaysia</t>
        </is>
      </c>
      <c r="B7199" t="inlineStr">
        <is>
          <t>MYS</t>
        </is>
      </c>
      <c r="C7199" t="n">
        <v>1993</v>
      </c>
      <c r="D7199" t="n">
        <v>3.53658536585389</v>
      </c>
    </row>
    <row r="7200">
      <c r="A7200" t="inlineStr">
        <is>
          <t>Malaysia</t>
        </is>
      </c>
      <c r="B7200" t="inlineStr">
        <is>
          <t>MYS</t>
        </is>
      </c>
      <c r="C7200" t="n">
        <v>1994</v>
      </c>
      <c r="D7200" t="n">
        <v>3.72497055359284</v>
      </c>
    </row>
    <row r="7201">
      <c r="A7201" t="inlineStr">
        <is>
          <t>Malaysia</t>
        </is>
      </c>
      <c r="B7201" t="inlineStr">
        <is>
          <t>MYS</t>
        </is>
      </c>
      <c r="C7201" t="n">
        <v>1995</v>
      </c>
      <c r="D7201" t="n">
        <v>3.45057509584895</v>
      </c>
    </row>
    <row r="7202">
      <c r="A7202" t="inlineStr">
        <is>
          <t>Malaysia</t>
        </is>
      </c>
      <c r="B7202" t="inlineStr">
        <is>
          <t>MYS</t>
        </is>
      </c>
      <c r="C7202" t="n">
        <v>1996</v>
      </c>
      <c r="D7202" t="n">
        <v>3.48855945858916</v>
      </c>
    </row>
    <row r="7203">
      <c r="A7203" t="inlineStr">
        <is>
          <t>Malaysia</t>
        </is>
      </c>
      <c r="B7203" t="inlineStr">
        <is>
          <t>MYS</t>
        </is>
      </c>
      <c r="C7203" t="n">
        <v>1997</v>
      </c>
      <c r="D7203" t="n">
        <v>2.66251459711946</v>
      </c>
    </row>
    <row r="7204">
      <c r="A7204" t="inlineStr">
        <is>
          <t>Malaysia</t>
        </is>
      </c>
      <c r="B7204" t="inlineStr">
        <is>
          <t>MYS</t>
        </is>
      </c>
      <c r="C7204" t="n">
        <v>1998</v>
      </c>
      <c r="D7204" t="n">
        <v>5.27034200348766</v>
      </c>
    </row>
    <row r="7205">
      <c r="A7205" t="inlineStr">
        <is>
          <t>Malaysia</t>
        </is>
      </c>
      <c r="B7205" t="inlineStr">
        <is>
          <t>MYS</t>
        </is>
      </c>
      <c r="C7205" t="n">
        <v>1999</v>
      </c>
      <c r="D7205" t="n">
        <v>2.74456130240604</v>
      </c>
    </row>
    <row r="7206">
      <c r="A7206" t="inlineStr">
        <is>
          <t>Malaysia</t>
        </is>
      </c>
      <c r="B7206" t="inlineStr">
        <is>
          <t>MYS</t>
        </is>
      </c>
      <c r="C7206" t="n">
        <v>2000</v>
      </c>
      <c r="D7206" t="n">
        <v>1.53474023697699</v>
      </c>
    </row>
    <row r="7207">
      <c r="A7207" t="inlineStr">
        <is>
          <t>Malaysia</t>
        </is>
      </c>
      <c r="B7207" t="inlineStr">
        <is>
          <t>MYS</t>
        </is>
      </c>
      <c r="C7207" t="n">
        <v>2001</v>
      </c>
      <c r="D7207" t="n">
        <v>1.41678473206098</v>
      </c>
    </row>
    <row r="7208">
      <c r="A7208" t="inlineStr">
        <is>
          <t>Malaysia</t>
        </is>
      </c>
      <c r="B7208" t="inlineStr">
        <is>
          <t>MYS</t>
        </is>
      </c>
      <c r="C7208" t="n">
        <v>2002</v>
      </c>
      <c r="D7208" t="n">
        <v>1.80787246281536</v>
      </c>
    </row>
    <row r="7209">
      <c r="A7209" t="inlineStr">
        <is>
          <t>Malaysia</t>
        </is>
      </c>
      <c r="B7209" t="inlineStr">
        <is>
          <t>MYS</t>
        </is>
      </c>
      <c r="C7209" t="n">
        <v>2003</v>
      </c>
      <c r="D7209" t="n">
        <v>1.08967632577286</v>
      </c>
    </row>
    <row r="7210">
      <c r="A7210" t="inlineStr">
        <is>
          <t>Malaysia</t>
        </is>
      </c>
      <c r="B7210" t="inlineStr">
        <is>
          <t>MYS</t>
        </is>
      </c>
      <c r="C7210" t="n">
        <v>2004</v>
      </c>
      <c r="D7210" t="n">
        <v>1.42127115937402</v>
      </c>
    </row>
    <row r="7211">
      <c r="A7211" t="inlineStr">
        <is>
          <t>Malaysia</t>
        </is>
      </c>
      <c r="B7211" t="inlineStr">
        <is>
          <t>MYS</t>
        </is>
      </c>
      <c r="C7211" t="n">
        <v>2005</v>
      </c>
      <c r="D7211" t="n">
        <v>2.97507092684449</v>
      </c>
    </row>
    <row r="7212">
      <c r="A7212" t="inlineStr">
        <is>
          <t>Malaysia</t>
        </is>
      </c>
      <c r="B7212" t="inlineStr">
        <is>
          <t>MYS</t>
        </is>
      </c>
      <c r="C7212" t="n">
        <v>2006</v>
      </c>
      <c r="D7212" t="n">
        <v>3.60923564224389</v>
      </c>
    </row>
    <row r="7213">
      <c r="A7213" t="inlineStr">
        <is>
          <t>Malaysia</t>
        </is>
      </c>
      <c r="B7213" t="inlineStr">
        <is>
          <t>MYS</t>
        </is>
      </c>
      <c r="C7213" t="n">
        <v>2007</v>
      </c>
      <c r="D7213" t="n">
        <v>2.02735317779569</v>
      </c>
    </row>
    <row r="7214">
      <c r="A7214" t="inlineStr">
        <is>
          <t>Malaysia</t>
        </is>
      </c>
      <c r="B7214" t="inlineStr">
        <is>
          <t>MYS</t>
        </is>
      </c>
      <c r="C7214" t="n">
        <v>2008</v>
      </c>
      <c r="D7214" t="n">
        <v>5.44078221100769</v>
      </c>
    </row>
    <row r="7215">
      <c r="A7215" t="inlineStr">
        <is>
          <t>Malaysia</t>
        </is>
      </c>
      <c r="B7215" t="inlineStr">
        <is>
          <t>MYS</t>
        </is>
      </c>
      <c r="C7215" t="n">
        <v>2009</v>
      </c>
      <c r="D7215" t="n">
        <v>0.583308405623702</v>
      </c>
    </row>
    <row r="7216">
      <c r="A7216" t="inlineStr">
        <is>
          <t>Malaysia</t>
        </is>
      </c>
      <c r="B7216" t="inlineStr">
        <is>
          <t>MYS</t>
        </is>
      </c>
      <c r="C7216" t="n">
        <v>2010</v>
      </c>
      <c r="D7216" t="n">
        <v>1.62285235577035</v>
      </c>
    </row>
    <row r="7217">
      <c r="A7217" t="inlineStr">
        <is>
          <t>Malaysia</t>
        </is>
      </c>
      <c r="B7217" t="inlineStr">
        <is>
          <t>MYS</t>
        </is>
      </c>
      <c r="C7217" t="n">
        <v>2011</v>
      </c>
      <c r="D7217" t="n">
        <v>3.1744709215131</v>
      </c>
    </row>
    <row r="7218">
      <c r="A7218" t="inlineStr">
        <is>
          <t>Malaysia</t>
        </is>
      </c>
      <c r="B7218" t="inlineStr">
        <is>
          <t>MYS</t>
        </is>
      </c>
      <c r="C7218" t="n">
        <v>2012</v>
      </c>
      <c r="D7218" t="n">
        <v>1.66357102479206</v>
      </c>
    </row>
    <row r="7219">
      <c r="A7219" t="inlineStr">
        <is>
          <t>Malaysia</t>
        </is>
      </c>
      <c r="B7219" t="inlineStr">
        <is>
          <t>MYS</t>
        </is>
      </c>
      <c r="C7219" t="n">
        <v>2013</v>
      </c>
      <c r="D7219" t="n">
        <v>2.10501231233612</v>
      </c>
    </row>
    <row r="7220">
      <c r="A7220" t="inlineStr">
        <is>
          <t>Malaysia</t>
        </is>
      </c>
      <c r="B7220" t="inlineStr">
        <is>
          <t>MYS</t>
        </is>
      </c>
      <c r="C7220" t="n">
        <v>2014</v>
      </c>
      <c r="D7220" t="n">
        <v>3.14299050879095</v>
      </c>
    </row>
    <row r="7221">
      <c r="A7221" t="inlineStr">
        <is>
          <t>Malaysia</t>
        </is>
      </c>
      <c r="B7221" t="inlineStr">
        <is>
          <t>MYS</t>
        </is>
      </c>
      <c r="C7221" t="n">
        <v>2015</v>
      </c>
      <c r="D7221" t="n">
        <v>2.10438980238359</v>
      </c>
    </row>
    <row r="7222">
      <c r="A7222" t="inlineStr">
        <is>
          <t>Malaysia</t>
        </is>
      </c>
      <c r="B7222" t="inlineStr">
        <is>
          <t>MYS</t>
        </is>
      </c>
      <c r="C7222" t="n">
        <v>2016</v>
      </c>
      <c r="D7222" t="n">
        <v>2.09056659525742</v>
      </c>
    </row>
    <row r="7223">
      <c r="A7223" t="inlineStr">
        <is>
          <t>Malaysia</t>
        </is>
      </c>
      <c r="B7223" t="inlineStr">
        <is>
          <t>MYS</t>
        </is>
      </c>
      <c r="C7223" t="n">
        <v>2017</v>
      </c>
      <c r="D7223" t="n">
        <v>3.87120115774237</v>
      </c>
    </row>
    <row r="7224">
      <c r="A7224" t="inlineStr">
        <is>
          <t>Malaysia</t>
        </is>
      </c>
      <c r="B7224" t="inlineStr">
        <is>
          <t>MYS</t>
        </is>
      </c>
      <c r="C7224" t="n">
        <v>2018</v>
      </c>
      <c r="D7224" t="n">
        <v>0.8847091605712351</v>
      </c>
    </row>
    <row r="7225">
      <c r="A7225" t="inlineStr">
        <is>
          <t>Malaysia</t>
        </is>
      </c>
      <c r="B7225" t="inlineStr">
        <is>
          <t>MYS</t>
        </is>
      </c>
      <c r="C7225" t="n">
        <v>2019</v>
      </c>
      <c r="D7225" t="n">
        <v>0.662891865764326</v>
      </c>
    </row>
    <row r="7226">
      <c r="A7226" t="inlineStr">
        <is>
          <t>Malaysia</t>
        </is>
      </c>
      <c r="B7226" t="inlineStr">
        <is>
          <t>MYS</t>
        </is>
      </c>
      <c r="C7226" t="n">
        <v>2020</v>
      </c>
      <c r="D7226" t="n">
        <v>-1.1387021539305</v>
      </c>
    </row>
    <row r="7227">
      <c r="A7227" t="inlineStr">
        <is>
          <t>Malaysia</t>
        </is>
      </c>
      <c r="B7227" t="inlineStr">
        <is>
          <t>MYS</t>
        </is>
      </c>
      <c r="C7227" t="n">
        <v>2021</v>
      </c>
      <c r="D7227" t="n">
        <v>2.47710241465447</v>
      </c>
    </row>
    <row r="7228">
      <c r="A7228" t="inlineStr">
        <is>
          <t>Malaysia</t>
        </is>
      </c>
      <c r="B7228" t="inlineStr">
        <is>
          <t>MYS</t>
        </is>
      </c>
      <c r="C7228" t="n">
        <v>2022</v>
      </c>
      <c r="D7228" t="n">
        <v>3.37869862549928</v>
      </c>
    </row>
    <row r="7229">
      <c r="A7229" t="inlineStr">
        <is>
          <t>Malaysia</t>
        </is>
      </c>
      <c r="B7229" t="inlineStr">
        <is>
          <t>MYS</t>
        </is>
      </c>
      <c r="C7229" t="n">
        <v>2023</v>
      </c>
      <c r="D7229" t="n">
        <v>2.48886560125754</v>
      </c>
    </row>
    <row r="7230">
      <c r="A7230" t="inlineStr">
        <is>
          <t>Malaysia</t>
        </is>
      </c>
      <c r="B7230" t="inlineStr">
        <is>
          <t>MYS</t>
        </is>
      </c>
      <c r="C7230" t="n">
        <v>2024</v>
      </c>
      <c r="D7230" t="n">
        <v>1.834100204499</v>
      </c>
    </row>
    <row r="7231">
      <c r="A7231" t="inlineStr">
        <is>
          <t>North America</t>
        </is>
      </c>
      <c r="B7231" t="inlineStr">
        <is>
          <t>NAC</t>
        </is>
      </c>
      <c r="C7231" t="n">
        <v>1960</v>
      </c>
      <c r="D7231" t="n">
        <v>1.40833581922591</v>
      </c>
    </row>
    <row r="7232">
      <c r="A7232" t="inlineStr">
        <is>
          <t>North America</t>
        </is>
      </c>
      <c r="B7232" t="inlineStr">
        <is>
          <t>NAC</t>
        </is>
      </c>
      <c r="C7232" t="n">
        <v>1961</v>
      </c>
      <c r="D7232" t="n">
        <v>1.04474545183968</v>
      </c>
    </row>
    <row r="7233">
      <c r="A7233" t="inlineStr">
        <is>
          <t>North America</t>
        </is>
      </c>
      <c r="B7233" t="inlineStr">
        <is>
          <t>NAC</t>
        </is>
      </c>
      <c r="C7233" t="n">
        <v>1962</v>
      </c>
      <c r="D7233" t="n">
        <v>1.13017223673361</v>
      </c>
    </row>
    <row r="7234">
      <c r="A7234" t="inlineStr">
        <is>
          <t>North America</t>
        </is>
      </c>
      <c r="B7234" t="inlineStr">
        <is>
          <t>NAC</t>
        </is>
      </c>
      <c r="C7234" t="n">
        <v>1963</v>
      </c>
      <c r="D7234" t="n">
        <v>1.4339103409959</v>
      </c>
    </row>
    <row r="7235">
      <c r="A7235" t="inlineStr">
        <is>
          <t>North America</t>
        </is>
      </c>
      <c r="B7235" t="inlineStr">
        <is>
          <t>NAC</t>
        </is>
      </c>
      <c r="C7235" t="n">
        <v>1964</v>
      </c>
      <c r="D7235" t="n">
        <v>1.59552813373414</v>
      </c>
    </row>
    <row r="7236">
      <c r="A7236" t="inlineStr">
        <is>
          <t>North America</t>
        </is>
      </c>
      <c r="B7236" t="inlineStr">
        <is>
          <t>NAC</t>
        </is>
      </c>
      <c r="C7236" t="n">
        <v>1965</v>
      </c>
      <c r="D7236" t="n">
        <v>1.95891323232398</v>
      </c>
    </row>
    <row r="7237">
      <c r="A7237" t="inlineStr">
        <is>
          <t>North America</t>
        </is>
      </c>
      <c r="B7237" t="inlineStr">
        <is>
          <t>NAC</t>
        </is>
      </c>
      <c r="C7237" t="n">
        <v>1966</v>
      </c>
      <c r="D7237" t="n">
        <v>3.41536722263447</v>
      </c>
    </row>
    <row r="7238">
      <c r="A7238" t="inlineStr">
        <is>
          <t>North America</t>
        </is>
      </c>
      <c r="B7238" t="inlineStr">
        <is>
          <t>NAC</t>
        </is>
      </c>
      <c r="C7238" t="n">
        <v>1967</v>
      </c>
      <c r="D7238" t="n">
        <v>3.1763689449481</v>
      </c>
    </row>
    <row r="7239">
      <c r="A7239" t="inlineStr">
        <is>
          <t>North America</t>
        </is>
      </c>
      <c r="B7239" t="inlineStr">
        <is>
          <t>NAC</t>
        </is>
      </c>
      <c r="C7239" t="n">
        <v>1968</v>
      </c>
      <c r="D7239" t="n">
        <v>4.16354784602792</v>
      </c>
    </row>
    <row r="7240">
      <c r="A7240" t="inlineStr">
        <is>
          <t>North America</t>
        </is>
      </c>
      <c r="B7240" t="inlineStr">
        <is>
          <t>NAC</t>
        </is>
      </c>
      <c r="C7240" t="n">
        <v>1969</v>
      </c>
      <c r="D7240" t="n">
        <v>5.01197255098518</v>
      </c>
    </row>
    <row r="7241">
      <c r="A7241" t="inlineStr">
        <is>
          <t>North America</t>
        </is>
      </c>
      <c r="B7241" t="inlineStr">
        <is>
          <t>NAC</t>
        </is>
      </c>
      <c r="C7241" t="n">
        <v>1970</v>
      </c>
      <c r="D7241" t="n">
        <v>4.59214757606042</v>
      </c>
    </row>
    <row r="7242">
      <c r="A7242" t="inlineStr">
        <is>
          <t>North America</t>
        </is>
      </c>
      <c r="B7242" t="inlineStr">
        <is>
          <t>NAC</t>
        </is>
      </c>
      <c r="C7242" t="n">
        <v>1971</v>
      </c>
      <c r="D7242" t="n">
        <v>3.49884236045868</v>
      </c>
    </row>
    <row r="7243">
      <c r="A7243" t="inlineStr">
        <is>
          <t>North America</t>
        </is>
      </c>
      <c r="B7243" t="inlineStr">
        <is>
          <t>NAC</t>
        </is>
      </c>
      <c r="C7243" t="n">
        <v>1972</v>
      </c>
      <c r="D7243" t="n">
        <v>4.13015348879917</v>
      </c>
    </row>
    <row r="7244">
      <c r="A7244" t="inlineStr">
        <is>
          <t>North America</t>
        </is>
      </c>
      <c r="B7244" t="inlineStr">
        <is>
          <t>NAC</t>
        </is>
      </c>
      <c r="C7244" t="n">
        <v>1973</v>
      </c>
      <c r="D7244" t="n">
        <v>6.83270367308624</v>
      </c>
    </row>
    <row r="7245">
      <c r="A7245" t="inlineStr">
        <is>
          <t>North America</t>
        </is>
      </c>
      <c r="B7245" t="inlineStr">
        <is>
          <t>NAC</t>
        </is>
      </c>
      <c r="C7245" t="n">
        <v>1974</v>
      </c>
      <c r="D7245" t="n">
        <v>11.0259879752454</v>
      </c>
    </row>
    <row r="7246">
      <c r="A7246" t="inlineStr">
        <is>
          <t>North America</t>
        </is>
      </c>
      <c r="B7246" t="inlineStr">
        <is>
          <t>NAC</t>
        </is>
      </c>
      <c r="C7246" t="n">
        <v>1975</v>
      </c>
      <c r="D7246" t="n">
        <v>9.907667730029679</v>
      </c>
    </row>
    <row r="7247">
      <c r="A7247" t="inlineStr">
        <is>
          <t>North America</t>
        </is>
      </c>
      <c r="B7247" t="inlineStr">
        <is>
          <t>NAC</t>
        </is>
      </c>
      <c r="C7247" t="n">
        <v>1976</v>
      </c>
      <c r="D7247" t="n">
        <v>6.64327563265616</v>
      </c>
    </row>
    <row r="7248">
      <c r="A7248" t="inlineStr">
        <is>
          <t>North America</t>
        </is>
      </c>
      <c r="B7248" t="inlineStr">
        <is>
          <t>NAC</t>
        </is>
      </c>
      <c r="C7248" t="n">
        <v>1977</v>
      </c>
      <c r="D7248" t="n">
        <v>7.23906469543705</v>
      </c>
    </row>
    <row r="7249">
      <c r="A7249" t="inlineStr">
        <is>
          <t>North America</t>
        </is>
      </c>
      <c r="B7249" t="inlineStr">
        <is>
          <t>NAC</t>
        </is>
      </c>
      <c r="C7249" t="n">
        <v>1978</v>
      </c>
      <c r="D7249" t="n">
        <v>8.3023435951841</v>
      </c>
    </row>
    <row r="7250">
      <c r="A7250" t="inlineStr">
        <is>
          <t>North America</t>
        </is>
      </c>
      <c r="B7250" t="inlineStr">
        <is>
          <t>NAC</t>
        </is>
      </c>
      <c r="C7250" t="n">
        <v>1979</v>
      </c>
      <c r="D7250" t="n">
        <v>10.1995740541757</v>
      </c>
    </row>
    <row r="7251">
      <c r="A7251" t="inlineStr">
        <is>
          <t>North America</t>
        </is>
      </c>
      <c r="B7251" t="inlineStr">
        <is>
          <t>NAC</t>
        </is>
      </c>
      <c r="C7251" t="n">
        <v>1980</v>
      </c>
      <c r="D7251" t="n">
        <v>11.8392112417568</v>
      </c>
    </row>
    <row r="7252">
      <c r="A7252" t="inlineStr">
        <is>
          <t>North America</t>
        </is>
      </c>
      <c r="B7252" t="inlineStr">
        <is>
          <t>NAC</t>
        </is>
      </c>
      <c r="C7252" t="n">
        <v>1981</v>
      </c>
      <c r="D7252" t="n">
        <v>11.4031638775571</v>
      </c>
    </row>
    <row r="7253">
      <c r="A7253" t="inlineStr">
        <is>
          <t>North America</t>
        </is>
      </c>
      <c r="B7253" t="inlineStr">
        <is>
          <t>NAC</t>
        </is>
      </c>
      <c r="C7253" t="n">
        <v>1982</v>
      </c>
      <c r="D7253" t="n">
        <v>8.450199449994409</v>
      </c>
    </row>
    <row r="7254">
      <c r="A7254" t="inlineStr">
        <is>
          <t>North America</t>
        </is>
      </c>
      <c r="B7254" t="inlineStr">
        <is>
          <t>NAC</t>
        </is>
      </c>
      <c r="C7254" t="n">
        <v>1983</v>
      </c>
      <c r="D7254" t="n">
        <v>4.53801163146717</v>
      </c>
    </row>
    <row r="7255">
      <c r="A7255" t="inlineStr">
        <is>
          <t>North America</t>
        </is>
      </c>
      <c r="B7255" t="inlineStr">
        <is>
          <t>NAC</t>
        </is>
      </c>
      <c r="C7255" t="n">
        <v>1984</v>
      </c>
      <c r="D7255" t="n">
        <v>4.30265688957583</v>
      </c>
    </row>
    <row r="7256">
      <c r="A7256" t="inlineStr">
        <is>
          <t>North America</t>
        </is>
      </c>
      <c r="B7256" t="inlineStr">
        <is>
          <t>NAC</t>
        </is>
      </c>
      <c r="C7256" t="n">
        <v>1985</v>
      </c>
      <c r="D7256" t="n">
        <v>3.75383734637285</v>
      </c>
    </row>
    <row r="7257">
      <c r="A7257" t="inlineStr">
        <is>
          <t>North America</t>
        </is>
      </c>
      <c r="B7257" t="inlineStr">
        <is>
          <t>NAC</t>
        </is>
      </c>
      <c r="C7257" t="n">
        <v>1986</v>
      </c>
      <c r="D7257" t="n">
        <v>3.04641700659948</v>
      </c>
    </row>
    <row r="7258">
      <c r="A7258" t="inlineStr">
        <is>
          <t>North America</t>
        </is>
      </c>
      <c r="B7258" t="inlineStr">
        <is>
          <t>NAC</t>
        </is>
      </c>
      <c r="C7258" t="n">
        <v>1987</v>
      </c>
      <c r="D7258" t="n">
        <v>4.01033596486715</v>
      </c>
    </row>
    <row r="7259">
      <c r="A7259" t="inlineStr">
        <is>
          <t>North America</t>
        </is>
      </c>
      <c r="B7259" t="inlineStr">
        <is>
          <t>NAC</t>
        </is>
      </c>
      <c r="C7259" t="n">
        <v>1988</v>
      </c>
      <c r="D7259" t="n">
        <v>4.05298762808012</v>
      </c>
    </row>
    <row r="7260">
      <c r="A7260" t="inlineStr">
        <is>
          <t>North America</t>
        </is>
      </c>
      <c r="B7260" t="inlineStr">
        <is>
          <t>NAC</t>
        </is>
      </c>
      <c r="C7260" t="n">
        <v>1989</v>
      </c>
      <c r="D7260" t="n">
        <v>4.90531246497451</v>
      </c>
    </row>
    <row r="7261">
      <c r="A7261" t="inlineStr">
        <is>
          <t>North America</t>
        </is>
      </c>
      <c r="B7261" t="inlineStr">
        <is>
          <t>NAC</t>
        </is>
      </c>
      <c r="C7261" t="n">
        <v>1990</v>
      </c>
      <c r="D7261" t="n">
        <v>5.08921668663315</v>
      </c>
    </row>
    <row r="7262">
      <c r="A7262" t="inlineStr">
        <is>
          <t>North America</t>
        </is>
      </c>
      <c r="B7262" t="inlineStr">
        <is>
          <t>NAC</t>
        </is>
      </c>
      <c r="C7262" t="n">
        <v>1991</v>
      </c>
      <c r="D7262" t="n">
        <v>4.93041402523427</v>
      </c>
    </row>
    <row r="7263">
      <c r="A7263" t="inlineStr">
        <is>
          <t>North America</t>
        </is>
      </c>
      <c r="B7263" t="inlineStr">
        <is>
          <t>NAC</t>
        </is>
      </c>
      <c r="C7263" t="n">
        <v>1992</v>
      </c>
      <c r="D7263" t="n">
        <v>2.25947629094757</v>
      </c>
    </row>
    <row r="7264">
      <c r="A7264" t="inlineStr">
        <is>
          <t>North America</t>
        </is>
      </c>
      <c r="B7264" t="inlineStr">
        <is>
          <t>NAC</t>
        </is>
      </c>
      <c r="C7264" t="n">
        <v>1993</v>
      </c>
      <c r="D7264" t="n">
        <v>2.40836816573249</v>
      </c>
    </row>
    <row r="7265">
      <c r="A7265" t="inlineStr">
        <is>
          <t>North America</t>
        </is>
      </c>
      <c r="B7265" t="inlineStr">
        <is>
          <t>NAC</t>
        </is>
      </c>
      <c r="C7265" t="n">
        <v>1994</v>
      </c>
      <c r="D7265" t="n">
        <v>1.38650225303091</v>
      </c>
    </row>
    <row r="7266">
      <c r="A7266" t="inlineStr">
        <is>
          <t>North America</t>
        </is>
      </c>
      <c r="B7266" t="inlineStr">
        <is>
          <t>NAC</t>
        </is>
      </c>
      <c r="C7266" t="n">
        <v>1995</v>
      </c>
      <c r="D7266" t="n">
        <v>2.47709000955756</v>
      </c>
    </row>
    <row r="7267">
      <c r="A7267" t="inlineStr">
        <is>
          <t>North America</t>
        </is>
      </c>
      <c r="B7267" t="inlineStr">
        <is>
          <t>NAC</t>
        </is>
      </c>
      <c r="C7267" t="n">
        <v>1996</v>
      </c>
      <c r="D7267" t="n">
        <v>2.2508676625029</v>
      </c>
    </row>
    <row r="7268">
      <c r="A7268" t="inlineStr">
        <is>
          <t>North America</t>
        </is>
      </c>
      <c r="B7268" t="inlineStr">
        <is>
          <t>NAC</t>
        </is>
      </c>
      <c r="C7268" t="n">
        <v>1997</v>
      </c>
      <c r="D7268" t="n">
        <v>1.97945315907633</v>
      </c>
    </row>
    <row r="7269">
      <c r="A7269" t="inlineStr">
        <is>
          <t>North America</t>
        </is>
      </c>
      <c r="B7269" t="inlineStr">
        <is>
          <t>NAC</t>
        </is>
      </c>
      <c r="C7269" t="n">
        <v>1998</v>
      </c>
      <c r="D7269" t="n">
        <v>1.27411077770083</v>
      </c>
    </row>
    <row r="7270">
      <c r="A7270" t="inlineStr">
        <is>
          <t>North America</t>
        </is>
      </c>
      <c r="B7270" t="inlineStr">
        <is>
          <t>NAC</t>
        </is>
      </c>
      <c r="C7270" t="n">
        <v>1999</v>
      </c>
      <c r="D7270" t="n">
        <v>1.96143507401638</v>
      </c>
    </row>
    <row r="7271">
      <c r="A7271" t="inlineStr">
        <is>
          <t>North America</t>
        </is>
      </c>
      <c r="B7271" t="inlineStr">
        <is>
          <t>NAC</t>
        </is>
      </c>
      <c r="C7271" t="n">
        <v>2000</v>
      </c>
      <c r="D7271" t="n">
        <v>3.04814861420952</v>
      </c>
    </row>
    <row r="7272">
      <c r="A7272" t="inlineStr">
        <is>
          <t>North America</t>
        </is>
      </c>
      <c r="B7272" t="inlineStr">
        <is>
          <t>NAC</t>
        </is>
      </c>
      <c r="C7272" t="n">
        <v>2001</v>
      </c>
      <c r="D7272" t="n">
        <v>2.67564562932657</v>
      </c>
    </row>
    <row r="7273">
      <c r="A7273" t="inlineStr">
        <is>
          <t>North America</t>
        </is>
      </c>
      <c r="B7273" t="inlineStr">
        <is>
          <t>NAC</t>
        </is>
      </c>
      <c r="C7273" t="n">
        <v>2002</v>
      </c>
      <c r="D7273" t="n">
        <v>1.92221301795728</v>
      </c>
    </row>
    <row r="7274">
      <c r="A7274" t="inlineStr">
        <is>
          <t>North America</t>
        </is>
      </c>
      <c r="B7274" t="inlineStr">
        <is>
          <t>NAC</t>
        </is>
      </c>
      <c r="C7274" t="n">
        <v>2003</v>
      </c>
      <c r="D7274" t="n">
        <v>2.51432909348113</v>
      </c>
    </row>
    <row r="7275">
      <c r="A7275" t="inlineStr">
        <is>
          <t>North America</t>
        </is>
      </c>
      <c r="B7275" t="inlineStr">
        <is>
          <t>NAC</t>
        </is>
      </c>
      <c r="C7275" t="n">
        <v>2004</v>
      </c>
      <c r="D7275" t="n">
        <v>2.26724770583214</v>
      </c>
    </row>
    <row r="7276">
      <c r="A7276" t="inlineStr">
        <is>
          <t>North America</t>
        </is>
      </c>
      <c r="B7276" t="inlineStr">
        <is>
          <t>NAC</t>
        </is>
      </c>
      <c r="C7276" t="n">
        <v>2005</v>
      </c>
      <c r="D7276" t="n">
        <v>2.80314943994659</v>
      </c>
    </row>
    <row r="7277">
      <c r="A7277" t="inlineStr">
        <is>
          <t>North America</t>
        </is>
      </c>
      <c r="B7277" t="inlineStr">
        <is>
          <t>NAC</t>
        </is>
      </c>
      <c r="C7277" t="n">
        <v>2006</v>
      </c>
      <c r="D7277" t="n">
        <v>2.61398474802282</v>
      </c>
    </row>
    <row r="7278">
      <c r="A7278" t="inlineStr">
        <is>
          <t>North America</t>
        </is>
      </c>
      <c r="B7278" t="inlineStr">
        <is>
          <t>NAC</t>
        </is>
      </c>
      <c r="C7278" t="n">
        <v>2007</v>
      </c>
      <c r="D7278" t="n">
        <v>2.49552823708488</v>
      </c>
    </row>
    <row r="7279">
      <c r="A7279" t="inlineStr">
        <is>
          <t>North America</t>
        </is>
      </c>
      <c r="B7279" t="inlineStr">
        <is>
          <t>NAC</t>
        </is>
      </c>
      <c r="C7279" t="n">
        <v>2008</v>
      </c>
      <c r="D7279" t="n">
        <v>3.10468548554699</v>
      </c>
    </row>
    <row r="7280">
      <c r="A7280" t="inlineStr">
        <is>
          <t>North America</t>
        </is>
      </c>
      <c r="B7280" t="inlineStr">
        <is>
          <t>NAC</t>
        </is>
      </c>
      <c r="C7280" t="n">
        <v>2009</v>
      </c>
      <c r="D7280" t="n">
        <v>-0.028039731645224</v>
      </c>
    </row>
    <row r="7281">
      <c r="A7281" t="inlineStr">
        <is>
          <t>North America</t>
        </is>
      </c>
      <c r="B7281" t="inlineStr">
        <is>
          <t>NAC</t>
        </is>
      </c>
      <c r="C7281" t="n">
        <v>2010</v>
      </c>
      <c r="D7281" t="n">
        <v>1.70845749165809</v>
      </c>
    </row>
    <row r="7282">
      <c r="A7282" t="inlineStr">
        <is>
          <t>North America</t>
        </is>
      </c>
      <c r="B7282" t="inlineStr">
        <is>
          <t>NAC</t>
        </is>
      </c>
      <c r="C7282" t="n">
        <v>2011</v>
      </c>
      <c r="D7282" t="n">
        <v>3.03448832867276</v>
      </c>
    </row>
    <row r="7283">
      <c r="A7283" t="inlineStr">
        <is>
          <t>North America</t>
        </is>
      </c>
      <c r="B7283" t="inlineStr">
        <is>
          <t>NAC</t>
        </is>
      </c>
      <c r="C7283" t="n">
        <v>2012</v>
      </c>
      <c r="D7283" t="n">
        <v>1.79250774825292</v>
      </c>
    </row>
    <row r="7284">
      <c r="A7284" t="inlineStr">
        <is>
          <t>North America</t>
        </is>
      </c>
      <c r="B7284" t="inlineStr">
        <is>
          <t>NAC</t>
        </is>
      </c>
      <c r="C7284" t="n">
        <v>2013</v>
      </c>
      <c r="D7284" t="n">
        <v>1.20156227672124</v>
      </c>
    </row>
    <row r="7285">
      <c r="A7285" t="inlineStr">
        <is>
          <t>North America</t>
        </is>
      </c>
      <c r="B7285" t="inlineStr">
        <is>
          <t>NAC</t>
        </is>
      </c>
      <c r="C7285" t="n">
        <v>2014</v>
      </c>
      <c r="D7285" t="n">
        <v>1.76442944229339</v>
      </c>
    </row>
    <row r="7286">
      <c r="A7286" t="inlineStr">
        <is>
          <t>North America</t>
        </is>
      </c>
      <c r="B7286" t="inlineStr">
        <is>
          <t>NAC</t>
        </is>
      </c>
      <c r="C7286" t="n">
        <v>2015</v>
      </c>
      <c r="D7286" t="n">
        <v>0.621934248247611</v>
      </c>
    </row>
    <row r="7287">
      <c r="A7287" t="inlineStr">
        <is>
          <t>North America</t>
        </is>
      </c>
      <c r="B7287" t="inlineStr">
        <is>
          <t>NAC</t>
        </is>
      </c>
      <c r="C7287" t="n">
        <v>2016</v>
      </c>
      <c r="D7287" t="n">
        <v>1.34517137635811</v>
      </c>
    </row>
    <row r="7288">
      <c r="A7288" t="inlineStr">
        <is>
          <t>North America</t>
        </is>
      </c>
      <c r="B7288" t="inlineStr">
        <is>
          <t>NAC</t>
        </is>
      </c>
      <c r="C7288" t="n">
        <v>2017</v>
      </c>
      <c r="D7288" t="n">
        <v>1.86349706609469</v>
      </c>
    </row>
    <row r="7289">
      <c r="A7289" t="inlineStr">
        <is>
          <t>North America</t>
        </is>
      </c>
      <c r="B7289" t="inlineStr">
        <is>
          <t>NAC</t>
        </is>
      </c>
      <c r="C7289" t="n">
        <v>2018</v>
      </c>
      <c r="D7289" t="n">
        <v>2.3554044847046</v>
      </c>
    </row>
    <row r="7290">
      <c r="A7290" t="inlineStr">
        <is>
          <t>North America</t>
        </is>
      </c>
      <c r="B7290" t="inlineStr">
        <is>
          <t>NAC</t>
        </is>
      </c>
      <c r="C7290" t="n">
        <v>2019</v>
      </c>
      <c r="D7290" t="n">
        <v>1.88073954968807</v>
      </c>
    </row>
    <row r="7291">
      <c r="A7291" t="inlineStr">
        <is>
          <t>North America</t>
        </is>
      </c>
      <c r="B7291" t="inlineStr">
        <is>
          <t>NAC</t>
        </is>
      </c>
      <c r="C7291" t="n">
        <v>2020</v>
      </c>
      <c r="D7291" t="n">
        <v>0.975292014307058</v>
      </c>
    </row>
    <row r="7292">
      <c r="A7292" t="inlineStr">
        <is>
          <t>North America</t>
        </is>
      </c>
      <c r="B7292" t="inlineStr">
        <is>
          <t>NAC</t>
        </is>
      </c>
      <c r="C7292" t="n">
        <v>2021</v>
      </c>
      <c r="D7292" t="n">
        <v>4.04652602445635</v>
      </c>
    </row>
    <row r="7293">
      <c r="A7293" t="inlineStr">
        <is>
          <t>North America</t>
        </is>
      </c>
      <c r="B7293" t="inlineStr">
        <is>
          <t>NAC</t>
        </is>
      </c>
      <c r="C7293" t="n">
        <v>2022</v>
      </c>
      <c r="D7293" t="n">
        <v>7.40280048696867</v>
      </c>
    </row>
    <row r="7294">
      <c r="A7294" t="inlineStr">
        <is>
          <t>North America</t>
        </is>
      </c>
      <c r="B7294" t="inlineStr">
        <is>
          <t>NAC</t>
        </is>
      </c>
      <c r="C7294" t="n">
        <v>2023</v>
      </c>
      <c r="D7294" t="n">
        <v>3.99766999081457</v>
      </c>
    </row>
    <row r="7295">
      <c r="A7295" t="inlineStr">
        <is>
          <t>Namibia</t>
        </is>
      </c>
      <c r="B7295" t="inlineStr">
        <is>
          <t>NAM</t>
        </is>
      </c>
      <c r="C7295" t="n">
        <v>2003</v>
      </c>
      <c r="D7295" t="n">
        <v>7.1361531145863</v>
      </c>
    </row>
    <row r="7296">
      <c r="A7296" t="inlineStr">
        <is>
          <t>Namibia</t>
        </is>
      </c>
      <c r="B7296" t="inlineStr">
        <is>
          <t>NAM</t>
        </is>
      </c>
      <c r="C7296" t="n">
        <v>2004</v>
      </c>
      <c r="D7296" t="n">
        <v>4.13663213144748</v>
      </c>
    </row>
    <row r="7297">
      <c r="A7297" t="inlineStr">
        <is>
          <t>Namibia</t>
        </is>
      </c>
      <c r="B7297" t="inlineStr">
        <is>
          <t>NAM</t>
        </is>
      </c>
      <c r="C7297" t="n">
        <v>2005</v>
      </c>
      <c r="D7297" t="n">
        <v>2.28194607024307</v>
      </c>
    </row>
    <row r="7298">
      <c r="A7298" t="inlineStr">
        <is>
          <t>Namibia</t>
        </is>
      </c>
      <c r="B7298" t="inlineStr">
        <is>
          <t>NAM</t>
        </is>
      </c>
      <c r="C7298" t="n">
        <v>2006</v>
      </c>
      <c r="D7298" t="n">
        <v>4.96116689298916</v>
      </c>
    </row>
    <row r="7299">
      <c r="A7299" t="inlineStr">
        <is>
          <t>Namibia</t>
        </is>
      </c>
      <c r="B7299" t="inlineStr">
        <is>
          <t>NAM</t>
        </is>
      </c>
      <c r="C7299" t="n">
        <v>2007</v>
      </c>
      <c r="D7299" t="n">
        <v>6.54788141101717</v>
      </c>
    </row>
    <row r="7300">
      <c r="A7300" t="inlineStr">
        <is>
          <t>Namibia</t>
        </is>
      </c>
      <c r="B7300" t="inlineStr">
        <is>
          <t>NAM</t>
        </is>
      </c>
      <c r="C7300" t="n">
        <v>2008</v>
      </c>
      <c r="D7300" t="n">
        <v>9.0946430719281</v>
      </c>
    </row>
    <row r="7301">
      <c r="A7301" t="inlineStr">
        <is>
          <t>Namibia</t>
        </is>
      </c>
      <c r="B7301" t="inlineStr">
        <is>
          <t>NAM</t>
        </is>
      </c>
      <c r="C7301" t="n">
        <v>2009</v>
      </c>
      <c r="D7301" t="n">
        <v>9.45172651521705</v>
      </c>
    </row>
    <row r="7302">
      <c r="A7302" t="inlineStr">
        <is>
          <t>Namibia</t>
        </is>
      </c>
      <c r="B7302" t="inlineStr">
        <is>
          <t>NAM</t>
        </is>
      </c>
      <c r="C7302" t="n">
        <v>2010</v>
      </c>
      <c r="D7302" t="n">
        <v>4.8749198764395</v>
      </c>
    </row>
    <row r="7303">
      <c r="A7303" t="inlineStr">
        <is>
          <t>Namibia</t>
        </is>
      </c>
      <c r="B7303" t="inlineStr">
        <is>
          <t>NAM</t>
        </is>
      </c>
      <c r="C7303" t="n">
        <v>2011</v>
      </c>
      <c r="D7303" t="n">
        <v>5.005595180812</v>
      </c>
    </row>
    <row r="7304">
      <c r="A7304" t="inlineStr">
        <is>
          <t>Namibia</t>
        </is>
      </c>
      <c r="B7304" t="inlineStr">
        <is>
          <t>NAM</t>
        </is>
      </c>
      <c r="C7304" t="n">
        <v>2012</v>
      </c>
      <c r="D7304" t="n">
        <v>6.72199777334886</v>
      </c>
    </row>
    <row r="7305">
      <c r="A7305" t="inlineStr">
        <is>
          <t>Namibia</t>
        </is>
      </c>
      <c r="B7305" t="inlineStr">
        <is>
          <t>NAM</t>
        </is>
      </c>
      <c r="C7305" t="n">
        <v>2013</v>
      </c>
      <c r="D7305" t="n">
        <v>5.60092502290401</v>
      </c>
    </row>
    <row r="7306">
      <c r="A7306" t="inlineStr">
        <is>
          <t>Namibia</t>
        </is>
      </c>
      <c r="B7306" t="inlineStr">
        <is>
          <t>NAM</t>
        </is>
      </c>
      <c r="C7306" t="n">
        <v>2014</v>
      </c>
      <c r="D7306" t="n">
        <v>5.35016966859602</v>
      </c>
    </row>
    <row r="7307">
      <c r="A7307" t="inlineStr">
        <is>
          <t>Namibia</t>
        </is>
      </c>
      <c r="B7307" t="inlineStr">
        <is>
          <t>NAM</t>
        </is>
      </c>
      <c r="C7307" t="n">
        <v>2015</v>
      </c>
      <c r="D7307" t="n">
        <v>3.39401538410559</v>
      </c>
    </row>
    <row r="7308">
      <c r="A7308" t="inlineStr">
        <is>
          <t>Namibia</t>
        </is>
      </c>
      <c r="B7308" t="inlineStr">
        <is>
          <t>NAM</t>
        </is>
      </c>
      <c r="C7308" t="n">
        <v>2016</v>
      </c>
      <c r="D7308" t="n">
        <v>6.72858234593338</v>
      </c>
    </row>
    <row r="7309">
      <c r="A7309" t="inlineStr">
        <is>
          <t>Namibia</t>
        </is>
      </c>
      <c r="B7309" t="inlineStr">
        <is>
          <t>NAM</t>
        </is>
      </c>
      <c r="C7309" t="n">
        <v>2017</v>
      </c>
      <c r="D7309" t="n">
        <v>6.14579981111164</v>
      </c>
    </row>
    <row r="7310">
      <c r="A7310" t="inlineStr">
        <is>
          <t>Namibia</t>
        </is>
      </c>
      <c r="B7310" t="inlineStr">
        <is>
          <t>NAM</t>
        </is>
      </c>
      <c r="C7310" t="n">
        <v>2018</v>
      </c>
      <c r="D7310" t="n">
        <v>4.29159105337875</v>
      </c>
    </row>
    <row r="7311">
      <c r="A7311" t="inlineStr">
        <is>
          <t>Namibia</t>
        </is>
      </c>
      <c r="B7311" t="inlineStr">
        <is>
          <t>NAM</t>
        </is>
      </c>
      <c r="C7311" t="n">
        <v>2019</v>
      </c>
      <c r="D7311" t="n">
        <v>3.72239414422695</v>
      </c>
    </row>
    <row r="7312">
      <c r="A7312" t="inlineStr">
        <is>
          <t>Namibia</t>
        </is>
      </c>
      <c r="B7312" t="inlineStr">
        <is>
          <t>NAM</t>
        </is>
      </c>
      <c r="C7312" t="n">
        <v>2020</v>
      </c>
      <c r="D7312" t="n">
        <v>2.20938236933469</v>
      </c>
    </row>
    <row r="7313">
      <c r="A7313" t="inlineStr">
        <is>
          <t>Namibia</t>
        </is>
      </c>
      <c r="B7313" t="inlineStr">
        <is>
          <t>NAM</t>
        </is>
      </c>
      <c r="C7313" t="n">
        <v>2021</v>
      </c>
      <c r="D7313" t="n">
        <v>3.61690530108814</v>
      </c>
    </row>
    <row r="7314">
      <c r="A7314" t="inlineStr">
        <is>
          <t>Namibia</t>
        </is>
      </c>
      <c r="B7314" t="inlineStr">
        <is>
          <t>NAM</t>
        </is>
      </c>
      <c r="C7314" t="n">
        <v>2022</v>
      </c>
      <c r="D7314" t="n">
        <v>6.08128114112413</v>
      </c>
    </row>
    <row r="7315">
      <c r="A7315" t="inlineStr">
        <is>
          <t>Namibia</t>
        </is>
      </c>
      <c r="B7315" t="inlineStr">
        <is>
          <t>NAM</t>
        </is>
      </c>
      <c r="C7315" t="n">
        <v>2023</v>
      </c>
      <c r="D7315" t="n">
        <v>5.87993463284275</v>
      </c>
    </row>
    <row r="7316">
      <c r="A7316" t="inlineStr">
        <is>
          <t>Namibia</t>
        </is>
      </c>
      <c r="B7316" t="inlineStr">
        <is>
          <t>NAM</t>
        </is>
      </c>
      <c r="C7316" t="n">
        <v>2024</v>
      </c>
      <c r="D7316" t="n">
        <v>4.23903922877036</v>
      </c>
    </row>
    <row r="7317">
      <c r="A7317" t="inlineStr">
        <is>
          <t>New Caledonia</t>
        </is>
      </c>
      <c r="B7317" t="inlineStr">
        <is>
          <t>NCL</t>
        </is>
      </c>
      <c r="C7317" t="n">
        <v>2011</v>
      </c>
      <c r="D7317" t="n">
        <v>2.42899693753383</v>
      </c>
    </row>
    <row r="7318">
      <c r="A7318" t="inlineStr">
        <is>
          <t>New Caledonia</t>
        </is>
      </c>
      <c r="B7318" t="inlineStr">
        <is>
          <t>NCL</t>
        </is>
      </c>
      <c r="C7318" t="n">
        <v>2012</v>
      </c>
      <c r="D7318" t="n">
        <v>1.74967234600262</v>
      </c>
    </row>
    <row r="7319">
      <c r="A7319" t="inlineStr">
        <is>
          <t>New Caledonia</t>
        </is>
      </c>
      <c r="B7319" t="inlineStr">
        <is>
          <t>NCL</t>
        </is>
      </c>
      <c r="C7319" t="n">
        <v>2013</v>
      </c>
      <c r="D7319" t="n">
        <v>1.27761318992718</v>
      </c>
    </row>
    <row r="7320">
      <c r="A7320" t="inlineStr">
        <is>
          <t>New Caledonia</t>
        </is>
      </c>
      <c r="B7320" t="inlineStr">
        <is>
          <t>NCL</t>
        </is>
      </c>
      <c r="C7320" t="n">
        <v>2014</v>
      </c>
      <c r="D7320" t="n">
        <v>0.178851060785511</v>
      </c>
    </row>
    <row r="7321">
      <c r="A7321" t="inlineStr">
        <is>
          <t>New Caledonia</t>
        </is>
      </c>
      <c r="B7321" t="inlineStr">
        <is>
          <t>NCL</t>
        </is>
      </c>
      <c r="C7321" t="n">
        <v>2015</v>
      </c>
      <c r="D7321" t="n">
        <v>0.570508141048402</v>
      </c>
    </row>
    <row r="7322">
      <c r="A7322" t="inlineStr">
        <is>
          <t>New Caledonia</t>
        </is>
      </c>
      <c r="B7322" t="inlineStr">
        <is>
          <t>NCL</t>
        </is>
      </c>
      <c r="C7322" t="n">
        <v>2016</v>
      </c>
      <c r="D7322" t="n">
        <v>0.578317435520754</v>
      </c>
    </row>
    <row r="7323">
      <c r="A7323" t="inlineStr">
        <is>
          <t>Niger</t>
        </is>
      </c>
      <c r="B7323" t="inlineStr">
        <is>
          <t>NER</t>
        </is>
      </c>
      <c r="C7323" t="n">
        <v>1964</v>
      </c>
      <c r="D7323" t="n">
        <v>1.00401606426671</v>
      </c>
    </row>
    <row r="7324">
      <c r="A7324" t="inlineStr">
        <is>
          <t>Niger</t>
        </is>
      </c>
      <c r="B7324" t="inlineStr">
        <is>
          <t>NER</t>
        </is>
      </c>
      <c r="C7324" t="n">
        <v>1965</v>
      </c>
      <c r="D7324" t="n">
        <v>4.37375745630592</v>
      </c>
    </row>
    <row r="7325">
      <c r="A7325" t="inlineStr">
        <is>
          <t>Niger</t>
        </is>
      </c>
      <c r="B7325" t="inlineStr">
        <is>
          <t>NER</t>
        </is>
      </c>
      <c r="C7325" t="n">
        <v>1966</v>
      </c>
      <c r="D7325" t="n">
        <v>10.5714285704761</v>
      </c>
    </row>
    <row r="7326">
      <c r="A7326" t="inlineStr">
        <is>
          <t>Niger</t>
        </is>
      </c>
      <c r="B7326" t="inlineStr">
        <is>
          <t>NER</t>
        </is>
      </c>
      <c r="C7326" t="n">
        <v>1967</v>
      </c>
      <c r="D7326" t="n">
        <v>0.430663221364437</v>
      </c>
    </row>
    <row r="7327">
      <c r="A7327" t="inlineStr">
        <is>
          <t>Niger</t>
        </is>
      </c>
      <c r="B7327" t="inlineStr">
        <is>
          <t>NER</t>
        </is>
      </c>
      <c r="C7327" t="n">
        <v>1968</v>
      </c>
      <c r="D7327" t="n">
        <v>-2.92309891297468</v>
      </c>
    </row>
    <row r="7328">
      <c r="A7328" t="inlineStr">
        <is>
          <t>Niger</t>
        </is>
      </c>
      <c r="B7328" t="inlineStr">
        <is>
          <t>NER</t>
        </is>
      </c>
      <c r="C7328" t="n">
        <v>1969</v>
      </c>
      <c r="D7328" t="n">
        <v>10.6456600158433</v>
      </c>
    </row>
    <row r="7329">
      <c r="A7329" t="inlineStr">
        <is>
          <t>Niger</t>
        </is>
      </c>
      <c r="B7329" t="inlineStr">
        <is>
          <t>NER</t>
        </is>
      </c>
      <c r="C7329" t="n">
        <v>1970</v>
      </c>
      <c r="D7329" t="n">
        <v>1.11783884490559</v>
      </c>
    </row>
    <row r="7330">
      <c r="A7330" t="inlineStr">
        <is>
          <t>Niger</t>
        </is>
      </c>
      <c r="B7330" t="inlineStr">
        <is>
          <t>NER</t>
        </is>
      </c>
      <c r="C7330" t="n">
        <v>1971</v>
      </c>
      <c r="D7330" t="n">
        <v>4.19161676648677</v>
      </c>
    </row>
    <row r="7331">
      <c r="A7331" t="inlineStr">
        <is>
          <t>Niger</t>
        </is>
      </c>
      <c r="B7331" t="inlineStr">
        <is>
          <t>NER</t>
        </is>
      </c>
      <c r="C7331" t="n">
        <v>1972</v>
      </c>
      <c r="D7331" t="n">
        <v>9.751168372027029</v>
      </c>
    </row>
    <row r="7332">
      <c r="A7332" t="inlineStr">
        <is>
          <t>Niger</t>
        </is>
      </c>
      <c r="B7332" t="inlineStr">
        <is>
          <t>NER</t>
        </is>
      </c>
      <c r="C7332" t="n">
        <v>1973</v>
      </c>
      <c r="D7332" t="n">
        <v>11.7850155367474</v>
      </c>
    </row>
    <row r="7333">
      <c r="A7333" t="inlineStr">
        <is>
          <t>Niger</t>
        </is>
      </c>
      <c r="B7333" t="inlineStr">
        <is>
          <t>NER</t>
        </is>
      </c>
      <c r="C7333" t="n">
        <v>1974</v>
      </c>
      <c r="D7333" t="n">
        <v>3.39750849373326</v>
      </c>
    </row>
    <row r="7334">
      <c r="A7334" t="inlineStr">
        <is>
          <t>Niger</t>
        </is>
      </c>
      <c r="B7334" t="inlineStr">
        <is>
          <t>NER</t>
        </is>
      </c>
      <c r="C7334" t="n">
        <v>1975</v>
      </c>
      <c r="D7334" t="n">
        <v>9.11580205137059</v>
      </c>
    </row>
    <row r="7335">
      <c r="A7335" t="inlineStr">
        <is>
          <t>Niger</t>
        </is>
      </c>
      <c r="B7335" t="inlineStr">
        <is>
          <t>NER</t>
        </is>
      </c>
      <c r="C7335" t="n">
        <v>1976</v>
      </c>
      <c r="D7335" t="n">
        <v>23.5296801569284</v>
      </c>
    </row>
    <row r="7336">
      <c r="A7336" t="inlineStr">
        <is>
          <t>Niger</t>
        </is>
      </c>
      <c r="B7336" t="inlineStr">
        <is>
          <t>NER</t>
        </is>
      </c>
      <c r="C7336" t="n">
        <v>1977</v>
      </c>
      <c r="D7336" t="n">
        <v>23.251089606333</v>
      </c>
    </row>
    <row r="7337">
      <c r="A7337" t="inlineStr">
        <is>
          <t>Niger</t>
        </is>
      </c>
      <c r="B7337" t="inlineStr">
        <is>
          <t>NER</t>
        </is>
      </c>
      <c r="C7337" t="n">
        <v>1978</v>
      </c>
      <c r="D7337" t="n">
        <v>10.0932002756994</v>
      </c>
    </row>
    <row r="7338">
      <c r="A7338" t="inlineStr">
        <is>
          <t>Niger</t>
        </is>
      </c>
      <c r="B7338" t="inlineStr">
        <is>
          <t>NER</t>
        </is>
      </c>
      <c r="C7338" t="n">
        <v>1979</v>
      </c>
      <c r="D7338" t="n">
        <v>7.2678770722336</v>
      </c>
    </row>
    <row r="7339">
      <c r="A7339" t="inlineStr">
        <is>
          <t>Niger</t>
        </is>
      </c>
      <c r="B7339" t="inlineStr">
        <is>
          <t>NER</t>
        </is>
      </c>
      <c r="C7339" t="n">
        <v>1980</v>
      </c>
      <c r="D7339" t="n">
        <v>10.3052757124046</v>
      </c>
    </row>
    <row r="7340">
      <c r="A7340" t="inlineStr">
        <is>
          <t>Niger</t>
        </is>
      </c>
      <c r="B7340" t="inlineStr">
        <is>
          <t>NER</t>
        </is>
      </c>
      <c r="C7340" t="n">
        <v>1981</v>
      </c>
      <c r="D7340" t="n">
        <v>22.9134075641635</v>
      </c>
    </row>
    <row r="7341">
      <c r="A7341" t="inlineStr">
        <is>
          <t>Niger</t>
        </is>
      </c>
      <c r="B7341" t="inlineStr">
        <is>
          <t>NER</t>
        </is>
      </c>
      <c r="C7341" t="n">
        <v>1982</v>
      </c>
      <c r="D7341" t="n">
        <v>11.6418357416785</v>
      </c>
    </row>
    <row r="7342">
      <c r="A7342" t="inlineStr">
        <is>
          <t>Niger</t>
        </is>
      </c>
      <c r="B7342" t="inlineStr">
        <is>
          <t>NER</t>
        </is>
      </c>
      <c r="C7342" t="n">
        <v>1983</v>
      </c>
      <c r="D7342" t="n">
        <v>-2.48960568671488</v>
      </c>
    </row>
    <row r="7343">
      <c r="A7343" t="inlineStr">
        <is>
          <t>Niger</t>
        </is>
      </c>
      <c r="B7343" t="inlineStr">
        <is>
          <t>NER</t>
        </is>
      </c>
      <c r="C7343" t="n">
        <v>1984</v>
      </c>
      <c r="D7343" t="n">
        <v>8.364424118299651</v>
      </c>
    </row>
    <row r="7344">
      <c r="A7344" t="inlineStr">
        <is>
          <t>Niger</t>
        </is>
      </c>
      <c r="B7344" t="inlineStr">
        <is>
          <t>NER</t>
        </is>
      </c>
      <c r="C7344" t="n">
        <v>1985</v>
      </c>
      <c r="D7344" t="n">
        <v>-0.923399123994819</v>
      </c>
    </row>
    <row r="7345">
      <c r="A7345" t="inlineStr">
        <is>
          <t>Niger</t>
        </is>
      </c>
      <c r="B7345" t="inlineStr">
        <is>
          <t>NER</t>
        </is>
      </c>
      <c r="C7345" t="n">
        <v>1986</v>
      </c>
      <c r="D7345" t="n">
        <v>-3.20757134165687</v>
      </c>
    </row>
    <row r="7346">
      <c r="A7346" t="inlineStr">
        <is>
          <t>Niger</t>
        </is>
      </c>
      <c r="B7346" t="inlineStr">
        <is>
          <t>NER</t>
        </is>
      </c>
      <c r="C7346" t="n">
        <v>1987</v>
      </c>
      <c r="D7346" t="n">
        <v>-6.71210892901195</v>
      </c>
    </row>
    <row r="7347">
      <c r="A7347" t="inlineStr">
        <is>
          <t>Niger</t>
        </is>
      </c>
      <c r="B7347" t="inlineStr">
        <is>
          <t>NER</t>
        </is>
      </c>
      <c r="C7347" t="n">
        <v>1988</v>
      </c>
      <c r="D7347" t="n">
        <v>-1.39396304047091</v>
      </c>
    </row>
    <row r="7348">
      <c r="A7348" t="inlineStr">
        <is>
          <t>Niger</t>
        </is>
      </c>
      <c r="B7348" t="inlineStr">
        <is>
          <t>NER</t>
        </is>
      </c>
      <c r="C7348" t="n">
        <v>1989</v>
      </c>
      <c r="D7348" t="n">
        <v>-2.84352517985618</v>
      </c>
    </row>
    <row r="7349">
      <c r="A7349" t="inlineStr">
        <is>
          <t>Niger</t>
        </is>
      </c>
      <c r="B7349" t="inlineStr">
        <is>
          <t>NER</t>
        </is>
      </c>
      <c r="C7349" t="n">
        <v>1990</v>
      </c>
      <c r="D7349" t="n">
        <v>-0.7756530109775041</v>
      </c>
    </row>
    <row r="7350">
      <c r="A7350" t="inlineStr">
        <is>
          <t>Niger</t>
        </is>
      </c>
      <c r="B7350" t="inlineStr">
        <is>
          <t>NER</t>
        </is>
      </c>
      <c r="C7350" t="n">
        <v>1991</v>
      </c>
      <c r="D7350" t="n">
        <v>-7.79664179104467</v>
      </c>
    </row>
    <row r="7351">
      <c r="A7351" t="inlineStr">
        <is>
          <t>Niger</t>
        </is>
      </c>
      <c r="B7351" t="inlineStr">
        <is>
          <t>NER</t>
        </is>
      </c>
      <c r="C7351" t="n">
        <v>1992</v>
      </c>
      <c r="D7351" t="n">
        <v>-4.47561790247176</v>
      </c>
    </row>
    <row r="7352">
      <c r="A7352" t="inlineStr">
        <is>
          <t>Niger</t>
        </is>
      </c>
      <c r="B7352" t="inlineStr">
        <is>
          <t>NER</t>
        </is>
      </c>
      <c r="C7352" t="n">
        <v>1993</v>
      </c>
      <c r="D7352" t="n">
        <v>-1.21503496503496</v>
      </c>
    </row>
    <row r="7353">
      <c r="A7353" t="inlineStr">
        <is>
          <t>Niger</t>
        </is>
      </c>
      <c r="B7353" t="inlineStr">
        <is>
          <t>NER</t>
        </is>
      </c>
      <c r="C7353" t="n">
        <v>1994</v>
      </c>
      <c r="D7353" t="n">
        <v>36.0410583134241</v>
      </c>
    </row>
    <row r="7354">
      <c r="A7354" t="inlineStr">
        <is>
          <t>Niger</t>
        </is>
      </c>
      <c r="B7354" t="inlineStr">
        <is>
          <t>NER</t>
        </is>
      </c>
      <c r="C7354" t="n">
        <v>1995</v>
      </c>
      <c r="D7354" t="n">
        <v>10.5632886691814</v>
      </c>
    </row>
    <row r="7355">
      <c r="A7355" t="inlineStr">
        <is>
          <t>Niger</t>
        </is>
      </c>
      <c r="B7355" t="inlineStr">
        <is>
          <t>NER</t>
        </is>
      </c>
      <c r="C7355" t="n">
        <v>1996</v>
      </c>
      <c r="D7355" t="n">
        <v>5.28885751264882</v>
      </c>
    </row>
    <row r="7356">
      <c r="A7356" t="inlineStr">
        <is>
          <t>Niger</t>
        </is>
      </c>
      <c r="B7356" t="inlineStr">
        <is>
          <t>NER</t>
        </is>
      </c>
      <c r="C7356" t="n">
        <v>1997</v>
      </c>
      <c r="D7356" t="n">
        <v>2.93345253394422</v>
      </c>
    </row>
    <row r="7357">
      <c r="A7357" t="inlineStr">
        <is>
          <t>Niger</t>
        </is>
      </c>
      <c r="B7357" t="inlineStr">
        <is>
          <t>NER</t>
        </is>
      </c>
      <c r="C7357" t="n">
        <v>1998</v>
      </c>
      <c r="D7357" t="n">
        <v>4.5480157771872</v>
      </c>
    </row>
    <row r="7358">
      <c r="A7358" t="inlineStr">
        <is>
          <t>Niger</t>
        </is>
      </c>
      <c r="B7358" t="inlineStr">
        <is>
          <t>NER</t>
        </is>
      </c>
      <c r="C7358" t="n">
        <v>1999</v>
      </c>
      <c r="D7358" t="n">
        <v>-2.30212503849648</v>
      </c>
    </row>
    <row r="7359">
      <c r="A7359" t="inlineStr">
        <is>
          <t>Niger</t>
        </is>
      </c>
      <c r="B7359" t="inlineStr">
        <is>
          <t>NER</t>
        </is>
      </c>
      <c r="C7359" t="n">
        <v>2000</v>
      </c>
      <c r="D7359" t="n">
        <v>2.90014973599108</v>
      </c>
    </row>
    <row r="7360">
      <c r="A7360" t="inlineStr">
        <is>
          <t>Niger</t>
        </is>
      </c>
      <c r="B7360" t="inlineStr">
        <is>
          <t>NER</t>
        </is>
      </c>
      <c r="C7360" t="n">
        <v>2001</v>
      </c>
      <c r="D7360" t="n">
        <v>4.00551428352678</v>
      </c>
    </row>
    <row r="7361">
      <c r="A7361" t="inlineStr">
        <is>
          <t>Niger</t>
        </is>
      </c>
      <c r="B7361" t="inlineStr">
        <is>
          <t>NER</t>
        </is>
      </c>
      <c r="C7361" t="n">
        <v>2002</v>
      </c>
      <c r="D7361" t="n">
        <v>2.62886597938136</v>
      </c>
    </row>
    <row r="7362">
      <c r="A7362" t="inlineStr">
        <is>
          <t>Niger</t>
        </is>
      </c>
      <c r="B7362" t="inlineStr">
        <is>
          <t>NER</t>
        </is>
      </c>
      <c r="C7362" t="n">
        <v>2003</v>
      </c>
      <c r="D7362" t="n">
        <v>-1.61440769175596</v>
      </c>
    </row>
    <row r="7363">
      <c r="A7363" t="inlineStr">
        <is>
          <t>Niger</t>
        </is>
      </c>
      <c r="B7363" t="inlineStr">
        <is>
          <t>NER</t>
        </is>
      </c>
      <c r="C7363" t="n">
        <v>2004</v>
      </c>
      <c r="D7363" t="n">
        <v>0.262543757292838</v>
      </c>
    </row>
    <row r="7364">
      <c r="A7364" t="inlineStr">
        <is>
          <t>Niger</t>
        </is>
      </c>
      <c r="B7364" t="inlineStr">
        <is>
          <t>NER</t>
        </is>
      </c>
      <c r="C7364" t="n">
        <v>2005</v>
      </c>
      <c r="D7364" t="n">
        <v>7.7974978178644</v>
      </c>
    </row>
    <row r="7365">
      <c r="A7365" t="inlineStr">
        <is>
          <t>Niger</t>
        </is>
      </c>
      <c r="B7365" t="inlineStr">
        <is>
          <t>NER</t>
        </is>
      </c>
      <c r="C7365" t="n">
        <v>2006</v>
      </c>
      <c r="D7365" t="n">
        <v>0.0404858299595074</v>
      </c>
    </row>
    <row r="7366">
      <c r="A7366" t="inlineStr">
        <is>
          <t>Niger</t>
        </is>
      </c>
      <c r="B7366" t="inlineStr">
        <is>
          <t>NER</t>
        </is>
      </c>
      <c r="C7366" t="n">
        <v>2007</v>
      </c>
      <c r="D7366" t="n">
        <v>0.0539592607581562</v>
      </c>
    </row>
    <row r="7367">
      <c r="A7367" t="inlineStr">
        <is>
          <t>Niger</t>
        </is>
      </c>
      <c r="B7367" t="inlineStr">
        <is>
          <t>NER</t>
        </is>
      </c>
      <c r="C7367" t="n">
        <v>2008</v>
      </c>
      <c r="D7367" t="n">
        <v>11.3051098827019</v>
      </c>
    </row>
    <row r="7368">
      <c r="A7368" t="inlineStr">
        <is>
          <t>Niger</t>
        </is>
      </c>
      <c r="B7368" t="inlineStr">
        <is>
          <t>NER</t>
        </is>
      </c>
      <c r="C7368" t="n">
        <v>2009</v>
      </c>
      <c r="D7368" t="n">
        <v>0.5829065908011219</v>
      </c>
    </row>
    <row r="7369">
      <c r="A7369" t="inlineStr">
        <is>
          <t>Niger</t>
        </is>
      </c>
      <c r="B7369" t="inlineStr">
        <is>
          <t>NER</t>
        </is>
      </c>
      <c r="C7369" t="n">
        <v>2010</v>
      </c>
      <c r="D7369" t="n">
        <v>0.8040730808826591</v>
      </c>
    </row>
    <row r="7370">
      <c r="A7370" t="inlineStr">
        <is>
          <t>Niger</t>
        </is>
      </c>
      <c r="B7370" t="inlineStr">
        <is>
          <t>NER</t>
        </is>
      </c>
      <c r="C7370" t="n">
        <v>2011</v>
      </c>
      <c r="D7370" t="n">
        <v>2.9423851401332</v>
      </c>
    </row>
    <row r="7371">
      <c r="A7371" t="inlineStr">
        <is>
          <t>Niger</t>
        </is>
      </c>
      <c r="B7371" t="inlineStr">
        <is>
          <t>NER</t>
        </is>
      </c>
      <c r="C7371" t="n">
        <v>2012</v>
      </c>
      <c r="D7371" t="n">
        <v>0.455089820359289</v>
      </c>
    </row>
    <row r="7372">
      <c r="A7372" t="inlineStr">
        <is>
          <t>Niger</t>
        </is>
      </c>
      <c r="B7372" t="inlineStr">
        <is>
          <t>NER</t>
        </is>
      </c>
      <c r="C7372" t="n">
        <v>2013</v>
      </c>
      <c r="D7372" t="n">
        <v>2.29723114955317</v>
      </c>
    </row>
    <row r="7373">
      <c r="A7373" t="inlineStr">
        <is>
          <t>Niger</t>
        </is>
      </c>
      <c r="B7373" t="inlineStr">
        <is>
          <t>NER</t>
        </is>
      </c>
      <c r="C7373" t="n">
        <v>2014</v>
      </c>
      <c r="D7373" t="n">
        <v>-0.930287259984466</v>
      </c>
    </row>
    <row r="7374">
      <c r="A7374" t="inlineStr">
        <is>
          <t>Niger</t>
        </is>
      </c>
      <c r="B7374" t="inlineStr">
        <is>
          <t>NER</t>
        </is>
      </c>
      <c r="C7374" t="n">
        <v>2015</v>
      </c>
      <c r="D7374" t="n">
        <v>-0.576090369833189</v>
      </c>
    </row>
    <row r="7375">
      <c r="A7375" t="inlineStr">
        <is>
          <t>Niger</t>
        </is>
      </c>
      <c r="B7375" t="inlineStr">
        <is>
          <t>NER</t>
        </is>
      </c>
      <c r="C7375" t="n">
        <v>2016</v>
      </c>
      <c r="D7375" t="n">
        <v>1.65388922387806</v>
      </c>
    </row>
    <row r="7376">
      <c r="A7376" t="inlineStr">
        <is>
          <t>Niger</t>
        </is>
      </c>
      <c r="B7376" t="inlineStr">
        <is>
          <t>NER</t>
        </is>
      </c>
      <c r="C7376" t="n">
        <v>2017</v>
      </c>
      <c r="D7376" t="n">
        <v>2.79637318871284</v>
      </c>
    </row>
    <row r="7377">
      <c r="A7377" t="inlineStr">
        <is>
          <t>Niger</t>
        </is>
      </c>
      <c r="B7377" t="inlineStr">
        <is>
          <t>NER</t>
        </is>
      </c>
      <c r="C7377" t="n">
        <v>2018</v>
      </c>
      <c r="D7377" t="n">
        <v>2.96760366004456</v>
      </c>
    </row>
    <row r="7378">
      <c r="A7378" t="inlineStr">
        <is>
          <t>Niger</t>
        </is>
      </c>
      <c r="B7378" t="inlineStr">
        <is>
          <t>NER</t>
        </is>
      </c>
      <c r="C7378" t="n">
        <v>2019</v>
      </c>
      <c r="D7378" t="n">
        <v>-2.48979265070855</v>
      </c>
    </row>
    <row r="7379">
      <c r="A7379" t="inlineStr">
        <is>
          <t>Niger</t>
        </is>
      </c>
      <c r="B7379" t="inlineStr">
        <is>
          <t>NER</t>
        </is>
      </c>
      <c r="C7379" t="n">
        <v>2020</v>
      </c>
      <c r="D7379" t="n">
        <v>2.8981937602627</v>
      </c>
    </row>
    <row r="7380">
      <c r="A7380" t="inlineStr">
        <is>
          <t>Niger</t>
        </is>
      </c>
      <c r="B7380" t="inlineStr">
        <is>
          <t>NER</t>
        </is>
      </c>
      <c r="C7380" t="n">
        <v>2021</v>
      </c>
      <c r="D7380" t="n">
        <v>3.8378680284051</v>
      </c>
    </row>
    <row r="7381">
      <c r="A7381" t="inlineStr">
        <is>
          <t>Niger</t>
        </is>
      </c>
      <c r="B7381" t="inlineStr">
        <is>
          <t>NER</t>
        </is>
      </c>
      <c r="C7381" t="n">
        <v>2022</v>
      </c>
      <c r="D7381" t="n">
        <v>4.22621791916392</v>
      </c>
    </row>
    <row r="7382">
      <c r="A7382" t="inlineStr">
        <is>
          <t>Niger</t>
        </is>
      </c>
      <c r="B7382" t="inlineStr">
        <is>
          <t>NER</t>
        </is>
      </c>
      <c r="C7382" t="n">
        <v>2023</v>
      </c>
      <c r="D7382" t="n">
        <v>3.70097316425834</v>
      </c>
    </row>
    <row r="7383">
      <c r="A7383" t="inlineStr">
        <is>
          <t>Niger</t>
        </is>
      </c>
      <c r="B7383" t="inlineStr">
        <is>
          <t>NER</t>
        </is>
      </c>
      <c r="C7383" t="n">
        <v>2024</v>
      </c>
      <c r="D7383" t="n">
        <v>9.07151997725013</v>
      </c>
    </row>
    <row r="7384">
      <c r="A7384" t="inlineStr">
        <is>
          <t>Nigeria</t>
        </is>
      </c>
      <c r="B7384" t="inlineStr">
        <is>
          <t>NGA</t>
        </is>
      </c>
      <c r="C7384" t="n">
        <v>1960</v>
      </c>
      <c r="D7384" t="n">
        <v>5.4443273618724</v>
      </c>
    </row>
    <row r="7385">
      <c r="A7385" t="inlineStr">
        <is>
          <t>Nigeria</t>
        </is>
      </c>
      <c r="B7385" t="inlineStr">
        <is>
          <t>NGA</t>
        </is>
      </c>
      <c r="C7385" t="n">
        <v>1961</v>
      </c>
      <c r="D7385" t="n">
        <v>6.27914723477514</v>
      </c>
    </row>
    <row r="7386">
      <c r="A7386" t="inlineStr">
        <is>
          <t>Nigeria</t>
        </is>
      </c>
      <c r="B7386" t="inlineStr">
        <is>
          <t>NGA</t>
        </is>
      </c>
      <c r="C7386" t="n">
        <v>1962</v>
      </c>
      <c r="D7386" t="n">
        <v>5.26563234621733</v>
      </c>
    </row>
    <row r="7387">
      <c r="A7387" t="inlineStr">
        <is>
          <t>Nigeria</t>
        </is>
      </c>
      <c r="B7387" t="inlineStr">
        <is>
          <t>NGA</t>
        </is>
      </c>
      <c r="C7387" t="n">
        <v>1963</v>
      </c>
      <c r="D7387" t="n">
        <v>-2.69465535232731</v>
      </c>
    </row>
    <row r="7388">
      <c r="A7388" t="inlineStr">
        <is>
          <t>Nigeria</t>
        </is>
      </c>
      <c r="B7388" t="inlineStr">
        <is>
          <t>NGA</t>
        </is>
      </c>
      <c r="C7388" t="n">
        <v>1964</v>
      </c>
      <c r="D7388" t="n">
        <v>0.8567931457375541</v>
      </c>
    </row>
    <row r="7389">
      <c r="A7389" t="inlineStr">
        <is>
          <t>Nigeria</t>
        </is>
      </c>
      <c r="B7389" t="inlineStr">
        <is>
          <t>NGA</t>
        </is>
      </c>
      <c r="C7389" t="n">
        <v>1965</v>
      </c>
      <c r="D7389" t="n">
        <v>4.10345873811618</v>
      </c>
    </row>
    <row r="7390">
      <c r="A7390" t="inlineStr">
        <is>
          <t>Nigeria</t>
        </is>
      </c>
      <c r="B7390" t="inlineStr">
        <is>
          <t>NGA</t>
        </is>
      </c>
      <c r="C7390" t="n">
        <v>1966</v>
      </c>
      <c r="D7390" t="n">
        <v>9.690346083751191</v>
      </c>
    </row>
    <row r="7391">
      <c r="A7391" t="inlineStr">
        <is>
          <t>Nigeria</t>
        </is>
      </c>
      <c r="B7391" t="inlineStr">
        <is>
          <t>NGA</t>
        </is>
      </c>
      <c r="C7391" t="n">
        <v>1967</v>
      </c>
      <c r="D7391" t="n">
        <v>-3.72633676514215</v>
      </c>
    </row>
    <row r="7392">
      <c r="A7392" t="inlineStr">
        <is>
          <t>Nigeria</t>
        </is>
      </c>
      <c r="B7392" t="inlineStr">
        <is>
          <t>NGA</t>
        </is>
      </c>
      <c r="C7392" t="n">
        <v>1968</v>
      </c>
      <c r="D7392" t="n">
        <v>-0.476059059060833</v>
      </c>
    </row>
    <row r="7393">
      <c r="A7393" t="inlineStr">
        <is>
          <t>Nigeria</t>
        </is>
      </c>
      <c r="B7393" t="inlineStr">
        <is>
          <t>NGA</t>
        </is>
      </c>
      <c r="C7393" t="n">
        <v>1969</v>
      </c>
      <c r="D7393" t="n">
        <v>10.155979202822</v>
      </c>
    </row>
    <row r="7394">
      <c r="A7394" t="inlineStr">
        <is>
          <t>Nigeria</t>
        </is>
      </c>
      <c r="B7394" t="inlineStr">
        <is>
          <t>NGA</t>
        </is>
      </c>
      <c r="C7394" t="n">
        <v>1970</v>
      </c>
      <c r="D7394" t="n">
        <v>13.757079924793</v>
      </c>
    </row>
    <row r="7395">
      <c r="A7395" t="inlineStr">
        <is>
          <t>Nigeria</t>
        </is>
      </c>
      <c r="B7395" t="inlineStr">
        <is>
          <t>NGA</t>
        </is>
      </c>
      <c r="C7395" t="n">
        <v>1971</v>
      </c>
      <c r="D7395" t="n">
        <v>15.9991148482235</v>
      </c>
    </row>
    <row r="7396">
      <c r="A7396" t="inlineStr">
        <is>
          <t>Nigeria</t>
        </is>
      </c>
      <c r="B7396" t="inlineStr">
        <is>
          <t>NGA</t>
        </is>
      </c>
      <c r="C7396" t="n">
        <v>1972</v>
      </c>
      <c r="D7396" t="n">
        <v>3.457649752015</v>
      </c>
    </row>
    <row r="7397">
      <c r="A7397" t="inlineStr">
        <is>
          <t>Nigeria</t>
        </is>
      </c>
      <c r="B7397" t="inlineStr">
        <is>
          <t>NGA</t>
        </is>
      </c>
      <c r="C7397" t="n">
        <v>1973</v>
      </c>
      <c r="D7397" t="n">
        <v>5.4026644539422</v>
      </c>
    </row>
    <row r="7398">
      <c r="A7398" t="inlineStr">
        <is>
          <t>Nigeria</t>
        </is>
      </c>
      <c r="B7398" t="inlineStr">
        <is>
          <t>NGA</t>
        </is>
      </c>
      <c r="C7398" t="n">
        <v>1974</v>
      </c>
      <c r="D7398" t="n">
        <v>12.674393177433</v>
      </c>
    </row>
    <row r="7399">
      <c r="A7399" t="inlineStr">
        <is>
          <t>Nigeria</t>
        </is>
      </c>
      <c r="B7399" t="inlineStr">
        <is>
          <t>NGA</t>
        </is>
      </c>
      <c r="C7399" t="n">
        <v>1975</v>
      </c>
      <c r="D7399" t="n">
        <v>33.9641883221777</v>
      </c>
    </row>
    <row r="7400">
      <c r="A7400" t="inlineStr">
        <is>
          <t>Nigeria</t>
        </is>
      </c>
      <c r="B7400" t="inlineStr">
        <is>
          <t>NGA</t>
        </is>
      </c>
      <c r="C7400" t="n">
        <v>1976</v>
      </c>
      <c r="D7400" t="n">
        <v>24.2999999999996</v>
      </c>
    </row>
    <row r="7401">
      <c r="A7401" t="inlineStr">
        <is>
          <t>Nigeria</t>
        </is>
      </c>
      <c r="B7401" t="inlineStr">
        <is>
          <t>NGA</t>
        </is>
      </c>
      <c r="C7401" t="n">
        <v>1977</v>
      </c>
      <c r="D7401" t="n">
        <v>15.0878340572687</v>
      </c>
    </row>
    <row r="7402">
      <c r="A7402" t="inlineStr">
        <is>
          <t>Nigeria</t>
        </is>
      </c>
      <c r="B7402" t="inlineStr">
        <is>
          <t>NGA</t>
        </is>
      </c>
      <c r="C7402" t="n">
        <v>1978</v>
      </c>
      <c r="D7402" t="n">
        <v>21.7092457416665</v>
      </c>
    </row>
    <row r="7403">
      <c r="A7403" t="inlineStr">
        <is>
          <t>Nigeria</t>
        </is>
      </c>
      <c r="B7403" t="inlineStr">
        <is>
          <t>NGA</t>
        </is>
      </c>
      <c r="C7403" t="n">
        <v>1979</v>
      </c>
      <c r="D7403" t="n">
        <v>11.7097306212117</v>
      </c>
    </row>
    <row r="7404">
      <c r="A7404" t="inlineStr">
        <is>
          <t>Nigeria</t>
        </is>
      </c>
      <c r="B7404" t="inlineStr">
        <is>
          <t>NGA</t>
        </is>
      </c>
      <c r="C7404" t="n">
        <v>1980</v>
      </c>
      <c r="D7404" t="n">
        <v>9.972261990014269</v>
      </c>
    </row>
    <row r="7405">
      <c r="A7405" t="inlineStr">
        <is>
          <t>Nigeria</t>
        </is>
      </c>
      <c r="B7405" t="inlineStr">
        <is>
          <t>NGA</t>
        </is>
      </c>
      <c r="C7405" t="n">
        <v>1981</v>
      </c>
      <c r="D7405" t="n">
        <v>20.8128229121949</v>
      </c>
    </row>
    <row r="7406">
      <c r="A7406" t="inlineStr">
        <is>
          <t>Nigeria</t>
        </is>
      </c>
      <c r="B7406" t="inlineStr">
        <is>
          <t>NGA</t>
        </is>
      </c>
      <c r="C7406" t="n">
        <v>1982</v>
      </c>
      <c r="D7406" t="n">
        <v>7.69774724714251</v>
      </c>
    </row>
    <row r="7407">
      <c r="A7407" t="inlineStr">
        <is>
          <t>Nigeria</t>
        </is>
      </c>
      <c r="B7407" t="inlineStr">
        <is>
          <t>NGA</t>
        </is>
      </c>
      <c r="C7407" t="n">
        <v>1983</v>
      </c>
      <c r="D7407" t="n">
        <v>23.2123315511559</v>
      </c>
    </row>
    <row r="7408">
      <c r="A7408" t="inlineStr">
        <is>
          <t>Nigeria</t>
        </is>
      </c>
      <c r="B7408" t="inlineStr">
        <is>
          <t>NGA</t>
        </is>
      </c>
      <c r="C7408" t="n">
        <v>1984</v>
      </c>
      <c r="D7408" t="n">
        <v>17.8205332860842</v>
      </c>
    </row>
    <row r="7409">
      <c r="A7409" t="inlineStr">
        <is>
          <t>Nigeria</t>
        </is>
      </c>
      <c r="B7409" t="inlineStr">
        <is>
          <t>NGA</t>
        </is>
      </c>
      <c r="C7409" t="n">
        <v>1985</v>
      </c>
      <c r="D7409" t="n">
        <v>7.4353448275863</v>
      </c>
    </row>
    <row r="7410">
      <c r="A7410" t="inlineStr">
        <is>
          <t>Nigeria</t>
        </is>
      </c>
      <c r="B7410" t="inlineStr">
        <is>
          <t>NGA</t>
        </is>
      </c>
      <c r="C7410" t="n">
        <v>1986</v>
      </c>
      <c r="D7410" t="n">
        <v>5.71715145436305</v>
      </c>
    </row>
    <row r="7411">
      <c r="A7411" t="inlineStr">
        <is>
          <t>Nigeria</t>
        </is>
      </c>
      <c r="B7411" t="inlineStr">
        <is>
          <t>NGA</t>
        </is>
      </c>
      <c r="C7411" t="n">
        <v>1987</v>
      </c>
      <c r="D7411" t="n">
        <v>11.2903225806452</v>
      </c>
    </row>
    <row r="7412">
      <c r="A7412" t="inlineStr">
        <is>
          <t>Nigeria</t>
        </is>
      </c>
      <c r="B7412" t="inlineStr">
        <is>
          <t>NGA</t>
        </is>
      </c>
      <c r="C7412" t="n">
        <v>1988</v>
      </c>
      <c r="D7412" t="n">
        <v>54.5112247797671</v>
      </c>
    </row>
    <row r="7413">
      <c r="A7413" t="inlineStr">
        <is>
          <t>Nigeria</t>
        </is>
      </c>
      <c r="B7413" t="inlineStr">
        <is>
          <t>NGA</t>
        </is>
      </c>
      <c r="C7413" t="n">
        <v>1989</v>
      </c>
      <c r="D7413" t="n">
        <v>50.4666881235916</v>
      </c>
    </row>
    <row r="7414">
      <c r="A7414" t="inlineStr">
        <is>
          <t>Nigeria</t>
        </is>
      </c>
      <c r="B7414" t="inlineStr">
        <is>
          <t>NGA</t>
        </is>
      </c>
      <c r="C7414" t="n">
        <v>1990</v>
      </c>
      <c r="D7414" t="n">
        <v>7.36440030557692</v>
      </c>
    </row>
    <row r="7415">
      <c r="A7415" t="inlineStr">
        <is>
          <t>Nigeria</t>
        </is>
      </c>
      <c r="B7415" t="inlineStr">
        <is>
          <t>NGA</t>
        </is>
      </c>
      <c r="C7415" t="n">
        <v>1991</v>
      </c>
      <c r="D7415" t="n">
        <v>13.0069731037427</v>
      </c>
    </row>
    <row r="7416">
      <c r="A7416" t="inlineStr">
        <is>
          <t>Nigeria</t>
        </is>
      </c>
      <c r="B7416" t="inlineStr">
        <is>
          <t>NGA</t>
        </is>
      </c>
      <c r="C7416" t="n">
        <v>1992</v>
      </c>
      <c r="D7416" t="n">
        <v>44.588842715023</v>
      </c>
    </row>
    <row r="7417">
      <c r="A7417" t="inlineStr">
        <is>
          <t>Nigeria</t>
        </is>
      </c>
      <c r="B7417" t="inlineStr">
        <is>
          <t>NGA</t>
        </is>
      </c>
      <c r="C7417" t="n">
        <v>1993</v>
      </c>
      <c r="D7417" t="n">
        <v>57.1652528349217</v>
      </c>
    </row>
    <row r="7418">
      <c r="A7418" t="inlineStr">
        <is>
          <t>Nigeria</t>
        </is>
      </c>
      <c r="B7418" t="inlineStr">
        <is>
          <t>NGA</t>
        </is>
      </c>
      <c r="C7418" t="n">
        <v>1994</v>
      </c>
      <c r="D7418" t="n">
        <v>57.031708911966</v>
      </c>
    </row>
    <row r="7419">
      <c r="A7419" t="inlineStr">
        <is>
          <t>Nigeria</t>
        </is>
      </c>
      <c r="B7419" t="inlineStr">
        <is>
          <t>NGA</t>
        </is>
      </c>
      <c r="C7419" t="n">
        <v>1995</v>
      </c>
      <c r="D7419" t="n">
        <v>72.8355022972637</v>
      </c>
    </row>
    <row r="7420">
      <c r="A7420" t="inlineStr">
        <is>
          <t>Nigeria</t>
        </is>
      </c>
      <c r="B7420" t="inlineStr">
        <is>
          <t>NGA</t>
        </is>
      </c>
      <c r="C7420" t="n">
        <v>1996</v>
      </c>
      <c r="D7420" t="n">
        <v>29.2682926829271</v>
      </c>
    </row>
    <row r="7421">
      <c r="A7421" t="inlineStr">
        <is>
          <t>Nigeria</t>
        </is>
      </c>
      <c r="B7421" t="inlineStr">
        <is>
          <t>NGA</t>
        </is>
      </c>
      <c r="C7421" t="n">
        <v>1997</v>
      </c>
      <c r="D7421" t="n">
        <v>8.52987421383639</v>
      </c>
    </row>
    <row r="7422">
      <c r="A7422" t="inlineStr">
        <is>
          <t>Nigeria</t>
        </is>
      </c>
      <c r="B7422" t="inlineStr">
        <is>
          <t>NGA</t>
        </is>
      </c>
      <c r="C7422" t="n">
        <v>1998</v>
      </c>
      <c r="D7422" t="n">
        <v>9.996378123868009</v>
      </c>
    </row>
    <row r="7423">
      <c r="A7423" t="inlineStr">
        <is>
          <t>Nigeria</t>
        </is>
      </c>
      <c r="B7423" t="inlineStr">
        <is>
          <t>NGA</t>
        </is>
      </c>
      <c r="C7423" t="n">
        <v>1999</v>
      </c>
      <c r="D7423" t="n">
        <v>6.61837339479756</v>
      </c>
    </row>
    <row r="7424">
      <c r="A7424" t="inlineStr">
        <is>
          <t>Nigeria</t>
        </is>
      </c>
      <c r="B7424" t="inlineStr">
        <is>
          <t>NGA</t>
        </is>
      </c>
      <c r="C7424" t="n">
        <v>2000</v>
      </c>
      <c r="D7424" t="n">
        <v>6.93329215565161</v>
      </c>
    </row>
    <row r="7425">
      <c r="A7425" t="inlineStr">
        <is>
          <t>Nigeria</t>
        </is>
      </c>
      <c r="B7425" t="inlineStr">
        <is>
          <t>NGA</t>
        </is>
      </c>
      <c r="C7425" t="n">
        <v>2001</v>
      </c>
      <c r="D7425" t="n">
        <v>18.8736462093862</v>
      </c>
    </row>
    <row r="7426">
      <c r="A7426" t="inlineStr">
        <is>
          <t>Nigeria</t>
        </is>
      </c>
      <c r="B7426" t="inlineStr">
        <is>
          <t>NGA</t>
        </is>
      </c>
      <c r="C7426" t="n">
        <v>2002</v>
      </c>
      <c r="D7426" t="n">
        <v>12.8765792031099</v>
      </c>
    </row>
    <row r="7427">
      <c r="A7427" t="inlineStr">
        <is>
          <t>Nigeria</t>
        </is>
      </c>
      <c r="B7427" t="inlineStr">
        <is>
          <t>NGA</t>
        </is>
      </c>
      <c r="C7427" t="n">
        <v>2003</v>
      </c>
      <c r="D7427" t="n">
        <v>14.0317836131437</v>
      </c>
    </row>
    <row r="7428">
      <c r="A7428" t="inlineStr">
        <is>
          <t>Nigeria</t>
        </is>
      </c>
      <c r="B7428" t="inlineStr">
        <is>
          <t>NGA</t>
        </is>
      </c>
      <c r="C7428" t="n">
        <v>2004</v>
      </c>
      <c r="D7428" t="n">
        <v>14.9980338183251</v>
      </c>
    </row>
    <row r="7429">
      <c r="A7429" t="inlineStr">
        <is>
          <t>Nigeria</t>
        </is>
      </c>
      <c r="B7429" t="inlineStr">
        <is>
          <t>NGA</t>
        </is>
      </c>
      <c r="C7429" t="n">
        <v>2005</v>
      </c>
      <c r="D7429" t="n">
        <v>17.8634933661605</v>
      </c>
    </row>
    <row r="7430">
      <c r="A7430" t="inlineStr">
        <is>
          <t>Nigeria</t>
        </is>
      </c>
      <c r="B7430" t="inlineStr">
        <is>
          <t>NGA</t>
        </is>
      </c>
      <c r="C7430" t="n">
        <v>2006</v>
      </c>
      <c r="D7430" t="n">
        <v>8.22522152017048</v>
      </c>
    </row>
    <row r="7431">
      <c r="A7431" t="inlineStr">
        <is>
          <t>Nigeria</t>
        </is>
      </c>
      <c r="B7431" t="inlineStr">
        <is>
          <t>NGA</t>
        </is>
      </c>
      <c r="C7431" t="n">
        <v>2007</v>
      </c>
      <c r="D7431" t="n">
        <v>5.3880079685863</v>
      </c>
    </row>
    <row r="7432">
      <c r="A7432" t="inlineStr">
        <is>
          <t>Nigeria</t>
        </is>
      </c>
      <c r="B7432" t="inlineStr">
        <is>
          <t>NGA</t>
        </is>
      </c>
      <c r="C7432" t="n">
        <v>2008</v>
      </c>
      <c r="D7432" t="n">
        <v>11.5810751748252</v>
      </c>
    </row>
    <row r="7433">
      <c r="A7433" t="inlineStr">
        <is>
          <t>Nigeria</t>
        </is>
      </c>
      <c r="B7433" t="inlineStr">
        <is>
          <t>NGA</t>
        </is>
      </c>
      <c r="C7433" t="n">
        <v>2009</v>
      </c>
      <c r="D7433" t="n">
        <v>12.5378277304689</v>
      </c>
    </row>
    <row r="7434">
      <c r="A7434" t="inlineStr">
        <is>
          <t>Nigeria</t>
        </is>
      </c>
      <c r="B7434" t="inlineStr">
        <is>
          <t>NGA</t>
        </is>
      </c>
      <c r="C7434" t="n">
        <v>2010</v>
      </c>
      <c r="D7434" t="n">
        <v>13.7400521363694</v>
      </c>
    </row>
    <row r="7435">
      <c r="A7435" t="inlineStr">
        <is>
          <t>Nigeria</t>
        </is>
      </c>
      <c r="B7435" t="inlineStr">
        <is>
          <t>NGA</t>
        </is>
      </c>
      <c r="C7435" t="n">
        <v>2011</v>
      </c>
      <c r="D7435" t="n">
        <v>10.8261371880017</v>
      </c>
    </row>
    <row r="7436">
      <c r="A7436" t="inlineStr">
        <is>
          <t>Nigeria</t>
        </is>
      </c>
      <c r="B7436" t="inlineStr">
        <is>
          <t>NGA</t>
        </is>
      </c>
      <c r="C7436" t="n">
        <v>2012</v>
      </c>
      <c r="D7436" t="n">
        <v>12.2242413020583</v>
      </c>
    </row>
    <row r="7437">
      <c r="A7437" t="inlineStr">
        <is>
          <t>Nigeria</t>
        </is>
      </c>
      <c r="B7437" t="inlineStr">
        <is>
          <t>NGA</t>
        </is>
      </c>
      <c r="C7437" t="n">
        <v>2013</v>
      </c>
      <c r="D7437" t="n">
        <v>8.49551838265678</v>
      </c>
    </row>
    <row r="7438">
      <c r="A7438" t="inlineStr">
        <is>
          <t>Nigeria</t>
        </is>
      </c>
      <c r="B7438" t="inlineStr">
        <is>
          <t>NGA</t>
        </is>
      </c>
      <c r="C7438" t="n">
        <v>2014</v>
      </c>
      <c r="D7438" t="n">
        <v>8.04741087967907</v>
      </c>
    </row>
    <row r="7439">
      <c r="A7439" t="inlineStr">
        <is>
          <t>Nigeria</t>
        </is>
      </c>
      <c r="B7439" t="inlineStr">
        <is>
          <t>NGA</t>
        </is>
      </c>
      <c r="C7439" t="n">
        <v>2015</v>
      </c>
      <c r="D7439" t="n">
        <v>9.009434980076991</v>
      </c>
    </row>
    <row r="7440">
      <c r="A7440" t="inlineStr">
        <is>
          <t>Nigeria</t>
        </is>
      </c>
      <c r="B7440" t="inlineStr">
        <is>
          <t>NGA</t>
        </is>
      </c>
      <c r="C7440" t="n">
        <v>2016</v>
      </c>
      <c r="D7440" t="n">
        <v>15.6968126387972</v>
      </c>
    </row>
    <row r="7441">
      <c r="A7441" t="inlineStr">
        <is>
          <t>Nigeria</t>
        </is>
      </c>
      <c r="B7441" t="inlineStr">
        <is>
          <t>NGA</t>
        </is>
      </c>
      <c r="C7441" t="n">
        <v>2017</v>
      </c>
      <c r="D7441" t="n">
        <v>16.5022662139641</v>
      </c>
    </row>
    <row r="7442">
      <c r="A7442" t="inlineStr">
        <is>
          <t>Nigeria</t>
        </is>
      </c>
      <c r="B7442" t="inlineStr">
        <is>
          <t>NGA</t>
        </is>
      </c>
      <c r="C7442" t="n">
        <v>2018</v>
      </c>
      <c r="D7442" t="n">
        <v>12.0951065173432</v>
      </c>
    </row>
    <row r="7443">
      <c r="A7443" t="inlineStr">
        <is>
          <t>Nigeria</t>
        </is>
      </c>
      <c r="B7443" t="inlineStr">
        <is>
          <t>NGA</t>
        </is>
      </c>
      <c r="C7443" t="n">
        <v>2019</v>
      </c>
      <c r="D7443" t="n">
        <v>11.3964223378115</v>
      </c>
    </row>
    <row r="7444">
      <c r="A7444" t="inlineStr">
        <is>
          <t>Nigeria</t>
        </is>
      </c>
      <c r="B7444" t="inlineStr">
        <is>
          <t>NGA</t>
        </is>
      </c>
      <c r="C7444" t="n">
        <v>2020</v>
      </c>
      <c r="D7444" t="n">
        <v>13.2460234276597</v>
      </c>
    </row>
    <row r="7445">
      <c r="A7445" t="inlineStr">
        <is>
          <t>Nigeria</t>
        </is>
      </c>
      <c r="B7445" t="inlineStr">
        <is>
          <t>NGA</t>
        </is>
      </c>
      <c r="C7445" t="n">
        <v>2021</v>
      </c>
      <c r="D7445" t="n">
        <v>16.9528457221608</v>
      </c>
    </row>
    <row r="7446">
      <c r="A7446" t="inlineStr">
        <is>
          <t>Nigeria</t>
        </is>
      </c>
      <c r="B7446" t="inlineStr">
        <is>
          <t>NGA</t>
        </is>
      </c>
      <c r="C7446" t="n">
        <v>2022</v>
      </c>
      <c r="D7446" t="n">
        <v>18.8471877843274</v>
      </c>
    </row>
    <row r="7447">
      <c r="A7447" t="inlineStr">
        <is>
          <t>Nigeria</t>
        </is>
      </c>
      <c r="B7447" t="inlineStr">
        <is>
          <t>NGA</t>
        </is>
      </c>
      <c r="C7447" t="n">
        <v>2023</v>
      </c>
      <c r="D7447" t="n">
        <v>24.6595502031139</v>
      </c>
    </row>
    <row r="7448">
      <c r="A7448" t="inlineStr">
        <is>
          <t>Nicaragua</t>
        </is>
      </c>
      <c r="B7448" t="inlineStr">
        <is>
          <t>NIC</t>
        </is>
      </c>
      <c r="C7448" t="n">
        <v>2000</v>
      </c>
      <c r="D7448" t="n">
        <v>7.06991352252517</v>
      </c>
    </row>
    <row r="7449">
      <c r="A7449" t="inlineStr">
        <is>
          <t>Nicaragua</t>
        </is>
      </c>
      <c r="B7449" t="inlineStr">
        <is>
          <t>NIC</t>
        </is>
      </c>
      <c r="C7449" t="n">
        <v>2001</v>
      </c>
      <c r="D7449" t="n">
        <v>5.98604186279518</v>
      </c>
    </row>
    <row r="7450">
      <c r="A7450" t="inlineStr">
        <is>
          <t>Nicaragua</t>
        </is>
      </c>
      <c r="B7450" t="inlineStr">
        <is>
          <t>NIC</t>
        </is>
      </c>
      <c r="C7450" t="n">
        <v>2002</v>
      </c>
      <c r="D7450" t="n">
        <v>3.75017465778466</v>
      </c>
    </row>
    <row r="7451">
      <c r="A7451" t="inlineStr">
        <is>
          <t>Nicaragua</t>
        </is>
      </c>
      <c r="B7451" t="inlineStr">
        <is>
          <t>NIC</t>
        </is>
      </c>
      <c r="C7451" t="n">
        <v>2003</v>
      </c>
      <c r="D7451" t="n">
        <v>5.30238773219936</v>
      </c>
    </row>
    <row r="7452">
      <c r="A7452" t="inlineStr">
        <is>
          <t>Nicaragua</t>
        </is>
      </c>
      <c r="B7452" t="inlineStr">
        <is>
          <t>NIC</t>
        </is>
      </c>
      <c r="C7452" t="n">
        <v>2004</v>
      </c>
      <c r="D7452" t="n">
        <v>8.47021063584077</v>
      </c>
    </row>
    <row r="7453">
      <c r="A7453" t="inlineStr">
        <is>
          <t>Nicaragua</t>
        </is>
      </c>
      <c r="B7453" t="inlineStr">
        <is>
          <t>NIC</t>
        </is>
      </c>
      <c r="C7453" t="n">
        <v>2005</v>
      </c>
      <c r="D7453" t="n">
        <v>9.59909986064425</v>
      </c>
    </row>
    <row r="7454">
      <c r="A7454" t="inlineStr">
        <is>
          <t>Nicaragua</t>
        </is>
      </c>
      <c r="B7454" t="inlineStr">
        <is>
          <t>NIC</t>
        </is>
      </c>
      <c r="C7454" t="n">
        <v>2006</v>
      </c>
      <c r="D7454" t="n">
        <v>9.1401996677772</v>
      </c>
    </row>
    <row r="7455">
      <c r="A7455" t="inlineStr">
        <is>
          <t>Nicaragua</t>
        </is>
      </c>
      <c r="B7455" t="inlineStr">
        <is>
          <t>NIC</t>
        </is>
      </c>
      <c r="C7455" t="n">
        <v>2007</v>
      </c>
      <c r="D7455" t="n">
        <v>11.1269347446118</v>
      </c>
    </row>
    <row r="7456">
      <c r="A7456" t="inlineStr">
        <is>
          <t>Nicaragua</t>
        </is>
      </c>
      <c r="B7456" t="inlineStr">
        <is>
          <t>NIC</t>
        </is>
      </c>
      <c r="C7456" t="n">
        <v>2008</v>
      </c>
      <c r="D7456" t="n">
        <v>19.8262031287429</v>
      </c>
    </row>
    <row r="7457">
      <c r="A7457" t="inlineStr">
        <is>
          <t>Nicaragua</t>
        </is>
      </c>
      <c r="B7457" t="inlineStr">
        <is>
          <t>NIC</t>
        </is>
      </c>
      <c r="C7457" t="n">
        <v>2009</v>
      </c>
      <c r="D7457" t="n">
        <v>3.68700160498797</v>
      </c>
    </row>
    <row r="7458">
      <c r="A7458" t="inlineStr">
        <is>
          <t>Nicaragua</t>
        </is>
      </c>
      <c r="B7458" t="inlineStr">
        <is>
          <t>NIC</t>
        </is>
      </c>
      <c r="C7458" t="n">
        <v>2010</v>
      </c>
      <c r="D7458" t="n">
        <v>5.45513425887423</v>
      </c>
    </row>
    <row r="7459">
      <c r="A7459" t="inlineStr">
        <is>
          <t>Nicaragua</t>
        </is>
      </c>
      <c r="B7459" t="inlineStr">
        <is>
          <t>NIC</t>
        </is>
      </c>
      <c r="C7459" t="n">
        <v>2011</v>
      </c>
      <c r="D7459" t="n">
        <v>8.082387980990999</v>
      </c>
    </row>
    <row r="7460">
      <c r="A7460" t="inlineStr">
        <is>
          <t>Nicaragua</t>
        </is>
      </c>
      <c r="B7460" t="inlineStr">
        <is>
          <t>NIC</t>
        </is>
      </c>
      <c r="C7460" t="n">
        <v>2012</v>
      </c>
      <c r="D7460" t="n">
        <v>7.1935505333896</v>
      </c>
    </row>
    <row r="7461">
      <c r="A7461" t="inlineStr">
        <is>
          <t>Nicaragua</t>
        </is>
      </c>
      <c r="B7461" t="inlineStr">
        <is>
          <t>NIC</t>
        </is>
      </c>
      <c r="C7461" t="n">
        <v>2013</v>
      </c>
      <c r="D7461" t="n">
        <v>7.13546785289407</v>
      </c>
    </row>
    <row r="7462">
      <c r="A7462" t="inlineStr">
        <is>
          <t>Nicaragua</t>
        </is>
      </c>
      <c r="B7462" t="inlineStr">
        <is>
          <t>NIC</t>
        </is>
      </c>
      <c r="C7462" t="n">
        <v>2014</v>
      </c>
      <c r="D7462" t="n">
        <v>6.03596861798425</v>
      </c>
    </row>
    <row r="7463">
      <c r="A7463" t="inlineStr">
        <is>
          <t>Nicaragua</t>
        </is>
      </c>
      <c r="B7463" t="inlineStr">
        <is>
          <t>NIC</t>
        </is>
      </c>
      <c r="C7463" t="n">
        <v>2015</v>
      </c>
      <c r="D7463" t="n">
        <v>3.99737996694396</v>
      </c>
    </row>
    <row r="7464">
      <c r="A7464" t="inlineStr">
        <is>
          <t>Nicaragua</t>
        </is>
      </c>
      <c r="B7464" t="inlineStr">
        <is>
          <t>NIC</t>
        </is>
      </c>
      <c r="C7464" t="n">
        <v>2016</v>
      </c>
      <c r="D7464" t="n">
        <v>3.52317317628473</v>
      </c>
    </row>
    <row r="7465">
      <c r="A7465" t="inlineStr">
        <is>
          <t>Nicaragua</t>
        </is>
      </c>
      <c r="B7465" t="inlineStr">
        <is>
          <t>NIC</t>
        </is>
      </c>
      <c r="C7465" t="n">
        <v>2017</v>
      </c>
      <c r="D7465" t="n">
        <v>3.85067166284727</v>
      </c>
    </row>
    <row r="7466">
      <c r="A7466" t="inlineStr">
        <is>
          <t>Nicaragua</t>
        </is>
      </c>
      <c r="B7466" t="inlineStr">
        <is>
          <t>NIC</t>
        </is>
      </c>
      <c r="C7466" t="n">
        <v>2018</v>
      </c>
      <c r="D7466" t="n">
        <v>4.94723728039886</v>
      </c>
    </row>
    <row r="7467">
      <c r="A7467" t="inlineStr">
        <is>
          <t>Nicaragua</t>
        </is>
      </c>
      <c r="B7467" t="inlineStr">
        <is>
          <t>NIC</t>
        </is>
      </c>
      <c r="C7467" t="n">
        <v>2019</v>
      </c>
      <c r="D7467" t="n">
        <v>5.37628990844126</v>
      </c>
    </row>
    <row r="7468">
      <c r="A7468" t="inlineStr">
        <is>
          <t>Nicaragua</t>
        </is>
      </c>
      <c r="B7468" t="inlineStr">
        <is>
          <t>NIC</t>
        </is>
      </c>
      <c r="C7468" t="n">
        <v>2020</v>
      </c>
      <c r="D7468" t="n">
        <v>3.68181341625572</v>
      </c>
    </row>
    <row r="7469">
      <c r="A7469" t="inlineStr">
        <is>
          <t>Nicaragua</t>
        </is>
      </c>
      <c r="B7469" t="inlineStr">
        <is>
          <t>NIC</t>
        </is>
      </c>
      <c r="C7469" t="n">
        <v>2021</v>
      </c>
      <c r="D7469" t="n">
        <v>4.92841396948968</v>
      </c>
    </row>
    <row r="7470">
      <c r="A7470" t="inlineStr">
        <is>
          <t>Nicaragua</t>
        </is>
      </c>
      <c r="B7470" t="inlineStr">
        <is>
          <t>NIC</t>
        </is>
      </c>
      <c r="C7470" t="n">
        <v>2022</v>
      </c>
      <c r="D7470" t="n">
        <v>10.4674244465991</v>
      </c>
    </row>
    <row r="7471">
      <c r="A7471" t="inlineStr">
        <is>
          <t>Nicaragua</t>
        </is>
      </c>
      <c r="B7471" t="inlineStr">
        <is>
          <t>NIC</t>
        </is>
      </c>
      <c r="C7471" t="n">
        <v>2023</v>
      </c>
      <c r="D7471" t="n">
        <v>8.38765854872536</v>
      </c>
    </row>
    <row r="7472">
      <c r="A7472" t="inlineStr">
        <is>
          <t>Nicaragua</t>
        </is>
      </c>
      <c r="B7472" t="inlineStr">
        <is>
          <t>NIC</t>
        </is>
      </c>
      <c r="C7472" t="n">
        <v>2024</v>
      </c>
      <c r="D7472" t="n">
        <v>4.62473841057141</v>
      </c>
    </row>
    <row r="7473">
      <c r="A7473" t="inlineStr">
        <is>
          <t>Netherlands</t>
        </is>
      </c>
      <c r="B7473" t="inlineStr">
        <is>
          <t>NLD</t>
        </is>
      </c>
      <c r="C7473" t="n">
        <v>1960</v>
      </c>
      <c r="D7473" t="n">
        <v>2.32394366197218</v>
      </c>
    </row>
    <row r="7474">
      <c r="A7474" t="inlineStr">
        <is>
          <t>Netherlands</t>
        </is>
      </c>
      <c r="B7474" t="inlineStr">
        <is>
          <t>NLD</t>
        </is>
      </c>
      <c r="C7474" t="n">
        <v>1961</v>
      </c>
      <c r="D7474" t="n">
        <v>1.30763936682731</v>
      </c>
    </row>
    <row r="7475">
      <c r="A7475" t="inlineStr">
        <is>
          <t>Netherlands</t>
        </is>
      </c>
      <c r="B7475" t="inlineStr">
        <is>
          <t>NLD</t>
        </is>
      </c>
      <c r="C7475" t="n">
        <v>1962</v>
      </c>
      <c r="D7475" t="n">
        <v>2.4311226441781</v>
      </c>
    </row>
    <row r="7476">
      <c r="A7476" t="inlineStr">
        <is>
          <t>Netherlands</t>
        </is>
      </c>
      <c r="B7476" t="inlineStr">
        <is>
          <t>NLD</t>
        </is>
      </c>
      <c r="C7476" t="n">
        <v>1963</v>
      </c>
      <c r="D7476" t="n">
        <v>3.24364737396401</v>
      </c>
    </row>
    <row r="7477">
      <c r="A7477" t="inlineStr">
        <is>
          <t>Netherlands</t>
        </is>
      </c>
      <c r="B7477" t="inlineStr">
        <is>
          <t>NLD</t>
        </is>
      </c>
      <c r="C7477" t="n">
        <v>1964</v>
      </c>
      <c r="D7477" t="n">
        <v>5.8237682581744</v>
      </c>
    </row>
    <row r="7478">
      <c r="A7478" t="inlineStr">
        <is>
          <t>Netherlands</t>
        </is>
      </c>
      <c r="B7478" t="inlineStr">
        <is>
          <t>NLD</t>
        </is>
      </c>
      <c r="C7478" t="n">
        <v>1965</v>
      </c>
      <c r="D7478" t="n">
        <v>3.90803782779622</v>
      </c>
    </row>
    <row r="7479">
      <c r="A7479" t="inlineStr">
        <is>
          <t>Netherlands</t>
        </is>
      </c>
      <c r="B7479" t="inlineStr">
        <is>
          <t>NLD</t>
        </is>
      </c>
      <c r="C7479" t="n">
        <v>1966</v>
      </c>
      <c r="D7479" t="n">
        <v>5.76214023622459</v>
      </c>
    </row>
    <row r="7480">
      <c r="A7480" t="inlineStr">
        <is>
          <t>Netherlands</t>
        </is>
      </c>
      <c r="B7480" t="inlineStr">
        <is>
          <t>NLD</t>
        </is>
      </c>
      <c r="C7480" t="n">
        <v>1967</v>
      </c>
      <c r="D7480" t="n">
        <v>3.45533218314714</v>
      </c>
    </row>
    <row r="7481">
      <c r="A7481" t="inlineStr">
        <is>
          <t>Netherlands</t>
        </is>
      </c>
      <c r="B7481" t="inlineStr">
        <is>
          <t>NLD</t>
        </is>
      </c>
      <c r="C7481" t="n">
        <v>1968</v>
      </c>
      <c r="D7481" t="n">
        <v>3.72079328019141</v>
      </c>
    </row>
    <row r="7482">
      <c r="A7482" t="inlineStr">
        <is>
          <t>Netherlands</t>
        </is>
      </c>
      <c r="B7482" t="inlineStr">
        <is>
          <t>NLD</t>
        </is>
      </c>
      <c r="C7482" t="n">
        <v>1969</v>
      </c>
      <c r="D7482" t="n">
        <v>7.42179005501285</v>
      </c>
    </row>
    <row r="7483">
      <c r="A7483" t="inlineStr">
        <is>
          <t>Netherlands</t>
        </is>
      </c>
      <c r="B7483" t="inlineStr">
        <is>
          <t>NLD</t>
        </is>
      </c>
      <c r="C7483" t="n">
        <v>1970</v>
      </c>
      <c r="D7483" t="n">
        <v>3.66893088808655</v>
      </c>
    </row>
    <row r="7484">
      <c r="A7484" t="inlineStr">
        <is>
          <t>Netherlands</t>
        </is>
      </c>
      <c r="B7484" t="inlineStr">
        <is>
          <t>NLD</t>
        </is>
      </c>
      <c r="C7484" t="n">
        <v>1971</v>
      </c>
      <c r="D7484" t="n">
        <v>7.47767867671161</v>
      </c>
    </row>
    <row r="7485">
      <c r="A7485" t="inlineStr">
        <is>
          <t>Netherlands</t>
        </is>
      </c>
      <c r="B7485" t="inlineStr">
        <is>
          <t>NLD</t>
        </is>
      </c>
      <c r="C7485" t="n">
        <v>1972</v>
      </c>
      <c r="D7485" t="n">
        <v>7.80279219256605</v>
      </c>
    </row>
    <row r="7486">
      <c r="A7486" t="inlineStr">
        <is>
          <t>Netherlands</t>
        </is>
      </c>
      <c r="B7486" t="inlineStr">
        <is>
          <t>NLD</t>
        </is>
      </c>
      <c r="C7486" t="n">
        <v>1973</v>
      </c>
      <c r="D7486" t="n">
        <v>8.022209958789359</v>
      </c>
    </row>
    <row r="7487">
      <c r="A7487" t="inlineStr">
        <is>
          <t>Netherlands</t>
        </is>
      </c>
      <c r="B7487" t="inlineStr">
        <is>
          <t>NLD</t>
        </is>
      </c>
      <c r="C7487" t="n">
        <v>1974</v>
      </c>
      <c r="D7487" t="n">
        <v>9.591422672685081</v>
      </c>
    </row>
    <row r="7488">
      <c r="A7488" t="inlineStr">
        <is>
          <t>Netherlands</t>
        </is>
      </c>
      <c r="B7488" t="inlineStr">
        <is>
          <t>NLD</t>
        </is>
      </c>
      <c r="C7488" t="n">
        <v>1975</v>
      </c>
      <c r="D7488" t="n">
        <v>10.2174757948241</v>
      </c>
    </row>
    <row r="7489">
      <c r="A7489" t="inlineStr">
        <is>
          <t>Netherlands</t>
        </is>
      </c>
      <c r="B7489" t="inlineStr">
        <is>
          <t>NLD</t>
        </is>
      </c>
      <c r="C7489" t="n">
        <v>1976</v>
      </c>
      <c r="D7489" t="n">
        <v>8.830651586031561</v>
      </c>
    </row>
    <row r="7490">
      <c r="A7490" t="inlineStr">
        <is>
          <t>Netherlands</t>
        </is>
      </c>
      <c r="B7490" t="inlineStr">
        <is>
          <t>NLD</t>
        </is>
      </c>
      <c r="C7490" t="n">
        <v>1977</v>
      </c>
      <c r="D7490" t="n">
        <v>6.39929487406097</v>
      </c>
    </row>
    <row r="7491">
      <c r="A7491" t="inlineStr">
        <is>
          <t>Netherlands</t>
        </is>
      </c>
      <c r="B7491" t="inlineStr">
        <is>
          <t>NLD</t>
        </is>
      </c>
      <c r="C7491" t="n">
        <v>1978</v>
      </c>
      <c r="D7491" t="n">
        <v>4.11201196269291</v>
      </c>
    </row>
    <row r="7492">
      <c r="A7492" t="inlineStr">
        <is>
          <t>Netherlands</t>
        </is>
      </c>
      <c r="B7492" t="inlineStr">
        <is>
          <t>NLD</t>
        </is>
      </c>
      <c r="C7492" t="n">
        <v>1979</v>
      </c>
      <c r="D7492" t="n">
        <v>4.19929990168348</v>
      </c>
    </row>
    <row r="7493">
      <c r="A7493" t="inlineStr">
        <is>
          <t>Netherlands</t>
        </is>
      </c>
      <c r="B7493" t="inlineStr">
        <is>
          <t>NLD</t>
        </is>
      </c>
      <c r="C7493" t="n">
        <v>1980</v>
      </c>
      <c r="D7493" t="n">
        <v>6.51345545521797</v>
      </c>
    </row>
    <row r="7494">
      <c r="A7494" t="inlineStr">
        <is>
          <t>Netherlands</t>
        </is>
      </c>
      <c r="B7494" t="inlineStr">
        <is>
          <t>NLD</t>
        </is>
      </c>
      <c r="C7494" t="n">
        <v>1981</v>
      </c>
      <c r="D7494" t="n">
        <v>6.73892655204782</v>
      </c>
    </row>
    <row r="7495">
      <c r="A7495" t="inlineStr">
        <is>
          <t>Netherlands</t>
        </is>
      </c>
      <c r="B7495" t="inlineStr">
        <is>
          <t>NLD</t>
        </is>
      </c>
      <c r="C7495" t="n">
        <v>1982</v>
      </c>
      <c r="D7495" t="n">
        <v>5.91109658468384</v>
      </c>
    </row>
    <row r="7496">
      <c r="A7496" t="inlineStr">
        <is>
          <t>Netherlands</t>
        </is>
      </c>
      <c r="B7496" t="inlineStr">
        <is>
          <t>NLD</t>
        </is>
      </c>
      <c r="C7496" t="n">
        <v>1983</v>
      </c>
      <c r="D7496" t="n">
        <v>2.74084033162258</v>
      </c>
    </row>
    <row r="7497">
      <c r="A7497" t="inlineStr">
        <is>
          <t>Netherlands</t>
        </is>
      </c>
      <c r="B7497" t="inlineStr">
        <is>
          <t>NLD</t>
        </is>
      </c>
      <c r="C7497" t="n">
        <v>1984</v>
      </c>
      <c r="D7497" t="n">
        <v>3.30164075759304</v>
      </c>
    </row>
    <row r="7498">
      <c r="A7498" t="inlineStr">
        <is>
          <t>Netherlands</t>
        </is>
      </c>
      <c r="B7498" t="inlineStr">
        <is>
          <t>NLD</t>
        </is>
      </c>
      <c r="C7498" t="n">
        <v>1985</v>
      </c>
      <c r="D7498" t="n">
        <v>2.2585844298862</v>
      </c>
    </row>
    <row r="7499">
      <c r="A7499" t="inlineStr">
        <is>
          <t>Netherlands</t>
        </is>
      </c>
      <c r="B7499" t="inlineStr">
        <is>
          <t>NLD</t>
        </is>
      </c>
      <c r="C7499" t="n">
        <v>1986</v>
      </c>
      <c r="D7499" t="n">
        <v>0.0833467771085387</v>
      </c>
    </row>
    <row r="7500">
      <c r="A7500" t="inlineStr">
        <is>
          <t>Netherlands</t>
        </is>
      </c>
      <c r="B7500" t="inlineStr">
        <is>
          <t>NLD</t>
        </is>
      </c>
      <c r="C7500" t="n">
        <v>1987</v>
      </c>
      <c r="D7500" t="n">
        <v>-0.691210481411519</v>
      </c>
    </row>
    <row r="7501">
      <c r="A7501" t="inlineStr">
        <is>
          <t>Netherlands</t>
        </is>
      </c>
      <c r="B7501" t="inlineStr">
        <is>
          <t>NLD</t>
        </is>
      </c>
      <c r="C7501" t="n">
        <v>1988</v>
      </c>
      <c r="D7501" t="n">
        <v>0.737950688332319</v>
      </c>
    </row>
    <row r="7502">
      <c r="A7502" t="inlineStr">
        <is>
          <t>Netherlands</t>
        </is>
      </c>
      <c r="B7502" t="inlineStr">
        <is>
          <t>NLD</t>
        </is>
      </c>
      <c r="C7502" t="n">
        <v>1989</v>
      </c>
      <c r="D7502" t="n">
        <v>1.08215810253299</v>
      </c>
    </row>
    <row r="7503">
      <c r="A7503" t="inlineStr">
        <is>
          <t>Netherlands</t>
        </is>
      </c>
      <c r="B7503" t="inlineStr">
        <is>
          <t>NLD</t>
        </is>
      </c>
      <c r="C7503" t="n">
        <v>1990</v>
      </c>
      <c r="D7503" t="n">
        <v>2.45409184818341</v>
      </c>
    </row>
    <row r="7504">
      <c r="A7504" t="inlineStr">
        <is>
          <t>Netherlands</t>
        </is>
      </c>
      <c r="B7504" t="inlineStr">
        <is>
          <t>NLD</t>
        </is>
      </c>
      <c r="C7504" t="n">
        <v>1991</v>
      </c>
      <c r="D7504" t="n">
        <v>3.15820041477122</v>
      </c>
    </row>
    <row r="7505">
      <c r="A7505" t="inlineStr">
        <is>
          <t>Netherlands</t>
        </is>
      </c>
      <c r="B7505" t="inlineStr">
        <is>
          <t>NLD</t>
        </is>
      </c>
      <c r="C7505" t="n">
        <v>1992</v>
      </c>
      <c r="D7505" t="n">
        <v>3.18358181761551</v>
      </c>
    </row>
    <row r="7506">
      <c r="A7506" t="inlineStr">
        <is>
          <t>Netherlands</t>
        </is>
      </c>
      <c r="B7506" t="inlineStr">
        <is>
          <t>NLD</t>
        </is>
      </c>
      <c r="C7506" t="n">
        <v>1993</v>
      </c>
      <c r="D7506" t="n">
        <v>2.58418448671799</v>
      </c>
    </row>
    <row r="7507">
      <c r="A7507" t="inlineStr">
        <is>
          <t>Netherlands</t>
        </is>
      </c>
      <c r="B7507" t="inlineStr">
        <is>
          <t>NLD</t>
        </is>
      </c>
      <c r="C7507" t="n">
        <v>1994</v>
      </c>
      <c r="D7507" t="n">
        <v>2.80152463293178</v>
      </c>
    </row>
    <row r="7508">
      <c r="A7508" t="inlineStr">
        <is>
          <t>Netherlands</t>
        </is>
      </c>
      <c r="B7508" t="inlineStr">
        <is>
          <t>NLD</t>
        </is>
      </c>
      <c r="C7508" t="n">
        <v>1995</v>
      </c>
      <c r="D7508" t="n">
        <v>1.92322003453525</v>
      </c>
    </row>
    <row r="7509">
      <c r="A7509" t="inlineStr">
        <is>
          <t>Netherlands</t>
        </is>
      </c>
      <c r="B7509" t="inlineStr">
        <is>
          <t>NLD</t>
        </is>
      </c>
      <c r="C7509" t="n">
        <v>1996</v>
      </c>
      <c r="D7509" t="n">
        <v>1.94936713166008</v>
      </c>
    </row>
    <row r="7510">
      <c r="A7510" t="inlineStr">
        <is>
          <t>Netherlands</t>
        </is>
      </c>
      <c r="B7510" t="inlineStr">
        <is>
          <t>NLD</t>
        </is>
      </c>
      <c r="C7510" t="n">
        <v>1997</v>
      </c>
      <c r="D7510" t="n">
        <v>2.10924562739483</v>
      </c>
    </row>
    <row r="7511">
      <c r="A7511" t="inlineStr">
        <is>
          <t>Netherlands</t>
        </is>
      </c>
      <c r="B7511" t="inlineStr">
        <is>
          <t>NLD</t>
        </is>
      </c>
      <c r="C7511" t="n">
        <v>1998</v>
      </c>
      <c r="D7511" t="n">
        <v>1.95913632274251</v>
      </c>
    </row>
    <row r="7512">
      <c r="A7512" t="inlineStr">
        <is>
          <t>Netherlands</t>
        </is>
      </c>
      <c r="B7512" t="inlineStr">
        <is>
          <t>NLD</t>
        </is>
      </c>
      <c r="C7512" t="n">
        <v>1999</v>
      </c>
      <c r="D7512" t="n">
        <v>2.15717918055059</v>
      </c>
    </row>
    <row r="7513">
      <c r="A7513" t="inlineStr">
        <is>
          <t>Netherlands</t>
        </is>
      </c>
      <c r="B7513" t="inlineStr">
        <is>
          <t>NLD</t>
        </is>
      </c>
      <c r="C7513" t="n">
        <v>2000</v>
      </c>
      <c r="D7513" t="n">
        <v>2.36052233801948</v>
      </c>
    </row>
    <row r="7514">
      <c r="A7514" t="inlineStr">
        <is>
          <t>Netherlands</t>
        </is>
      </c>
      <c r="B7514" t="inlineStr">
        <is>
          <t>NLD</t>
        </is>
      </c>
      <c r="C7514" t="n">
        <v>2001</v>
      </c>
      <c r="D7514" t="n">
        <v>4.15584127195613</v>
      </c>
    </row>
    <row r="7515">
      <c r="A7515" t="inlineStr">
        <is>
          <t>Netherlands</t>
        </is>
      </c>
      <c r="B7515" t="inlineStr">
        <is>
          <t>NLD</t>
        </is>
      </c>
      <c r="C7515" t="n">
        <v>2002</v>
      </c>
      <c r="D7515" t="n">
        <v>3.28753104712771</v>
      </c>
    </row>
    <row r="7516">
      <c r="A7516" t="inlineStr">
        <is>
          <t>Netherlands</t>
        </is>
      </c>
      <c r="B7516" t="inlineStr">
        <is>
          <t>NLD</t>
        </is>
      </c>
      <c r="C7516" t="n">
        <v>2003</v>
      </c>
      <c r="D7516" t="n">
        <v>2.09199838997655</v>
      </c>
    </row>
    <row r="7517">
      <c r="A7517" t="inlineStr">
        <is>
          <t>Netherlands</t>
        </is>
      </c>
      <c r="B7517" t="inlineStr">
        <is>
          <t>NLD</t>
        </is>
      </c>
      <c r="C7517" t="n">
        <v>2004</v>
      </c>
      <c r="D7517" t="n">
        <v>1.2636473918318</v>
      </c>
    </row>
    <row r="7518">
      <c r="A7518" t="inlineStr">
        <is>
          <t>Netherlands</t>
        </is>
      </c>
      <c r="B7518" t="inlineStr">
        <is>
          <t>NLD</t>
        </is>
      </c>
      <c r="C7518" t="n">
        <v>2005</v>
      </c>
      <c r="D7518" t="n">
        <v>1.68813017869623</v>
      </c>
    </row>
    <row r="7519">
      <c r="A7519" t="inlineStr">
        <is>
          <t>Netherlands</t>
        </is>
      </c>
      <c r="B7519" t="inlineStr">
        <is>
          <t>NLD</t>
        </is>
      </c>
      <c r="C7519" t="n">
        <v>2006</v>
      </c>
      <c r="D7519" t="n">
        <v>1.10150106517702</v>
      </c>
    </row>
    <row r="7520">
      <c r="A7520" t="inlineStr">
        <is>
          <t>Netherlands</t>
        </is>
      </c>
      <c r="B7520" t="inlineStr">
        <is>
          <t>NLD</t>
        </is>
      </c>
      <c r="C7520" t="n">
        <v>2007</v>
      </c>
      <c r="D7520" t="n">
        <v>1.61385859802103</v>
      </c>
    </row>
    <row r="7521">
      <c r="A7521" t="inlineStr">
        <is>
          <t>Netherlands</t>
        </is>
      </c>
      <c r="B7521" t="inlineStr">
        <is>
          <t>NLD</t>
        </is>
      </c>
      <c r="C7521" t="n">
        <v>2008</v>
      </c>
      <c r="D7521" t="n">
        <v>2.48650198289454</v>
      </c>
    </row>
    <row r="7522">
      <c r="A7522" t="inlineStr">
        <is>
          <t>Netherlands</t>
        </is>
      </c>
      <c r="B7522" t="inlineStr">
        <is>
          <t>NLD</t>
        </is>
      </c>
      <c r="C7522" t="n">
        <v>2009</v>
      </c>
      <c r="D7522" t="n">
        <v>1.1897768702155</v>
      </c>
    </row>
    <row r="7523">
      <c r="A7523" t="inlineStr">
        <is>
          <t>Netherlands</t>
        </is>
      </c>
      <c r="B7523" t="inlineStr">
        <is>
          <t>NLD</t>
        </is>
      </c>
      <c r="C7523" t="n">
        <v>2010</v>
      </c>
      <c r="D7523" t="n">
        <v>1.27530569556683</v>
      </c>
    </row>
    <row r="7524">
      <c r="A7524" t="inlineStr">
        <is>
          <t>Netherlands</t>
        </is>
      </c>
      <c r="B7524" t="inlineStr">
        <is>
          <t>NLD</t>
        </is>
      </c>
      <c r="C7524" t="n">
        <v>2011</v>
      </c>
      <c r="D7524" t="n">
        <v>2.34107017751373</v>
      </c>
    </row>
    <row r="7525">
      <c r="A7525" t="inlineStr">
        <is>
          <t>Netherlands</t>
        </is>
      </c>
      <c r="B7525" t="inlineStr">
        <is>
          <t>NLD</t>
        </is>
      </c>
      <c r="C7525" t="n">
        <v>2012</v>
      </c>
      <c r="D7525" t="n">
        <v>2.45554765291604</v>
      </c>
    </row>
    <row r="7526">
      <c r="A7526" t="inlineStr">
        <is>
          <t>Netherlands</t>
        </is>
      </c>
      <c r="B7526" t="inlineStr">
        <is>
          <t>NLD</t>
        </is>
      </c>
      <c r="C7526" t="n">
        <v>2013</v>
      </c>
      <c r="D7526" t="n">
        <v>2.50689852657885</v>
      </c>
    </row>
    <row r="7527">
      <c r="A7527" t="inlineStr">
        <is>
          <t>Netherlands</t>
        </is>
      </c>
      <c r="B7527" t="inlineStr">
        <is>
          <t>NLD</t>
        </is>
      </c>
      <c r="C7527" t="n">
        <v>2014</v>
      </c>
      <c r="D7527" t="n">
        <v>0.976035079699679</v>
      </c>
    </row>
    <row r="7528">
      <c r="A7528" t="inlineStr">
        <is>
          <t>Netherlands</t>
        </is>
      </c>
      <c r="B7528" t="inlineStr">
        <is>
          <t>NLD</t>
        </is>
      </c>
      <c r="C7528" t="n">
        <v>2015</v>
      </c>
      <c r="D7528" t="n">
        <v>0.600248147278776</v>
      </c>
    </row>
    <row r="7529">
      <c r="A7529" t="inlineStr">
        <is>
          <t>Netherlands</t>
        </is>
      </c>
      <c r="B7529" t="inlineStr">
        <is>
          <t>NLD</t>
        </is>
      </c>
      <c r="C7529" t="n">
        <v>2016</v>
      </c>
      <c r="D7529" t="n">
        <v>0.316666666666743</v>
      </c>
    </row>
    <row r="7530">
      <c r="A7530" t="inlineStr">
        <is>
          <t>Netherlands</t>
        </is>
      </c>
      <c r="B7530" t="inlineStr">
        <is>
          <t>NLD</t>
        </is>
      </c>
      <c r="C7530" t="n">
        <v>2017</v>
      </c>
      <c r="D7530" t="n">
        <v>1.38145871407206</v>
      </c>
    </row>
    <row r="7531">
      <c r="A7531" t="inlineStr">
        <is>
          <t>Netherlands</t>
        </is>
      </c>
      <c r="B7531" t="inlineStr">
        <is>
          <t>NLD</t>
        </is>
      </c>
      <c r="C7531" t="n">
        <v>2018</v>
      </c>
      <c r="D7531" t="n">
        <v>1.7034979474447</v>
      </c>
    </row>
    <row r="7532">
      <c r="A7532" t="inlineStr">
        <is>
          <t>Netherlands</t>
        </is>
      </c>
      <c r="B7532" t="inlineStr">
        <is>
          <t>NLD</t>
        </is>
      </c>
      <c r="C7532" t="n">
        <v>2019</v>
      </c>
      <c r="D7532" t="n">
        <v>2.63369910249601</v>
      </c>
    </row>
    <row r="7533">
      <c r="A7533" t="inlineStr">
        <is>
          <t>Netherlands</t>
        </is>
      </c>
      <c r="B7533" t="inlineStr">
        <is>
          <t>NLD</t>
        </is>
      </c>
      <c r="C7533" t="n">
        <v>2020</v>
      </c>
      <c r="D7533" t="n">
        <v>1.27246037789161</v>
      </c>
    </row>
    <row r="7534">
      <c r="A7534" t="inlineStr">
        <is>
          <t>Netherlands</t>
        </is>
      </c>
      <c r="B7534" t="inlineStr">
        <is>
          <t>NLD</t>
        </is>
      </c>
      <c r="C7534" t="n">
        <v>2021</v>
      </c>
      <c r="D7534" t="n">
        <v>2.67572008805385</v>
      </c>
    </row>
    <row r="7535">
      <c r="A7535" t="inlineStr">
        <is>
          <t>Netherlands</t>
        </is>
      </c>
      <c r="B7535" t="inlineStr">
        <is>
          <t>NLD</t>
        </is>
      </c>
      <c r="C7535" t="n">
        <v>2022</v>
      </c>
      <c r="D7535" t="n">
        <v>10.0012078753473</v>
      </c>
    </row>
    <row r="7536">
      <c r="A7536" t="inlineStr">
        <is>
          <t>Netherlands</t>
        </is>
      </c>
      <c r="B7536" t="inlineStr">
        <is>
          <t>NLD</t>
        </is>
      </c>
      <c r="C7536" t="n">
        <v>2023</v>
      </c>
      <c r="D7536" t="n">
        <v>3.83839354342808</v>
      </c>
    </row>
    <row r="7537">
      <c r="A7537" t="inlineStr">
        <is>
          <t>Netherlands</t>
        </is>
      </c>
      <c r="B7537" t="inlineStr">
        <is>
          <t>NLD</t>
        </is>
      </c>
      <c r="C7537" t="n">
        <v>2024</v>
      </c>
      <c r="D7537" t="n">
        <v>3.34754304219953</v>
      </c>
    </row>
    <row r="7538">
      <c r="A7538" t="inlineStr">
        <is>
          <t>Norway</t>
        </is>
      </c>
      <c r="B7538" t="inlineStr">
        <is>
          <t>NOR</t>
        </is>
      </c>
      <c r="C7538" t="n">
        <v>1960</v>
      </c>
      <c r="D7538" t="n">
        <v>0.360492346844622</v>
      </c>
    </row>
    <row r="7539">
      <c r="A7539" t="inlineStr">
        <is>
          <t>Norway</t>
        </is>
      </c>
      <c r="B7539" t="inlineStr">
        <is>
          <t>NOR</t>
        </is>
      </c>
      <c r="C7539" t="n">
        <v>1961</v>
      </c>
      <c r="D7539" t="n">
        <v>2.15517277670922</v>
      </c>
    </row>
    <row r="7540">
      <c r="A7540" t="inlineStr">
        <is>
          <t>Norway</t>
        </is>
      </c>
      <c r="B7540" t="inlineStr">
        <is>
          <t>NOR</t>
        </is>
      </c>
      <c r="C7540" t="n">
        <v>1962</v>
      </c>
      <c r="D7540" t="n">
        <v>5.27425952920732</v>
      </c>
    </row>
    <row r="7541">
      <c r="A7541" t="inlineStr">
        <is>
          <t>Norway</t>
        </is>
      </c>
      <c r="B7541" t="inlineStr">
        <is>
          <t>NOR</t>
        </is>
      </c>
      <c r="C7541" t="n">
        <v>1963</v>
      </c>
      <c r="D7541" t="n">
        <v>2.47161052896497</v>
      </c>
    </row>
    <row r="7542">
      <c r="A7542" t="inlineStr">
        <is>
          <t>Norway</t>
        </is>
      </c>
      <c r="B7542" t="inlineStr">
        <is>
          <t>NOR</t>
        </is>
      </c>
      <c r="C7542" t="n">
        <v>1964</v>
      </c>
      <c r="D7542" t="n">
        <v>5.86701538751922</v>
      </c>
    </row>
    <row r="7543">
      <c r="A7543" t="inlineStr">
        <is>
          <t>Norway</t>
        </is>
      </c>
      <c r="B7543" t="inlineStr">
        <is>
          <t>NOR</t>
        </is>
      </c>
      <c r="C7543" t="n">
        <v>1965</v>
      </c>
      <c r="D7543" t="n">
        <v>4.18722443998004</v>
      </c>
    </row>
    <row r="7544">
      <c r="A7544" t="inlineStr">
        <is>
          <t>Norway</t>
        </is>
      </c>
      <c r="B7544" t="inlineStr">
        <is>
          <t>NOR</t>
        </is>
      </c>
      <c r="C7544" t="n">
        <v>1966</v>
      </c>
      <c r="D7544" t="n">
        <v>3.250563343053</v>
      </c>
    </row>
    <row r="7545">
      <c r="A7545" t="inlineStr">
        <is>
          <t>Norway</t>
        </is>
      </c>
      <c r="B7545" t="inlineStr">
        <is>
          <t>NOR</t>
        </is>
      </c>
      <c r="C7545" t="n">
        <v>1967</v>
      </c>
      <c r="D7545" t="n">
        <v>4.57926975753999</v>
      </c>
    </row>
    <row r="7546">
      <c r="A7546" t="inlineStr">
        <is>
          <t>Norway</t>
        </is>
      </c>
      <c r="B7546" t="inlineStr">
        <is>
          <t>NOR</t>
        </is>
      </c>
      <c r="C7546" t="n">
        <v>1968</v>
      </c>
      <c r="D7546" t="n">
        <v>3.44829324254207</v>
      </c>
    </row>
    <row r="7547">
      <c r="A7547" t="inlineStr">
        <is>
          <t>Norway</t>
        </is>
      </c>
      <c r="B7547" t="inlineStr">
        <is>
          <t>NOR</t>
        </is>
      </c>
      <c r="C7547" t="n">
        <v>1969</v>
      </c>
      <c r="D7547" t="n">
        <v>2.96294951075211</v>
      </c>
    </row>
    <row r="7548">
      <c r="A7548" t="inlineStr">
        <is>
          <t>Norway</t>
        </is>
      </c>
      <c r="B7548" t="inlineStr">
        <is>
          <t>NOR</t>
        </is>
      </c>
      <c r="C7548" t="n">
        <v>1970</v>
      </c>
      <c r="D7548" t="n">
        <v>10.6372065264183</v>
      </c>
    </row>
    <row r="7549">
      <c r="A7549" t="inlineStr">
        <is>
          <t>Norway</t>
        </is>
      </c>
      <c r="B7549" t="inlineStr">
        <is>
          <t>NOR</t>
        </is>
      </c>
      <c r="C7549" t="n">
        <v>1971</v>
      </c>
      <c r="D7549" t="n">
        <v>6.22386323501293</v>
      </c>
    </row>
    <row r="7550">
      <c r="A7550" t="inlineStr">
        <is>
          <t>Norway</t>
        </is>
      </c>
      <c r="B7550" t="inlineStr">
        <is>
          <t>NOR</t>
        </is>
      </c>
      <c r="C7550" t="n">
        <v>1972</v>
      </c>
      <c r="D7550" t="n">
        <v>7.25843582961521</v>
      </c>
    </row>
    <row r="7551">
      <c r="A7551" t="inlineStr">
        <is>
          <t>Norway</t>
        </is>
      </c>
      <c r="B7551" t="inlineStr">
        <is>
          <t>NOR</t>
        </is>
      </c>
      <c r="C7551" t="n">
        <v>1973</v>
      </c>
      <c r="D7551" t="n">
        <v>7.41947283637503</v>
      </c>
    </row>
    <row r="7552">
      <c r="A7552" t="inlineStr">
        <is>
          <t>Norway</t>
        </is>
      </c>
      <c r="B7552" t="inlineStr">
        <is>
          <t>NOR</t>
        </is>
      </c>
      <c r="C7552" t="n">
        <v>1974</v>
      </c>
      <c r="D7552" t="n">
        <v>9.411768132118899</v>
      </c>
    </row>
    <row r="7553">
      <c r="A7553" t="inlineStr">
        <is>
          <t>Norway</t>
        </is>
      </c>
      <c r="B7553" t="inlineStr">
        <is>
          <t>NOR</t>
        </is>
      </c>
      <c r="C7553" t="n">
        <v>1975</v>
      </c>
      <c r="D7553" t="n">
        <v>11.6892234816854</v>
      </c>
    </row>
    <row r="7554">
      <c r="A7554" t="inlineStr">
        <is>
          <t>Norway</t>
        </is>
      </c>
      <c r="B7554" t="inlineStr">
        <is>
          <t>NOR</t>
        </is>
      </c>
      <c r="C7554" t="n">
        <v>1976</v>
      </c>
      <c r="D7554" t="n">
        <v>9.161472765475621</v>
      </c>
    </row>
    <row r="7555">
      <c r="A7555" t="inlineStr">
        <is>
          <t>Norway</t>
        </is>
      </c>
      <c r="B7555" t="inlineStr">
        <is>
          <t>NOR</t>
        </is>
      </c>
      <c r="C7555" t="n">
        <v>1977</v>
      </c>
      <c r="D7555" t="n">
        <v>9.10383971160298</v>
      </c>
    </row>
    <row r="7556">
      <c r="A7556" t="inlineStr">
        <is>
          <t>Norway</t>
        </is>
      </c>
      <c r="B7556" t="inlineStr">
        <is>
          <t>NOR</t>
        </is>
      </c>
      <c r="C7556" t="n">
        <v>1978</v>
      </c>
      <c r="D7556" t="n">
        <v>8.161671543396199</v>
      </c>
    </row>
    <row r="7557">
      <c r="A7557" t="inlineStr">
        <is>
          <t>Norway</t>
        </is>
      </c>
      <c r="B7557" t="inlineStr">
        <is>
          <t>NOR</t>
        </is>
      </c>
      <c r="C7557" t="n">
        <v>1979</v>
      </c>
      <c r="D7557" t="n">
        <v>4.50972761206209</v>
      </c>
    </row>
    <row r="7558">
      <c r="A7558" t="inlineStr">
        <is>
          <t>Norway</t>
        </is>
      </c>
      <c r="B7558" t="inlineStr">
        <is>
          <t>NOR</t>
        </is>
      </c>
      <c r="C7558" t="n">
        <v>1980</v>
      </c>
      <c r="D7558" t="n">
        <v>10.878661087866</v>
      </c>
    </row>
    <row r="7559">
      <c r="A7559" t="inlineStr">
        <is>
          <t>Norway</t>
        </is>
      </c>
      <c r="B7559" t="inlineStr">
        <is>
          <t>NOR</t>
        </is>
      </c>
      <c r="C7559" t="n">
        <v>1981</v>
      </c>
      <c r="D7559" t="n">
        <v>13.6429608127722</v>
      </c>
    </row>
    <row r="7560">
      <c r="A7560" t="inlineStr">
        <is>
          <t>Norway</t>
        </is>
      </c>
      <c r="B7560" t="inlineStr">
        <is>
          <t>NOR</t>
        </is>
      </c>
      <c r="C7560" t="n">
        <v>1982</v>
      </c>
      <c r="D7560" t="n">
        <v>11.3409961685824</v>
      </c>
    </row>
    <row r="7561">
      <c r="A7561" t="inlineStr">
        <is>
          <t>Norway</t>
        </is>
      </c>
      <c r="B7561" t="inlineStr">
        <is>
          <t>NOR</t>
        </is>
      </c>
      <c r="C7561" t="n">
        <v>1983</v>
      </c>
      <c r="D7561" t="n">
        <v>8.46524432209222</v>
      </c>
    </row>
    <row r="7562">
      <c r="A7562" t="inlineStr">
        <is>
          <t>Norway</t>
        </is>
      </c>
      <c r="B7562" t="inlineStr">
        <is>
          <t>NOR</t>
        </is>
      </c>
      <c r="C7562" t="n">
        <v>1984</v>
      </c>
      <c r="D7562" t="n">
        <v>6.21827411167512</v>
      </c>
    </row>
    <row r="7563">
      <c r="A7563" t="inlineStr">
        <is>
          <t>Norway</t>
        </is>
      </c>
      <c r="B7563" t="inlineStr">
        <is>
          <t>NOR</t>
        </is>
      </c>
      <c r="C7563" t="n">
        <v>1985</v>
      </c>
      <c r="D7563" t="n">
        <v>5.71485463958579</v>
      </c>
    </row>
    <row r="7564">
      <c r="A7564" t="inlineStr">
        <is>
          <t>Norway</t>
        </is>
      </c>
      <c r="B7564" t="inlineStr">
        <is>
          <t>NOR</t>
        </is>
      </c>
      <c r="C7564" t="n">
        <v>1986</v>
      </c>
      <c r="D7564" t="n">
        <v>7.17649274816357</v>
      </c>
    </row>
    <row r="7565">
      <c r="A7565" t="inlineStr">
        <is>
          <t>Norway</t>
        </is>
      </c>
      <c r="B7565" t="inlineStr">
        <is>
          <t>NOR</t>
        </is>
      </c>
      <c r="C7565" t="n">
        <v>1987</v>
      </c>
      <c r="D7565" t="n">
        <v>8.71704745166956</v>
      </c>
    </row>
    <row r="7566">
      <c r="A7566" t="inlineStr">
        <is>
          <t>Norway</t>
        </is>
      </c>
      <c r="B7566" t="inlineStr">
        <is>
          <t>NOR</t>
        </is>
      </c>
      <c r="C7566" t="n">
        <v>1988</v>
      </c>
      <c r="D7566" t="n">
        <v>6.67636598771417</v>
      </c>
    </row>
    <row r="7567">
      <c r="A7567" t="inlineStr">
        <is>
          <t>Norway</t>
        </is>
      </c>
      <c r="B7567" t="inlineStr">
        <is>
          <t>NOR</t>
        </is>
      </c>
      <c r="C7567" t="n">
        <v>1989</v>
      </c>
      <c r="D7567" t="n">
        <v>4.54614335505379</v>
      </c>
    </row>
    <row r="7568">
      <c r="A7568" t="inlineStr">
        <is>
          <t>Norway</t>
        </is>
      </c>
      <c r="B7568" t="inlineStr">
        <is>
          <t>NOR</t>
        </is>
      </c>
      <c r="C7568" t="n">
        <v>1990</v>
      </c>
      <c r="D7568" t="n">
        <v>4.1310334831135</v>
      </c>
    </row>
    <row r="7569">
      <c r="A7569" t="inlineStr">
        <is>
          <t>Norway</t>
        </is>
      </c>
      <c r="B7569" t="inlineStr">
        <is>
          <t>NOR</t>
        </is>
      </c>
      <c r="C7569" t="n">
        <v>1991</v>
      </c>
      <c r="D7569" t="n">
        <v>3.43819599109134</v>
      </c>
    </row>
    <row r="7570">
      <c r="A7570" t="inlineStr">
        <is>
          <t>Norway</t>
        </is>
      </c>
      <c r="B7570" t="inlineStr">
        <is>
          <t>NOR</t>
        </is>
      </c>
      <c r="C7570" t="n">
        <v>1992</v>
      </c>
      <c r="D7570" t="n">
        <v>2.32808504911857</v>
      </c>
    </row>
    <row r="7571">
      <c r="A7571" t="inlineStr">
        <is>
          <t>Norway</t>
        </is>
      </c>
      <c r="B7571" t="inlineStr">
        <is>
          <t>NOR</t>
        </is>
      </c>
      <c r="C7571" t="n">
        <v>1993</v>
      </c>
      <c r="D7571" t="n">
        <v>2.28826933193057</v>
      </c>
    </row>
    <row r="7572">
      <c r="A7572" t="inlineStr">
        <is>
          <t>Norway</t>
        </is>
      </c>
      <c r="B7572" t="inlineStr">
        <is>
          <t>NOR</t>
        </is>
      </c>
      <c r="C7572" t="n">
        <v>1994</v>
      </c>
      <c r="D7572" t="n">
        <v>1.37567498071479</v>
      </c>
    </row>
    <row r="7573">
      <c r="A7573" t="inlineStr">
        <is>
          <t>Norway</t>
        </is>
      </c>
      <c r="B7573" t="inlineStr">
        <is>
          <t>NOR</t>
        </is>
      </c>
      <c r="C7573" t="n">
        <v>1995</v>
      </c>
      <c r="D7573" t="n">
        <v>2.46036778693724</v>
      </c>
    </row>
    <row r="7574">
      <c r="A7574" t="inlineStr">
        <is>
          <t>Norway</t>
        </is>
      </c>
      <c r="B7574" t="inlineStr">
        <is>
          <t>NOR</t>
        </is>
      </c>
      <c r="C7574" t="n">
        <v>1996</v>
      </c>
      <c r="D7574" t="n">
        <v>1.26253249164502</v>
      </c>
    </row>
    <row r="7575">
      <c r="A7575" t="inlineStr">
        <is>
          <t>Norway</t>
        </is>
      </c>
      <c r="B7575" t="inlineStr">
        <is>
          <t>NOR</t>
        </is>
      </c>
      <c r="C7575" t="n">
        <v>1997</v>
      </c>
      <c r="D7575" t="n">
        <v>2.56692335900259</v>
      </c>
    </row>
    <row r="7576">
      <c r="A7576" t="inlineStr">
        <is>
          <t>Norway</t>
        </is>
      </c>
      <c r="B7576" t="inlineStr">
        <is>
          <t>NOR</t>
        </is>
      </c>
      <c r="C7576" t="n">
        <v>1998</v>
      </c>
      <c r="D7576" t="n">
        <v>2.25241329996423</v>
      </c>
    </row>
    <row r="7577">
      <c r="A7577" t="inlineStr">
        <is>
          <t>Norway</t>
        </is>
      </c>
      <c r="B7577" t="inlineStr">
        <is>
          <t>NOR</t>
        </is>
      </c>
      <c r="C7577" t="n">
        <v>1999</v>
      </c>
      <c r="D7577" t="n">
        <v>2.36596736596734</v>
      </c>
    </row>
    <row r="7578">
      <c r="A7578" t="inlineStr">
        <is>
          <t>Norway</t>
        </is>
      </c>
      <c r="B7578" t="inlineStr">
        <is>
          <t>NOR</t>
        </is>
      </c>
      <c r="C7578" t="n">
        <v>2000</v>
      </c>
      <c r="D7578" t="n">
        <v>3.08550609131276</v>
      </c>
    </row>
    <row r="7579">
      <c r="A7579" t="inlineStr">
        <is>
          <t>Norway</t>
        </is>
      </c>
      <c r="B7579" t="inlineStr">
        <is>
          <t>NOR</t>
        </is>
      </c>
      <c r="C7579" t="n">
        <v>2001</v>
      </c>
      <c r="D7579" t="n">
        <v>3.00419703998237</v>
      </c>
    </row>
    <row r="7580">
      <c r="A7580" t="inlineStr">
        <is>
          <t>Norway</t>
        </is>
      </c>
      <c r="B7580" t="inlineStr">
        <is>
          <t>NOR</t>
        </is>
      </c>
      <c r="C7580" t="n">
        <v>2002</v>
      </c>
      <c r="D7580" t="n">
        <v>1.28672528415184</v>
      </c>
    </row>
    <row r="7581">
      <c r="A7581" t="inlineStr">
        <is>
          <t>Norway</t>
        </is>
      </c>
      <c r="B7581" t="inlineStr">
        <is>
          <t>NOR</t>
        </is>
      </c>
      <c r="C7581" t="n">
        <v>2003</v>
      </c>
      <c r="D7581" t="n">
        <v>2.48782553461783</v>
      </c>
    </row>
    <row r="7582">
      <c r="A7582" t="inlineStr">
        <is>
          <t>Norway</t>
        </is>
      </c>
      <c r="B7582" t="inlineStr">
        <is>
          <t>NOR</t>
        </is>
      </c>
      <c r="C7582" t="n">
        <v>2004</v>
      </c>
      <c r="D7582" t="n">
        <v>0.45449850222084</v>
      </c>
    </row>
    <row r="7583">
      <c r="A7583" t="inlineStr">
        <is>
          <t>Norway</t>
        </is>
      </c>
      <c r="B7583" t="inlineStr">
        <is>
          <t>NOR</t>
        </is>
      </c>
      <c r="C7583" t="n">
        <v>2005</v>
      </c>
      <c r="D7583" t="n">
        <v>1.53213367609254</v>
      </c>
    </row>
    <row r="7584">
      <c r="A7584" t="inlineStr">
        <is>
          <t>Norway</t>
        </is>
      </c>
      <c r="B7584" t="inlineStr">
        <is>
          <t>NOR</t>
        </is>
      </c>
      <c r="C7584" t="n">
        <v>2006</v>
      </c>
      <c r="D7584" t="n">
        <v>2.32934980757544</v>
      </c>
    </row>
    <row r="7585">
      <c r="A7585" t="inlineStr">
        <is>
          <t>Norway</t>
        </is>
      </c>
      <c r="B7585" t="inlineStr">
        <is>
          <t>NOR</t>
        </is>
      </c>
      <c r="C7585" t="n">
        <v>2007</v>
      </c>
      <c r="D7585" t="n">
        <v>0.712589073634201</v>
      </c>
    </row>
    <row r="7586">
      <c r="A7586" t="inlineStr">
        <is>
          <t>Norway</t>
        </is>
      </c>
      <c r="B7586" t="inlineStr">
        <is>
          <t>NOR</t>
        </is>
      </c>
      <c r="C7586" t="n">
        <v>2008</v>
      </c>
      <c r="D7586" t="n">
        <v>3.75393081761005</v>
      </c>
    </row>
    <row r="7587">
      <c r="A7587" t="inlineStr">
        <is>
          <t>Norway</t>
        </is>
      </c>
      <c r="B7587" t="inlineStr">
        <is>
          <t>NOR</t>
        </is>
      </c>
      <c r="C7587" t="n">
        <v>2009</v>
      </c>
      <c r="D7587" t="n">
        <v>2.19738586853574</v>
      </c>
    </row>
    <row r="7588">
      <c r="A7588" t="inlineStr">
        <is>
          <t>Norway</t>
        </is>
      </c>
      <c r="B7588" t="inlineStr">
        <is>
          <t>NOR</t>
        </is>
      </c>
      <c r="C7588" t="n">
        <v>2010</v>
      </c>
      <c r="D7588" t="n">
        <v>2.41890639481001</v>
      </c>
    </row>
    <row r="7589">
      <c r="A7589" t="inlineStr">
        <is>
          <t>Norway</t>
        </is>
      </c>
      <c r="B7589" t="inlineStr">
        <is>
          <t>NOR</t>
        </is>
      </c>
      <c r="C7589" t="n">
        <v>2011</v>
      </c>
      <c r="D7589" t="n">
        <v>1.28495158809152</v>
      </c>
    </row>
    <row r="7590">
      <c r="A7590" t="inlineStr">
        <is>
          <t>Norway</t>
        </is>
      </c>
      <c r="B7590" t="inlineStr">
        <is>
          <t>NOR</t>
        </is>
      </c>
      <c r="C7590" t="n">
        <v>2012</v>
      </c>
      <c r="D7590" t="n">
        <v>0.696864111498362</v>
      </c>
    </row>
    <row r="7591">
      <c r="A7591" t="inlineStr">
        <is>
          <t>Norway</t>
        </is>
      </c>
      <c r="B7591" t="inlineStr">
        <is>
          <t>NOR</t>
        </is>
      </c>
      <c r="C7591" t="n">
        <v>2013</v>
      </c>
      <c r="D7591" t="n">
        <v>2.12048620353112</v>
      </c>
    </row>
    <row r="7592">
      <c r="A7592" t="inlineStr">
        <is>
          <t>Norway</t>
        </is>
      </c>
      <c r="B7592" t="inlineStr">
        <is>
          <t>NOR</t>
        </is>
      </c>
      <c r="C7592" t="n">
        <v>2014</v>
      </c>
      <c r="D7592" t="n">
        <v>2.04170286707211</v>
      </c>
    </row>
    <row r="7593">
      <c r="A7593" t="inlineStr">
        <is>
          <t>Norway</t>
        </is>
      </c>
      <c r="B7593" t="inlineStr">
        <is>
          <t>NOR</t>
        </is>
      </c>
      <c r="C7593" t="n">
        <v>2015</v>
      </c>
      <c r="D7593" t="n">
        <v>2.17113665389527</v>
      </c>
    </row>
    <row r="7594">
      <c r="A7594" t="inlineStr">
        <is>
          <t>Norway</t>
        </is>
      </c>
      <c r="B7594" t="inlineStr">
        <is>
          <t>NOR</t>
        </is>
      </c>
      <c r="C7594" t="n">
        <v>2016</v>
      </c>
      <c r="D7594" t="n">
        <v>3.54999999999998</v>
      </c>
    </row>
    <row r="7595">
      <c r="A7595" t="inlineStr">
        <is>
          <t>Norway</t>
        </is>
      </c>
      <c r="B7595" t="inlineStr">
        <is>
          <t>NOR</t>
        </is>
      </c>
      <c r="C7595" t="n">
        <v>2017</v>
      </c>
      <c r="D7595" t="n">
        <v>1.87510059552554</v>
      </c>
    </row>
    <row r="7596">
      <c r="A7596" t="inlineStr">
        <is>
          <t>Norway</t>
        </is>
      </c>
      <c r="B7596" t="inlineStr">
        <is>
          <t>NOR</t>
        </is>
      </c>
      <c r="C7596" t="n">
        <v>2018</v>
      </c>
      <c r="D7596" t="n">
        <v>2.76483134528788</v>
      </c>
    </row>
    <row r="7597">
      <c r="A7597" t="inlineStr">
        <is>
          <t>Norway</t>
        </is>
      </c>
      <c r="B7597" t="inlineStr">
        <is>
          <t>NOR</t>
        </is>
      </c>
      <c r="C7597" t="n">
        <v>2019</v>
      </c>
      <c r="D7597" t="n">
        <v>2.16773003305402</v>
      </c>
    </row>
    <row r="7598">
      <c r="A7598" t="inlineStr">
        <is>
          <t>Norway</t>
        </is>
      </c>
      <c r="B7598" t="inlineStr">
        <is>
          <t>NOR</t>
        </is>
      </c>
      <c r="C7598" t="n">
        <v>2020</v>
      </c>
      <c r="D7598" t="n">
        <v>1.28658490708005</v>
      </c>
    </row>
    <row r="7599">
      <c r="A7599" t="inlineStr">
        <is>
          <t>Norway</t>
        </is>
      </c>
      <c r="B7599" t="inlineStr">
        <is>
          <t>NOR</t>
        </is>
      </c>
      <c r="C7599" t="n">
        <v>2021</v>
      </c>
      <c r="D7599" t="n">
        <v>3.48388055266678</v>
      </c>
    </row>
    <row r="7600">
      <c r="A7600" t="inlineStr">
        <is>
          <t>Norway</t>
        </is>
      </c>
      <c r="B7600" t="inlineStr">
        <is>
          <t>NOR</t>
        </is>
      </c>
      <c r="C7600" t="n">
        <v>2022</v>
      </c>
      <c r="D7600" t="n">
        <v>5.76412317852272</v>
      </c>
    </row>
    <row r="7601">
      <c r="A7601" t="inlineStr">
        <is>
          <t>Norway</t>
        </is>
      </c>
      <c r="B7601" t="inlineStr">
        <is>
          <t>NOR</t>
        </is>
      </c>
      <c r="C7601" t="n">
        <v>2023</v>
      </c>
      <c r="D7601" t="n">
        <v>5.51784987104659</v>
      </c>
    </row>
    <row r="7602">
      <c r="A7602" t="inlineStr">
        <is>
          <t>Norway</t>
        </is>
      </c>
      <c r="B7602" t="inlineStr">
        <is>
          <t>NOR</t>
        </is>
      </c>
      <c r="C7602" t="n">
        <v>2024</v>
      </c>
      <c r="D7602" t="n">
        <v>3.14530134431073</v>
      </c>
    </row>
    <row r="7603">
      <c r="A7603" t="inlineStr">
        <is>
          <t>Nepal</t>
        </is>
      </c>
      <c r="B7603" t="inlineStr">
        <is>
          <t>NPL</t>
        </is>
      </c>
      <c r="C7603" t="n">
        <v>1965</v>
      </c>
      <c r="D7603" t="n">
        <v>8.47186932846467</v>
      </c>
    </row>
    <row r="7604">
      <c r="A7604" t="inlineStr">
        <is>
          <t>Nepal</t>
        </is>
      </c>
      <c r="B7604" t="inlineStr">
        <is>
          <t>NPL</t>
        </is>
      </c>
      <c r="C7604" t="n">
        <v>1966</v>
      </c>
      <c r="D7604" t="n">
        <v>14.3889706868656</v>
      </c>
    </row>
    <row r="7605">
      <c r="A7605" t="inlineStr">
        <is>
          <t>Nepal</t>
        </is>
      </c>
      <c r="B7605" t="inlineStr">
        <is>
          <t>NPL</t>
        </is>
      </c>
      <c r="C7605" t="n">
        <v>1967</v>
      </c>
      <c r="D7605" t="n">
        <v>-2.80833138334687</v>
      </c>
    </row>
    <row r="7606">
      <c r="A7606" t="inlineStr">
        <is>
          <t>Nepal</t>
        </is>
      </c>
      <c r="B7606" t="inlineStr">
        <is>
          <t>NPL</t>
        </is>
      </c>
      <c r="C7606" t="n">
        <v>1968</v>
      </c>
      <c r="D7606" t="n">
        <v>1.17986997370048</v>
      </c>
    </row>
    <row r="7607">
      <c r="A7607" t="inlineStr">
        <is>
          <t>Nepal</t>
        </is>
      </c>
      <c r="B7607" t="inlineStr">
        <is>
          <t>NPL</t>
        </is>
      </c>
      <c r="C7607" t="n">
        <v>1969</v>
      </c>
      <c r="D7607" t="n">
        <v>4.05759162281557</v>
      </c>
    </row>
    <row r="7608">
      <c r="A7608" t="inlineStr">
        <is>
          <t>Nepal</t>
        </is>
      </c>
      <c r="B7608" t="inlineStr">
        <is>
          <t>NPL</t>
        </is>
      </c>
      <c r="C7608" t="n">
        <v>1970</v>
      </c>
      <c r="D7608" t="n">
        <v>15.2372784450359</v>
      </c>
    </row>
    <row r="7609">
      <c r="A7609" t="inlineStr">
        <is>
          <t>Nepal</t>
        </is>
      </c>
      <c r="B7609" t="inlineStr">
        <is>
          <t>NPL</t>
        </is>
      </c>
      <c r="C7609" t="n">
        <v>1971</v>
      </c>
      <c r="D7609" t="n">
        <v>-1.99950384520828</v>
      </c>
    </row>
    <row r="7610">
      <c r="A7610" t="inlineStr">
        <is>
          <t>Nepal</t>
        </is>
      </c>
      <c r="B7610" t="inlineStr">
        <is>
          <t>NPL</t>
        </is>
      </c>
      <c r="C7610" t="n">
        <v>1972</v>
      </c>
      <c r="D7610" t="n">
        <v>8.38902389630182</v>
      </c>
    </row>
    <row r="7611">
      <c r="A7611" t="inlineStr">
        <is>
          <t>Nepal</t>
        </is>
      </c>
      <c r="B7611" t="inlineStr">
        <is>
          <t>NPL</t>
        </is>
      </c>
      <c r="C7611" t="n">
        <v>1973</v>
      </c>
      <c r="D7611" t="n">
        <v>11.42977252586</v>
      </c>
    </row>
    <row r="7612">
      <c r="A7612" t="inlineStr">
        <is>
          <t>Nepal</t>
        </is>
      </c>
      <c r="B7612" t="inlineStr">
        <is>
          <t>NPL</t>
        </is>
      </c>
      <c r="C7612" t="n">
        <v>1974</v>
      </c>
      <c r="D7612" t="n">
        <v>19.8063380280849</v>
      </c>
    </row>
    <row r="7613">
      <c r="A7613" t="inlineStr">
        <is>
          <t>Nepal</t>
        </is>
      </c>
      <c r="B7613" t="inlineStr">
        <is>
          <t>NPL</t>
        </is>
      </c>
      <c r="C7613" t="n">
        <v>1975</v>
      </c>
      <c r="D7613" t="n">
        <v>7.58598521352965</v>
      </c>
    </row>
    <row r="7614">
      <c r="A7614" t="inlineStr">
        <is>
          <t>Nepal</t>
        </is>
      </c>
      <c r="B7614" t="inlineStr">
        <is>
          <t>NPL</t>
        </is>
      </c>
      <c r="C7614" t="n">
        <v>1976</v>
      </c>
      <c r="D7614" t="n">
        <v>-3.11323573327194</v>
      </c>
    </row>
    <row r="7615">
      <c r="A7615" t="inlineStr">
        <is>
          <t>Nepal</t>
        </is>
      </c>
      <c r="B7615" t="inlineStr">
        <is>
          <t>NPL</t>
        </is>
      </c>
      <c r="C7615" t="n">
        <v>1977</v>
      </c>
      <c r="D7615" t="n">
        <v>9.89885284313484</v>
      </c>
    </row>
    <row r="7616">
      <c r="A7616" t="inlineStr">
        <is>
          <t>Nepal</t>
        </is>
      </c>
      <c r="B7616" t="inlineStr">
        <is>
          <t>NPL</t>
        </is>
      </c>
      <c r="C7616" t="n">
        <v>1978</v>
      </c>
      <c r="D7616" t="n">
        <v>7.34609125083295</v>
      </c>
    </row>
    <row r="7617">
      <c r="A7617" t="inlineStr">
        <is>
          <t>Nepal</t>
        </is>
      </c>
      <c r="B7617" t="inlineStr">
        <is>
          <t>NPL</t>
        </is>
      </c>
      <c r="C7617" t="n">
        <v>1979</v>
      </c>
      <c r="D7617" t="n">
        <v>3.56545378520237</v>
      </c>
    </row>
    <row r="7618">
      <c r="A7618" t="inlineStr">
        <is>
          <t>Nepal</t>
        </is>
      </c>
      <c r="B7618" t="inlineStr">
        <is>
          <t>NPL</t>
        </is>
      </c>
      <c r="C7618" t="n">
        <v>1980</v>
      </c>
      <c r="D7618" t="n">
        <v>14.6845027763768</v>
      </c>
    </row>
    <row r="7619">
      <c r="A7619" t="inlineStr">
        <is>
          <t>Nepal</t>
        </is>
      </c>
      <c r="B7619" t="inlineStr">
        <is>
          <t>NPL</t>
        </is>
      </c>
      <c r="C7619" t="n">
        <v>1981</v>
      </c>
      <c r="D7619" t="n">
        <v>11.1448567278443</v>
      </c>
    </row>
    <row r="7620">
      <c r="A7620" t="inlineStr">
        <is>
          <t>Nepal</t>
        </is>
      </c>
      <c r="B7620" t="inlineStr">
        <is>
          <t>NPL</t>
        </is>
      </c>
      <c r="C7620" t="n">
        <v>1982</v>
      </c>
      <c r="D7620" t="n">
        <v>11.6985465924139</v>
      </c>
    </row>
    <row r="7621">
      <c r="A7621" t="inlineStr">
        <is>
          <t>Nepal</t>
        </is>
      </c>
      <c r="B7621" t="inlineStr">
        <is>
          <t>NPL</t>
        </is>
      </c>
      <c r="C7621" t="n">
        <v>1983</v>
      </c>
      <c r="D7621" t="n">
        <v>12.3772380782713</v>
      </c>
    </row>
    <row r="7622">
      <c r="A7622" t="inlineStr">
        <is>
          <t>Nepal</t>
        </is>
      </c>
      <c r="B7622" t="inlineStr">
        <is>
          <t>NPL</t>
        </is>
      </c>
      <c r="C7622" t="n">
        <v>1984</v>
      </c>
      <c r="D7622" t="n">
        <v>2.84578495716266</v>
      </c>
    </row>
    <row r="7623">
      <c r="A7623" t="inlineStr">
        <is>
          <t>Nepal</t>
        </is>
      </c>
      <c r="B7623" t="inlineStr">
        <is>
          <t>NPL</t>
        </is>
      </c>
      <c r="C7623" t="n">
        <v>1985</v>
      </c>
      <c r="D7623" t="n">
        <v>8.052641266196289</v>
      </c>
    </row>
    <row r="7624">
      <c r="A7624" t="inlineStr">
        <is>
          <t>Nepal</t>
        </is>
      </c>
      <c r="B7624" t="inlineStr">
        <is>
          <t>NPL</t>
        </is>
      </c>
      <c r="C7624" t="n">
        <v>1986</v>
      </c>
      <c r="D7624" t="n">
        <v>18.9989495502395</v>
      </c>
    </row>
    <row r="7625">
      <c r="A7625" t="inlineStr">
        <is>
          <t>Nepal</t>
        </is>
      </c>
      <c r="B7625" t="inlineStr">
        <is>
          <t>NPL</t>
        </is>
      </c>
      <c r="C7625" t="n">
        <v>1987</v>
      </c>
      <c r="D7625" t="n">
        <v>10.750328044985</v>
      </c>
    </row>
    <row r="7626">
      <c r="A7626" t="inlineStr">
        <is>
          <t>Nepal</t>
        </is>
      </c>
      <c r="B7626" t="inlineStr">
        <is>
          <t>NPL</t>
        </is>
      </c>
      <c r="C7626" t="n">
        <v>1988</v>
      </c>
      <c r="D7626" t="n">
        <v>8.98300338208989</v>
      </c>
    </row>
    <row r="7627">
      <c r="A7627" t="inlineStr">
        <is>
          <t>Nepal</t>
        </is>
      </c>
      <c r="B7627" t="inlineStr">
        <is>
          <t>NPL</t>
        </is>
      </c>
      <c r="C7627" t="n">
        <v>1989</v>
      </c>
      <c r="D7627" t="n">
        <v>8.84688691232552</v>
      </c>
    </row>
    <row r="7628">
      <c r="A7628" t="inlineStr">
        <is>
          <t>Nepal</t>
        </is>
      </c>
      <c r="B7628" t="inlineStr">
        <is>
          <t>NPL</t>
        </is>
      </c>
      <c r="C7628" t="n">
        <v>1990</v>
      </c>
      <c r="D7628" t="n">
        <v>8.2397003745321</v>
      </c>
    </row>
    <row r="7629">
      <c r="A7629" t="inlineStr">
        <is>
          <t>Nepal</t>
        </is>
      </c>
      <c r="B7629" t="inlineStr">
        <is>
          <t>NPL</t>
        </is>
      </c>
      <c r="C7629" t="n">
        <v>1991</v>
      </c>
      <c r="D7629" t="n">
        <v>15.5574529276948</v>
      </c>
    </row>
    <row r="7630">
      <c r="A7630" t="inlineStr">
        <is>
          <t>Nepal</t>
        </is>
      </c>
      <c r="B7630" t="inlineStr">
        <is>
          <t>NPL</t>
        </is>
      </c>
      <c r="C7630" t="n">
        <v>1992</v>
      </c>
      <c r="D7630" t="n">
        <v>17.149523624344</v>
      </c>
    </row>
    <row r="7631">
      <c r="A7631" t="inlineStr">
        <is>
          <t>Nepal</t>
        </is>
      </c>
      <c r="B7631" t="inlineStr">
        <is>
          <t>NPL</t>
        </is>
      </c>
      <c r="C7631" t="n">
        <v>1993</v>
      </c>
      <c r="D7631" t="n">
        <v>7.50539419087105</v>
      </c>
    </row>
    <row r="7632">
      <c r="A7632" t="inlineStr">
        <is>
          <t>Nepal</t>
        </is>
      </c>
      <c r="B7632" t="inlineStr">
        <is>
          <t>NPL</t>
        </is>
      </c>
      <c r="C7632" t="n">
        <v>1994</v>
      </c>
      <c r="D7632" t="n">
        <v>8.34928672883386</v>
      </c>
    </row>
    <row r="7633">
      <c r="A7633" t="inlineStr">
        <is>
          <t>Nepal</t>
        </is>
      </c>
      <c r="B7633" t="inlineStr">
        <is>
          <t>NPL</t>
        </is>
      </c>
      <c r="C7633" t="n">
        <v>1995</v>
      </c>
      <c r="D7633" t="n">
        <v>7.62296950698163</v>
      </c>
    </row>
    <row r="7634">
      <c r="A7634" t="inlineStr">
        <is>
          <t>Nepal</t>
        </is>
      </c>
      <c r="B7634" t="inlineStr">
        <is>
          <t>NPL</t>
        </is>
      </c>
      <c r="C7634" t="n">
        <v>1996</v>
      </c>
      <c r="D7634" t="n">
        <v>9.220466623769861</v>
      </c>
    </row>
    <row r="7635">
      <c r="A7635" t="inlineStr">
        <is>
          <t>Nepal</t>
        </is>
      </c>
      <c r="B7635" t="inlineStr">
        <is>
          <t>NPL</t>
        </is>
      </c>
      <c r="C7635" t="n">
        <v>1997</v>
      </c>
      <c r="D7635" t="n">
        <v>4.00998860523183</v>
      </c>
    </row>
    <row r="7636">
      <c r="A7636" t="inlineStr">
        <is>
          <t>Nepal</t>
        </is>
      </c>
      <c r="B7636" t="inlineStr">
        <is>
          <t>NPL</t>
        </is>
      </c>
      <c r="C7636" t="n">
        <v>1998</v>
      </c>
      <c r="D7636" t="n">
        <v>11.2444677818614</v>
      </c>
    </row>
    <row r="7637">
      <c r="A7637" t="inlineStr">
        <is>
          <t>Nepal</t>
        </is>
      </c>
      <c r="B7637" t="inlineStr">
        <is>
          <t>NPL</t>
        </is>
      </c>
      <c r="C7637" t="n">
        <v>1999</v>
      </c>
      <c r="D7637" t="n">
        <v>7.4511126095755</v>
      </c>
    </row>
    <row r="7638">
      <c r="A7638" t="inlineStr">
        <is>
          <t>Nepal</t>
        </is>
      </c>
      <c r="B7638" t="inlineStr">
        <is>
          <t>NPL</t>
        </is>
      </c>
      <c r="C7638" t="n">
        <v>2000</v>
      </c>
      <c r="D7638" t="n">
        <v>2.47882020709132</v>
      </c>
    </row>
    <row r="7639">
      <c r="A7639" t="inlineStr">
        <is>
          <t>Nepal</t>
        </is>
      </c>
      <c r="B7639" t="inlineStr">
        <is>
          <t>NPL</t>
        </is>
      </c>
      <c r="C7639" t="n">
        <v>2001</v>
      </c>
      <c r="D7639" t="n">
        <v>2.68830373545629</v>
      </c>
    </row>
    <row r="7640">
      <c r="A7640" t="inlineStr">
        <is>
          <t>Nepal</t>
        </is>
      </c>
      <c r="B7640" t="inlineStr">
        <is>
          <t>NPL</t>
        </is>
      </c>
      <c r="C7640" t="n">
        <v>2002</v>
      </c>
      <c r="D7640" t="n">
        <v>3.02939948714896</v>
      </c>
    </row>
    <row r="7641">
      <c r="A7641" t="inlineStr">
        <is>
          <t>Nepal</t>
        </is>
      </c>
      <c r="B7641" t="inlineStr">
        <is>
          <t>NPL</t>
        </is>
      </c>
      <c r="C7641" t="n">
        <v>2003</v>
      </c>
      <c r="D7641" t="n">
        <v>5.70700931874737</v>
      </c>
    </row>
    <row r="7642">
      <c r="A7642" t="inlineStr">
        <is>
          <t>Nepal</t>
        </is>
      </c>
      <c r="B7642" t="inlineStr">
        <is>
          <t>NPL</t>
        </is>
      </c>
      <c r="C7642" t="n">
        <v>2004</v>
      </c>
      <c r="D7642" t="n">
        <v>2.84181131248978</v>
      </c>
    </row>
    <row r="7643">
      <c r="A7643" t="inlineStr">
        <is>
          <t>Nepal</t>
        </is>
      </c>
      <c r="B7643" t="inlineStr">
        <is>
          <t>NPL</t>
        </is>
      </c>
      <c r="C7643" t="n">
        <v>2005</v>
      </c>
      <c r="D7643" t="n">
        <v>6.83633265892875</v>
      </c>
    </row>
    <row r="7644">
      <c r="A7644" t="inlineStr">
        <is>
          <t>Nepal</t>
        </is>
      </c>
      <c r="B7644" t="inlineStr">
        <is>
          <t>NPL</t>
        </is>
      </c>
      <c r="C7644" t="n">
        <v>2006</v>
      </c>
      <c r="D7644" t="n">
        <v>6.92033580707587</v>
      </c>
    </row>
    <row r="7645">
      <c r="A7645" t="inlineStr">
        <is>
          <t>Nepal</t>
        </is>
      </c>
      <c r="B7645" t="inlineStr">
        <is>
          <t>NPL</t>
        </is>
      </c>
      <c r="C7645" t="n">
        <v>2007</v>
      </c>
      <c r="D7645" t="n">
        <v>2.26921924439073</v>
      </c>
    </row>
    <row r="7646">
      <c r="A7646" t="inlineStr">
        <is>
          <t>Nepal</t>
        </is>
      </c>
      <c r="B7646" t="inlineStr">
        <is>
          <t>NPL</t>
        </is>
      </c>
      <c r="C7646" t="n">
        <v>2008</v>
      </c>
      <c r="D7646" t="n">
        <v>9.90783005306479</v>
      </c>
    </row>
    <row r="7647">
      <c r="A7647" t="inlineStr">
        <is>
          <t>Nepal</t>
        </is>
      </c>
      <c r="B7647" t="inlineStr">
        <is>
          <t>NPL</t>
        </is>
      </c>
      <c r="C7647" t="n">
        <v>2009</v>
      </c>
      <c r="D7647" t="n">
        <v>11.0948237386987</v>
      </c>
    </row>
    <row r="7648">
      <c r="A7648" t="inlineStr">
        <is>
          <t>Nepal</t>
        </is>
      </c>
      <c r="B7648" t="inlineStr">
        <is>
          <t>NPL</t>
        </is>
      </c>
      <c r="C7648" t="n">
        <v>2010</v>
      </c>
      <c r="D7648" t="n">
        <v>9.326504107453941</v>
      </c>
    </row>
    <row r="7649">
      <c r="A7649" t="inlineStr">
        <is>
          <t>Nepal</t>
        </is>
      </c>
      <c r="B7649" t="inlineStr">
        <is>
          <t>NPL</t>
        </is>
      </c>
      <c r="C7649" t="n">
        <v>2011</v>
      </c>
      <c r="D7649" t="n">
        <v>9.22707546125951</v>
      </c>
    </row>
    <row r="7650">
      <c r="A7650" t="inlineStr">
        <is>
          <t>Nepal</t>
        </is>
      </c>
      <c r="B7650" t="inlineStr">
        <is>
          <t>NPL</t>
        </is>
      </c>
      <c r="C7650" t="n">
        <v>2012</v>
      </c>
      <c r="D7650" t="n">
        <v>9.45980980357135</v>
      </c>
    </row>
    <row r="7651">
      <c r="A7651" t="inlineStr">
        <is>
          <t>Nepal</t>
        </is>
      </c>
      <c r="B7651" t="inlineStr">
        <is>
          <t>NPL</t>
        </is>
      </c>
      <c r="C7651" t="n">
        <v>2013</v>
      </c>
      <c r="D7651" t="n">
        <v>9.040163119176359</v>
      </c>
    </row>
    <row r="7652">
      <c r="A7652" t="inlineStr">
        <is>
          <t>Nepal</t>
        </is>
      </c>
      <c r="B7652" t="inlineStr">
        <is>
          <t>NPL</t>
        </is>
      </c>
      <c r="C7652" t="n">
        <v>2014</v>
      </c>
      <c r="D7652" t="n">
        <v>8.36415469659563</v>
      </c>
    </row>
    <row r="7653">
      <c r="A7653" t="inlineStr">
        <is>
          <t>Nepal</t>
        </is>
      </c>
      <c r="B7653" t="inlineStr">
        <is>
          <t>NPL</t>
        </is>
      </c>
      <c r="C7653" t="n">
        <v>2015</v>
      </c>
      <c r="D7653" t="n">
        <v>7.86890895590899</v>
      </c>
    </row>
    <row r="7654">
      <c r="A7654" t="inlineStr">
        <is>
          <t>Nepal</t>
        </is>
      </c>
      <c r="B7654" t="inlineStr">
        <is>
          <t>NPL</t>
        </is>
      </c>
      <c r="C7654" t="n">
        <v>2016</v>
      </c>
      <c r="D7654" t="n">
        <v>8.790343320046331</v>
      </c>
    </row>
    <row r="7655">
      <c r="A7655" t="inlineStr">
        <is>
          <t>Nepal</t>
        </is>
      </c>
      <c r="B7655" t="inlineStr">
        <is>
          <t>NPL</t>
        </is>
      </c>
      <c r="C7655" t="n">
        <v>2017</v>
      </c>
      <c r="D7655" t="n">
        <v>3.62709610696607</v>
      </c>
    </row>
    <row r="7656">
      <c r="A7656" t="inlineStr">
        <is>
          <t>Nepal</t>
        </is>
      </c>
      <c r="B7656" t="inlineStr">
        <is>
          <t>NPL</t>
        </is>
      </c>
      <c r="C7656" t="n">
        <v>2018</v>
      </c>
      <c r="D7656" t="n">
        <v>4.0611633875107</v>
      </c>
    </row>
    <row r="7657">
      <c r="A7657" t="inlineStr">
        <is>
          <t>Nepal</t>
        </is>
      </c>
      <c r="B7657" t="inlineStr">
        <is>
          <t>NPL</t>
        </is>
      </c>
      <c r="C7657" t="n">
        <v>2019</v>
      </c>
      <c r="D7657" t="n">
        <v>5.56868547784929</v>
      </c>
    </row>
    <row r="7658">
      <c r="A7658" t="inlineStr">
        <is>
          <t>Nepal</t>
        </is>
      </c>
      <c r="B7658" t="inlineStr">
        <is>
          <t>NPL</t>
        </is>
      </c>
      <c r="C7658" t="n">
        <v>2020</v>
      </c>
      <c r="D7658" t="n">
        <v>5.05236655289212</v>
      </c>
    </row>
    <row r="7659">
      <c r="A7659" t="inlineStr">
        <is>
          <t>Nepal</t>
        </is>
      </c>
      <c r="B7659" t="inlineStr">
        <is>
          <t>NPL</t>
        </is>
      </c>
      <c r="C7659" t="n">
        <v>2021</v>
      </c>
      <c r="D7659" t="n">
        <v>4.14968003360264</v>
      </c>
    </row>
    <row r="7660">
      <c r="A7660" t="inlineStr">
        <is>
          <t>Nepal</t>
        </is>
      </c>
      <c r="B7660" t="inlineStr">
        <is>
          <t>NPL</t>
        </is>
      </c>
      <c r="C7660" t="n">
        <v>2022</v>
      </c>
      <c r="D7660" t="n">
        <v>7.6507917679853</v>
      </c>
    </row>
    <row r="7661">
      <c r="A7661" t="inlineStr">
        <is>
          <t>Nepal</t>
        </is>
      </c>
      <c r="B7661" t="inlineStr">
        <is>
          <t>NPL</t>
        </is>
      </c>
      <c r="C7661" t="n">
        <v>2023</v>
      </c>
      <c r="D7661" t="n">
        <v>7.11475951738199</v>
      </c>
    </row>
    <row r="7662">
      <c r="A7662" t="inlineStr">
        <is>
          <t>Nauru</t>
        </is>
      </c>
      <c r="B7662" t="inlineStr">
        <is>
          <t>NRU</t>
        </is>
      </c>
      <c r="C7662" t="n">
        <v>2011</v>
      </c>
      <c r="D7662" t="n">
        <v>0.3003003003003</v>
      </c>
    </row>
    <row r="7663">
      <c r="A7663" t="inlineStr">
        <is>
          <t>Nauru</t>
        </is>
      </c>
      <c r="B7663" t="inlineStr">
        <is>
          <t>NRU</t>
        </is>
      </c>
      <c r="C7663" t="n">
        <v>2012</v>
      </c>
      <c r="D7663" t="n">
        <v>-0.124750499001971</v>
      </c>
    </row>
    <row r="7664">
      <c r="A7664" t="inlineStr">
        <is>
          <t>New Zealand</t>
        </is>
      </c>
      <c r="B7664" t="inlineStr">
        <is>
          <t>NZL</t>
        </is>
      </c>
      <c r="C7664" t="n">
        <v>1960</v>
      </c>
      <c r="D7664" t="n">
        <v>0.697929233796477</v>
      </c>
    </row>
    <row r="7665">
      <c r="A7665" t="inlineStr">
        <is>
          <t>New Zealand</t>
        </is>
      </c>
      <c r="B7665" t="inlineStr">
        <is>
          <t>NZL</t>
        </is>
      </c>
      <c r="C7665" t="n">
        <v>1961</v>
      </c>
      <c r="D7665" t="n">
        <v>1.79770429009208</v>
      </c>
    </row>
    <row r="7666">
      <c r="A7666" t="inlineStr">
        <is>
          <t>New Zealand</t>
        </is>
      </c>
      <c r="B7666" t="inlineStr">
        <is>
          <t>NZL</t>
        </is>
      </c>
      <c r="C7666" t="n">
        <v>1962</v>
      </c>
      <c r="D7666" t="n">
        <v>2.68085396987461</v>
      </c>
    </row>
    <row r="7667">
      <c r="A7667" t="inlineStr">
        <is>
          <t>New Zealand</t>
        </is>
      </c>
      <c r="B7667" t="inlineStr">
        <is>
          <t>NZL</t>
        </is>
      </c>
      <c r="C7667" t="n">
        <v>1963</v>
      </c>
      <c r="D7667" t="n">
        <v>1.96849850441887</v>
      </c>
    </row>
    <row r="7668">
      <c r="A7668" t="inlineStr">
        <is>
          <t>New Zealand</t>
        </is>
      </c>
      <c r="B7668" t="inlineStr">
        <is>
          <t>NZL</t>
        </is>
      </c>
      <c r="C7668" t="n">
        <v>1964</v>
      </c>
      <c r="D7668" t="n">
        <v>3.4749054767661</v>
      </c>
    </row>
    <row r="7669">
      <c r="A7669" t="inlineStr">
        <is>
          <t>New Zealand</t>
        </is>
      </c>
      <c r="B7669" t="inlineStr">
        <is>
          <t>NZL</t>
        </is>
      </c>
      <c r="C7669" t="n">
        <v>1965</v>
      </c>
      <c r="D7669" t="n">
        <v>3.39748975611084</v>
      </c>
    </row>
    <row r="7670">
      <c r="A7670" t="inlineStr">
        <is>
          <t>New Zealand</t>
        </is>
      </c>
      <c r="B7670" t="inlineStr">
        <is>
          <t>NZL</t>
        </is>
      </c>
      <c r="C7670" t="n">
        <v>1966</v>
      </c>
      <c r="D7670" t="n">
        <v>2.75548077542815</v>
      </c>
    </row>
    <row r="7671">
      <c r="A7671" t="inlineStr">
        <is>
          <t>New Zealand</t>
        </is>
      </c>
      <c r="B7671" t="inlineStr">
        <is>
          <t>NZL</t>
        </is>
      </c>
      <c r="C7671" t="n">
        <v>1967</v>
      </c>
      <c r="D7671" t="n">
        <v>6.05692006267522</v>
      </c>
    </row>
    <row r="7672">
      <c r="A7672" t="inlineStr">
        <is>
          <t>New Zealand</t>
        </is>
      </c>
      <c r="B7672" t="inlineStr">
        <is>
          <t>NZL</t>
        </is>
      </c>
      <c r="C7672" t="n">
        <v>1968</v>
      </c>
      <c r="D7672" t="n">
        <v>4.31192496550194</v>
      </c>
    </row>
    <row r="7673">
      <c r="A7673" t="inlineStr">
        <is>
          <t>New Zealand</t>
        </is>
      </c>
      <c r="B7673" t="inlineStr">
        <is>
          <t>NZL</t>
        </is>
      </c>
      <c r="C7673" t="n">
        <v>1969</v>
      </c>
      <c r="D7673" t="n">
        <v>4.92524242695133</v>
      </c>
    </row>
    <row r="7674">
      <c r="A7674" t="inlineStr">
        <is>
          <t>New Zealand</t>
        </is>
      </c>
      <c r="B7674" t="inlineStr">
        <is>
          <t>NZL</t>
        </is>
      </c>
      <c r="C7674" t="n">
        <v>1970</v>
      </c>
      <c r="D7674" t="n">
        <v>6.5171810515548</v>
      </c>
    </row>
    <row r="7675">
      <c r="A7675" t="inlineStr">
        <is>
          <t>New Zealand</t>
        </is>
      </c>
      <c r="B7675" t="inlineStr">
        <is>
          <t>NZL</t>
        </is>
      </c>
      <c r="C7675" t="n">
        <v>1971</v>
      </c>
      <c r="D7675" t="n">
        <v>10.3875683188138</v>
      </c>
    </row>
    <row r="7676">
      <c r="A7676" t="inlineStr">
        <is>
          <t>New Zealand</t>
        </is>
      </c>
      <c r="B7676" t="inlineStr">
        <is>
          <t>NZL</t>
        </is>
      </c>
      <c r="C7676" t="n">
        <v>1972</v>
      </c>
      <c r="D7676" t="n">
        <v>6.93280459206854</v>
      </c>
    </row>
    <row r="7677">
      <c r="A7677" t="inlineStr">
        <is>
          <t>New Zealand</t>
        </is>
      </c>
      <c r="B7677" t="inlineStr">
        <is>
          <t>NZL</t>
        </is>
      </c>
      <c r="C7677" t="n">
        <v>1973</v>
      </c>
      <c r="D7677" t="n">
        <v>8.16666927326658</v>
      </c>
    </row>
    <row r="7678">
      <c r="A7678" t="inlineStr">
        <is>
          <t>New Zealand</t>
        </is>
      </c>
      <c r="B7678" t="inlineStr">
        <is>
          <t>NZL</t>
        </is>
      </c>
      <c r="C7678" t="n">
        <v>1974</v>
      </c>
      <c r="D7678" t="n">
        <v>11.1094020122224</v>
      </c>
    </row>
    <row r="7679">
      <c r="A7679" t="inlineStr">
        <is>
          <t>New Zealand</t>
        </is>
      </c>
      <c r="B7679" t="inlineStr">
        <is>
          <t>NZL</t>
        </is>
      </c>
      <c r="C7679" t="n">
        <v>1975</v>
      </c>
      <c r="D7679" t="n">
        <v>14.6849834723994</v>
      </c>
    </row>
    <row r="7680">
      <c r="A7680" t="inlineStr">
        <is>
          <t>New Zealand</t>
        </is>
      </c>
      <c r="B7680" t="inlineStr">
        <is>
          <t>NZL</t>
        </is>
      </c>
      <c r="C7680" t="n">
        <v>1976</v>
      </c>
      <c r="D7680" t="n">
        <v>16.906857005945</v>
      </c>
    </row>
    <row r="7681">
      <c r="A7681" t="inlineStr">
        <is>
          <t>New Zealand</t>
        </is>
      </c>
      <c r="B7681" t="inlineStr">
        <is>
          <t>NZL</t>
        </is>
      </c>
      <c r="C7681" t="n">
        <v>1977</v>
      </c>
      <c r="D7681" t="n">
        <v>14.3835494194622</v>
      </c>
    </row>
    <row r="7682">
      <c r="A7682" t="inlineStr">
        <is>
          <t>New Zealand</t>
        </is>
      </c>
      <c r="B7682" t="inlineStr">
        <is>
          <t>NZL</t>
        </is>
      </c>
      <c r="C7682" t="n">
        <v>1978</v>
      </c>
      <c r="D7682" t="n">
        <v>11.9566179733303</v>
      </c>
    </row>
    <row r="7683">
      <c r="A7683" t="inlineStr">
        <is>
          <t>New Zealand</t>
        </is>
      </c>
      <c r="B7683" t="inlineStr">
        <is>
          <t>NZL</t>
        </is>
      </c>
      <c r="C7683" t="n">
        <v>1979</v>
      </c>
      <c r="D7683" t="n">
        <v>13.6995950156642</v>
      </c>
    </row>
    <row r="7684">
      <c r="A7684" t="inlineStr">
        <is>
          <t>New Zealand</t>
        </is>
      </c>
      <c r="B7684" t="inlineStr">
        <is>
          <t>NZL</t>
        </is>
      </c>
      <c r="C7684" t="n">
        <v>1980</v>
      </c>
      <c r="D7684" t="n">
        <v>17.1505454240954</v>
      </c>
    </row>
    <row r="7685">
      <c r="A7685" t="inlineStr">
        <is>
          <t>New Zealand</t>
        </is>
      </c>
      <c r="B7685" t="inlineStr">
        <is>
          <t>NZL</t>
        </is>
      </c>
      <c r="C7685" t="n">
        <v>1981</v>
      </c>
      <c r="D7685" t="n">
        <v>15.3701595831853</v>
      </c>
    </row>
    <row r="7686">
      <c r="A7686" t="inlineStr">
        <is>
          <t>New Zealand</t>
        </is>
      </c>
      <c r="B7686" t="inlineStr">
        <is>
          <t>NZL</t>
        </is>
      </c>
      <c r="C7686" t="n">
        <v>1982</v>
      </c>
      <c r="D7686" t="n">
        <v>16.1636941231018</v>
      </c>
    </row>
    <row r="7687">
      <c r="A7687" t="inlineStr">
        <is>
          <t>New Zealand</t>
        </is>
      </c>
      <c r="B7687" t="inlineStr">
        <is>
          <t>NZL</t>
        </is>
      </c>
      <c r="C7687" t="n">
        <v>1983</v>
      </c>
      <c r="D7687" t="n">
        <v>7.34107586057345</v>
      </c>
    </row>
    <row r="7688">
      <c r="A7688" t="inlineStr">
        <is>
          <t>New Zealand</t>
        </is>
      </c>
      <c r="B7688" t="inlineStr">
        <is>
          <t>NZL</t>
        </is>
      </c>
      <c r="C7688" t="n">
        <v>1984</v>
      </c>
      <c r="D7688" t="n">
        <v>6.17125347924442</v>
      </c>
    </row>
    <row r="7689">
      <c r="A7689" t="inlineStr">
        <is>
          <t>New Zealand</t>
        </is>
      </c>
      <c r="B7689" t="inlineStr">
        <is>
          <t>NZL</t>
        </is>
      </c>
      <c r="C7689" t="n">
        <v>1985</v>
      </c>
      <c r="D7689" t="n">
        <v>15.4176555719917</v>
      </c>
    </row>
    <row r="7690">
      <c r="A7690" t="inlineStr">
        <is>
          <t>New Zealand</t>
        </is>
      </c>
      <c r="B7690" t="inlineStr">
        <is>
          <t>NZL</t>
        </is>
      </c>
      <c r="C7690" t="n">
        <v>1986</v>
      </c>
      <c r="D7690" t="n">
        <v>13.2133980640021</v>
      </c>
    </row>
    <row r="7691">
      <c r="A7691" t="inlineStr">
        <is>
          <t>New Zealand</t>
        </is>
      </c>
      <c r="B7691" t="inlineStr">
        <is>
          <t>NZL</t>
        </is>
      </c>
      <c r="C7691" t="n">
        <v>1987</v>
      </c>
      <c r="D7691" t="n">
        <v>15.7443007888927</v>
      </c>
    </row>
    <row r="7692">
      <c r="A7692" t="inlineStr">
        <is>
          <t>New Zealand</t>
        </is>
      </c>
      <c r="B7692" t="inlineStr">
        <is>
          <t>NZL</t>
        </is>
      </c>
      <c r="C7692" t="n">
        <v>1988</v>
      </c>
      <c r="D7692" t="n">
        <v>6.37524944411053</v>
      </c>
    </row>
    <row r="7693">
      <c r="A7693" t="inlineStr">
        <is>
          <t>New Zealand</t>
        </is>
      </c>
      <c r="B7693" t="inlineStr">
        <is>
          <t>NZL</t>
        </is>
      </c>
      <c r="C7693" t="n">
        <v>1989</v>
      </c>
      <c r="D7693" t="n">
        <v>5.7159915513563</v>
      </c>
    </row>
    <row r="7694">
      <c r="A7694" t="inlineStr">
        <is>
          <t>New Zealand</t>
        </is>
      </c>
      <c r="B7694" t="inlineStr">
        <is>
          <t>NZL</t>
        </is>
      </c>
      <c r="C7694" t="n">
        <v>1990</v>
      </c>
      <c r="D7694" t="n">
        <v>6.09844414810204</v>
      </c>
    </row>
    <row r="7695">
      <c r="A7695" t="inlineStr">
        <is>
          <t>New Zealand</t>
        </is>
      </c>
      <c r="B7695" t="inlineStr">
        <is>
          <t>NZL</t>
        </is>
      </c>
      <c r="C7695" t="n">
        <v>1991</v>
      </c>
      <c r="D7695" t="n">
        <v>2.60239285999773</v>
      </c>
    </row>
    <row r="7696">
      <c r="A7696" t="inlineStr">
        <is>
          <t>New Zealand</t>
        </is>
      </c>
      <c r="B7696" t="inlineStr">
        <is>
          <t>NZL</t>
        </is>
      </c>
      <c r="C7696" t="n">
        <v>1992</v>
      </c>
      <c r="D7696" t="n">
        <v>1.01456027171236</v>
      </c>
    </row>
    <row r="7697">
      <c r="A7697" t="inlineStr">
        <is>
          <t>New Zealand</t>
        </is>
      </c>
      <c r="B7697" t="inlineStr">
        <is>
          <t>NZL</t>
        </is>
      </c>
      <c r="C7697" t="n">
        <v>1993</v>
      </c>
      <c r="D7697" t="n">
        <v>1.28820776574386</v>
      </c>
    </row>
    <row r="7698">
      <c r="A7698" t="inlineStr">
        <is>
          <t>New Zealand</t>
        </is>
      </c>
      <c r="B7698" t="inlineStr">
        <is>
          <t>NZL</t>
        </is>
      </c>
      <c r="C7698" t="n">
        <v>1994</v>
      </c>
      <c r="D7698" t="n">
        <v>1.74537790773743</v>
      </c>
    </row>
    <row r="7699">
      <c r="A7699" t="inlineStr">
        <is>
          <t>New Zealand</t>
        </is>
      </c>
      <c r="B7699" t="inlineStr">
        <is>
          <t>NZL</t>
        </is>
      </c>
      <c r="C7699" t="n">
        <v>1995</v>
      </c>
      <c r="D7699" t="n">
        <v>3.75494413677554</v>
      </c>
    </row>
    <row r="7700">
      <c r="A7700" t="inlineStr">
        <is>
          <t>New Zealand</t>
        </is>
      </c>
      <c r="B7700" t="inlineStr">
        <is>
          <t>NZL</t>
        </is>
      </c>
      <c r="C7700" t="n">
        <v>1996</v>
      </c>
      <c r="D7700" t="n">
        <v>2.28571305402195</v>
      </c>
    </row>
    <row r="7701">
      <c r="A7701" t="inlineStr">
        <is>
          <t>New Zealand</t>
        </is>
      </c>
      <c r="B7701" t="inlineStr">
        <is>
          <t>NZL</t>
        </is>
      </c>
      <c r="C7701" t="n">
        <v>1997</v>
      </c>
      <c r="D7701" t="n">
        <v>1.18714833105632</v>
      </c>
    </row>
    <row r="7702">
      <c r="A7702" t="inlineStr">
        <is>
          <t>New Zealand</t>
        </is>
      </c>
      <c r="B7702" t="inlineStr">
        <is>
          <t>NZL</t>
        </is>
      </c>
      <c r="C7702" t="n">
        <v>1998</v>
      </c>
      <c r="D7702" t="n">
        <v>1.26524409915406</v>
      </c>
    </row>
    <row r="7703">
      <c r="A7703" t="inlineStr">
        <is>
          <t>New Zealand</t>
        </is>
      </c>
      <c r="B7703" t="inlineStr">
        <is>
          <t>NZL</t>
        </is>
      </c>
      <c r="C7703" t="n">
        <v>1999</v>
      </c>
      <c r="D7703" t="n">
        <v>-0.114267129777524</v>
      </c>
    </row>
    <row r="7704">
      <c r="A7704" t="inlineStr">
        <is>
          <t>New Zealand</t>
        </is>
      </c>
      <c r="B7704" t="inlineStr">
        <is>
          <t>NZL</t>
        </is>
      </c>
      <c r="C7704" t="n">
        <v>2000</v>
      </c>
      <c r="D7704" t="n">
        <v>2.6152344624632</v>
      </c>
    </row>
    <row r="7705">
      <c r="A7705" t="inlineStr">
        <is>
          <t>New Zealand</t>
        </is>
      </c>
      <c r="B7705" t="inlineStr">
        <is>
          <t>NZL</t>
        </is>
      </c>
      <c r="C7705" t="n">
        <v>2001</v>
      </c>
      <c r="D7705" t="n">
        <v>2.62581630392903</v>
      </c>
    </row>
    <row r="7706">
      <c r="A7706" t="inlineStr">
        <is>
          <t>New Zealand</t>
        </is>
      </c>
      <c r="B7706" t="inlineStr">
        <is>
          <t>NZL</t>
        </is>
      </c>
      <c r="C7706" t="n">
        <v>2002</v>
      </c>
      <c r="D7706" t="n">
        <v>2.67709257711605</v>
      </c>
    </row>
    <row r="7707">
      <c r="A7707" t="inlineStr">
        <is>
          <t>New Zealand</t>
        </is>
      </c>
      <c r="B7707" t="inlineStr">
        <is>
          <t>NZL</t>
        </is>
      </c>
      <c r="C7707" t="n">
        <v>2003</v>
      </c>
      <c r="D7707" t="n">
        <v>1.75357444759557</v>
      </c>
    </row>
    <row r="7708">
      <c r="A7708" t="inlineStr">
        <is>
          <t>New Zealand</t>
        </is>
      </c>
      <c r="B7708" t="inlineStr">
        <is>
          <t>NZL</t>
        </is>
      </c>
      <c r="C7708" t="n">
        <v>2004</v>
      </c>
      <c r="D7708" t="n">
        <v>2.29024902847571</v>
      </c>
    </row>
    <row r="7709">
      <c r="A7709" t="inlineStr">
        <is>
          <t>New Zealand</t>
        </is>
      </c>
      <c r="B7709" t="inlineStr">
        <is>
          <t>NZL</t>
        </is>
      </c>
      <c r="C7709" t="n">
        <v>2005</v>
      </c>
      <c r="D7709" t="n">
        <v>3.03702332617012</v>
      </c>
    </row>
    <row r="7710">
      <c r="A7710" t="inlineStr">
        <is>
          <t>New Zealand</t>
        </is>
      </c>
      <c r="B7710" t="inlineStr">
        <is>
          <t>NZL</t>
        </is>
      </c>
      <c r="C7710" t="n">
        <v>2006</v>
      </c>
      <c r="D7710" t="n">
        <v>3.36540196171993</v>
      </c>
    </row>
    <row r="7711">
      <c r="A7711" t="inlineStr">
        <is>
          <t>New Zealand</t>
        </is>
      </c>
      <c r="B7711" t="inlineStr">
        <is>
          <t>NZL</t>
        </is>
      </c>
      <c r="C7711" t="n">
        <v>2007</v>
      </c>
      <c r="D7711" t="n">
        <v>2.37614310290659</v>
      </c>
    </row>
    <row r="7712">
      <c r="A7712" t="inlineStr">
        <is>
          <t>New Zealand</t>
        </is>
      </c>
      <c r="B7712" t="inlineStr">
        <is>
          <t>NZL</t>
        </is>
      </c>
      <c r="C7712" t="n">
        <v>2008</v>
      </c>
      <c r="D7712" t="n">
        <v>3.9589493731206</v>
      </c>
    </row>
    <row r="7713">
      <c r="A7713" t="inlineStr">
        <is>
          <t>New Zealand</t>
        </is>
      </c>
      <c r="B7713" t="inlineStr">
        <is>
          <t>NZL</t>
        </is>
      </c>
      <c r="C7713" t="n">
        <v>2009</v>
      </c>
      <c r="D7713" t="n">
        <v>2.1156511055456</v>
      </c>
    </row>
    <row r="7714">
      <c r="A7714" t="inlineStr">
        <is>
          <t>New Zealand</t>
        </is>
      </c>
      <c r="B7714" t="inlineStr">
        <is>
          <t>NZL</t>
        </is>
      </c>
      <c r="C7714" t="n">
        <v>2010</v>
      </c>
      <c r="D7714" t="n">
        <v>2.30202385958572</v>
      </c>
    </row>
    <row r="7715">
      <c r="A7715" t="inlineStr">
        <is>
          <t>New Zealand</t>
        </is>
      </c>
      <c r="B7715" t="inlineStr">
        <is>
          <t>NZL</t>
        </is>
      </c>
      <c r="C7715" t="n">
        <v>2011</v>
      </c>
      <c r="D7715" t="n">
        <v>4.0279066739204</v>
      </c>
    </row>
    <row r="7716">
      <c r="A7716" t="inlineStr">
        <is>
          <t>New Zealand</t>
        </is>
      </c>
      <c r="B7716" t="inlineStr">
        <is>
          <t>NZL</t>
        </is>
      </c>
      <c r="C7716" t="n">
        <v>2012</v>
      </c>
      <c r="D7716" t="n">
        <v>1.05991318445632</v>
      </c>
    </row>
    <row r="7717">
      <c r="A7717" t="inlineStr">
        <is>
          <t>New Zealand</t>
        </is>
      </c>
      <c r="B7717" t="inlineStr">
        <is>
          <t>NZL</t>
        </is>
      </c>
      <c r="C7717" t="n">
        <v>2013</v>
      </c>
      <c r="D7717" t="n">
        <v>1.13442266445817</v>
      </c>
    </row>
    <row r="7718">
      <c r="A7718" t="inlineStr">
        <is>
          <t>New Zealand</t>
        </is>
      </c>
      <c r="B7718" t="inlineStr">
        <is>
          <t>NZL</t>
        </is>
      </c>
      <c r="C7718" t="n">
        <v>2014</v>
      </c>
      <c r="D7718" t="n">
        <v>1.227507505974</v>
      </c>
    </row>
    <row r="7719">
      <c r="A7719" t="inlineStr">
        <is>
          <t>New Zealand</t>
        </is>
      </c>
      <c r="B7719" t="inlineStr">
        <is>
          <t>NZL</t>
        </is>
      </c>
      <c r="C7719" t="n">
        <v>2015</v>
      </c>
      <c r="D7719" t="n">
        <v>0.292704628136101</v>
      </c>
    </row>
    <row r="7720">
      <c r="A7720" t="inlineStr">
        <is>
          <t>New Zealand</t>
        </is>
      </c>
      <c r="B7720" t="inlineStr">
        <is>
          <t>NZL</t>
        </is>
      </c>
      <c r="C7720" t="n">
        <v>2016</v>
      </c>
      <c r="D7720" t="n">
        <v>0.646240284454524</v>
      </c>
    </row>
    <row r="7721">
      <c r="A7721" t="inlineStr">
        <is>
          <t>New Zealand</t>
        </is>
      </c>
      <c r="B7721" t="inlineStr">
        <is>
          <t>NZL</t>
        </is>
      </c>
      <c r="C7721" t="n">
        <v>2017</v>
      </c>
      <c r="D7721" t="n">
        <v>1.85078767452536</v>
      </c>
    </row>
    <row r="7722">
      <c r="A7722" t="inlineStr">
        <is>
          <t>New Zealand</t>
        </is>
      </c>
      <c r="B7722" t="inlineStr">
        <is>
          <t>NZL</t>
        </is>
      </c>
      <c r="C7722" t="n">
        <v>2018</v>
      </c>
      <c r="D7722" t="n">
        <v>1.59829703801696</v>
      </c>
    </row>
    <row r="7723">
      <c r="A7723" t="inlineStr">
        <is>
          <t>New Zealand</t>
        </is>
      </c>
      <c r="B7723" t="inlineStr">
        <is>
          <t>NZL</t>
        </is>
      </c>
      <c r="C7723" t="n">
        <v>2019</v>
      </c>
      <c r="D7723" t="n">
        <v>1.61963190184048</v>
      </c>
    </row>
    <row r="7724">
      <c r="A7724" t="inlineStr">
        <is>
          <t>New Zealand</t>
        </is>
      </c>
      <c r="B7724" t="inlineStr">
        <is>
          <t>NZL</t>
        </is>
      </c>
      <c r="C7724" t="n">
        <v>2020</v>
      </c>
      <c r="D7724" t="n">
        <v>1.71456170007245</v>
      </c>
    </row>
    <row r="7725">
      <c r="A7725" t="inlineStr">
        <is>
          <t>New Zealand</t>
        </is>
      </c>
      <c r="B7725" t="inlineStr">
        <is>
          <t>NZL</t>
        </is>
      </c>
      <c r="C7725" t="n">
        <v>2021</v>
      </c>
      <c r="D7725" t="n">
        <v>3.94112060778728</v>
      </c>
    </row>
    <row r="7726">
      <c r="A7726" t="inlineStr">
        <is>
          <t>New Zealand</t>
        </is>
      </c>
      <c r="B7726" t="inlineStr">
        <is>
          <t>NZL</t>
        </is>
      </c>
      <c r="C7726" t="n">
        <v>2022</v>
      </c>
      <c r="D7726" t="n">
        <v>7.17222476016441</v>
      </c>
    </row>
    <row r="7727">
      <c r="A7727" t="inlineStr">
        <is>
          <t>New Zealand</t>
        </is>
      </c>
      <c r="B7727" t="inlineStr">
        <is>
          <t>NZL</t>
        </is>
      </c>
      <c r="C7727" t="n">
        <v>2023</v>
      </c>
      <c r="D7727" t="n">
        <v>5.73316283034957</v>
      </c>
    </row>
    <row r="7728">
      <c r="A7728" t="inlineStr">
        <is>
          <t>New Zealand</t>
        </is>
      </c>
      <c r="B7728" t="inlineStr">
        <is>
          <t>NZL</t>
        </is>
      </c>
      <c r="C7728" t="n">
        <v>2024</v>
      </c>
      <c r="D7728" t="n">
        <v>2.92279782301957</v>
      </c>
    </row>
    <row r="7729">
      <c r="A7729" t="inlineStr">
        <is>
          <t>OECD members</t>
        </is>
      </c>
      <c r="B7729" t="inlineStr">
        <is>
          <t>OED</t>
        </is>
      </c>
      <c r="C7729" t="n">
        <v>1960</v>
      </c>
      <c r="D7729" t="n">
        <v>1.94574935198645</v>
      </c>
    </row>
    <row r="7730">
      <c r="A7730" t="inlineStr">
        <is>
          <t>OECD members</t>
        </is>
      </c>
      <c r="B7730" t="inlineStr">
        <is>
          <t>OED</t>
        </is>
      </c>
      <c r="C7730" t="n">
        <v>1961</v>
      </c>
      <c r="D7730" t="n">
        <v>2.15797310981964</v>
      </c>
    </row>
    <row r="7731">
      <c r="A7731" t="inlineStr">
        <is>
          <t>OECD members</t>
        </is>
      </c>
      <c r="B7731" t="inlineStr">
        <is>
          <t>OED</t>
        </is>
      </c>
      <c r="C7731" t="n">
        <v>1962</v>
      </c>
      <c r="D7731" t="n">
        <v>4.26372712149085</v>
      </c>
    </row>
    <row r="7732">
      <c r="A7732" t="inlineStr">
        <is>
          <t>OECD members</t>
        </is>
      </c>
      <c r="B7732" t="inlineStr">
        <is>
          <t>OED</t>
        </is>
      </c>
      <c r="C7732" t="n">
        <v>1963</v>
      </c>
      <c r="D7732" t="n">
        <v>2.9669597758771</v>
      </c>
    </row>
    <row r="7733">
      <c r="A7733" t="inlineStr">
        <is>
          <t>OECD members</t>
        </is>
      </c>
      <c r="B7733" t="inlineStr">
        <is>
          <t>OED</t>
        </is>
      </c>
      <c r="C7733" t="n">
        <v>1964</v>
      </c>
      <c r="D7733" t="n">
        <v>3.44489848222768</v>
      </c>
    </row>
    <row r="7734">
      <c r="A7734" t="inlineStr">
        <is>
          <t>OECD members</t>
        </is>
      </c>
      <c r="B7734" t="inlineStr">
        <is>
          <t>OED</t>
        </is>
      </c>
      <c r="C7734" t="n">
        <v>1965</v>
      </c>
      <c r="D7734" t="n">
        <v>4.18722443998004</v>
      </c>
    </row>
    <row r="7735">
      <c r="A7735" t="inlineStr">
        <is>
          <t>OECD members</t>
        </is>
      </c>
      <c r="B7735" t="inlineStr">
        <is>
          <t>OED</t>
        </is>
      </c>
      <c r="C7735" t="n">
        <v>1966</v>
      </c>
      <c r="D7735" t="n">
        <v>4.17434761852995</v>
      </c>
    </row>
    <row r="7736">
      <c r="A7736" t="inlineStr">
        <is>
          <t>OECD members</t>
        </is>
      </c>
      <c r="B7736" t="inlineStr">
        <is>
          <t>OED</t>
        </is>
      </c>
      <c r="C7736" t="n">
        <v>1967</v>
      </c>
      <c r="D7736" t="n">
        <v>3.57995226730312</v>
      </c>
    </row>
    <row r="7737">
      <c r="A7737" t="inlineStr">
        <is>
          <t>OECD members</t>
        </is>
      </c>
      <c r="B7737" t="inlineStr">
        <is>
          <t>OED</t>
        </is>
      </c>
      <c r="C7737" t="n">
        <v>1968</v>
      </c>
      <c r="D7737" t="n">
        <v>4.09389143106836</v>
      </c>
    </row>
    <row r="7738">
      <c r="A7738" t="inlineStr">
        <is>
          <t>OECD members</t>
        </is>
      </c>
      <c r="B7738" t="inlineStr">
        <is>
          <t>OED</t>
        </is>
      </c>
      <c r="C7738" t="n">
        <v>1969</v>
      </c>
      <c r="D7738" t="n">
        <v>3.48791924395193</v>
      </c>
    </row>
    <row r="7739">
      <c r="A7739" t="inlineStr">
        <is>
          <t>OECD members</t>
        </is>
      </c>
      <c r="B7739" t="inlineStr">
        <is>
          <t>OED</t>
        </is>
      </c>
      <c r="C7739" t="n">
        <v>1970</v>
      </c>
      <c r="D7739" t="n">
        <v>5.73114484293532</v>
      </c>
    </row>
    <row r="7740">
      <c r="A7740" t="inlineStr">
        <is>
          <t>OECD members</t>
        </is>
      </c>
      <c r="B7740" t="inlineStr">
        <is>
          <t>OED</t>
        </is>
      </c>
      <c r="C7740" t="n">
        <v>1971</v>
      </c>
      <c r="D7740" t="n">
        <v>6.39534883720926</v>
      </c>
    </row>
    <row r="7741">
      <c r="A7741" t="inlineStr">
        <is>
          <t>OECD members</t>
        </is>
      </c>
      <c r="B7741" t="inlineStr">
        <is>
          <t>OED</t>
        </is>
      </c>
      <c r="C7741" t="n">
        <v>1972</v>
      </c>
      <c r="D7741" t="n">
        <v>6.56236090256536</v>
      </c>
    </row>
    <row r="7742">
      <c r="A7742" t="inlineStr">
        <is>
          <t>OECD members</t>
        </is>
      </c>
      <c r="B7742" t="inlineStr">
        <is>
          <t>OED</t>
        </is>
      </c>
      <c r="C7742" t="n">
        <v>1973</v>
      </c>
      <c r="D7742" t="n">
        <v>9.143471128743631</v>
      </c>
    </row>
    <row r="7743">
      <c r="A7743" t="inlineStr">
        <is>
          <t>OECD members</t>
        </is>
      </c>
      <c r="B7743" t="inlineStr">
        <is>
          <t>OED</t>
        </is>
      </c>
      <c r="C7743" t="n">
        <v>1974</v>
      </c>
      <c r="D7743" t="n">
        <v>15.5485200326028</v>
      </c>
    </row>
    <row r="7744">
      <c r="A7744" t="inlineStr">
        <is>
          <t>OECD members</t>
        </is>
      </c>
      <c r="B7744" t="inlineStr">
        <is>
          <t>OED</t>
        </is>
      </c>
      <c r="C7744" t="n">
        <v>1975</v>
      </c>
      <c r="D7744" t="n">
        <v>14.1568726272875</v>
      </c>
    </row>
    <row r="7745">
      <c r="A7745" t="inlineStr">
        <is>
          <t>OECD members</t>
        </is>
      </c>
      <c r="B7745" t="inlineStr">
        <is>
          <t>OED</t>
        </is>
      </c>
      <c r="C7745" t="n">
        <v>1976</v>
      </c>
      <c r="D7745" t="n">
        <v>11.6367520558869</v>
      </c>
    </row>
    <row r="7746">
      <c r="A7746" t="inlineStr">
        <is>
          <t>OECD members</t>
        </is>
      </c>
      <c r="B7746" t="inlineStr">
        <is>
          <t>OED</t>
        </is>
      </c>
      <c r="C7746" t="n">
        <v>1977</v>
      </c>
      <c r="D7746" t="n">
        <v>11.1820214595703</v>
      </c>
    </row>
    <row r="7747">
      <c r="A7747" t="inlineStr">
        <is>
          <t>OECD members</t>
        </is>
      </c>
      <c r="B7747" t="inlineStr">
        <is>
          <t>OED</t>
        </is>
      </c>
      <c r="C7747" t="n">
        <v>1978</v>
      </c>
      <c r="D7747" t="n">
        <v>8.61843219505991</v>
      </c>
    </row>
    <row r="7748">
      <c r="A7748" t="inlineStr">
        <is>
          <t>OECD members</t>
        </is>
      </c>
      <c r="B7748" t="inlineStr">
        <is>
          <t>OED</t>
        </is>
      </c>
      <c r="C7748" t="n">
        <v>1979</v>
      </c>
      <c r="D7748" t="n">
        <v>10.1288922753688</v>
      </c>
    </row>
    <row r="7749">
      <c r="A7749" t="inlineStr">
        <is>
          <t>OECD members</t>
        </is>
      </c>
      <c r="B7749" t="inlineStr">
        <is>
          <t>OED</t>
        </is>
      </c>
      <c r="C7749" t="n">
        <v>1980</v>
      </c>
      <c r="D7749" t="n">
        <v>13.634450606601</v>
      </c>
    </row>
    <row r="7750">
      <c r="A7750" t="inlineStr">
        <is>
          <t>OECD members</t>
        </is>
      </c>
      <c r="B7750" t="inlineStr">
        <is>
          <t>OED</t>
        </is>
      </c>
      <c r="C7750" t="n">
        <v>1981</v>
      </c>
      <c r="D7750" t="n">
        <v>13.6429608127722</v>
      </c>
    </row>
    <row r="7751">
      <c r="A7751" t="inlineStr">
        <is>
          <t>OECD members</t>
        </is>
      </c>
      <c r="B7751" t="inlineStr">
        <is>
          <t>OED</t>
        </is>
      </c>
      <c r="C7751" t="n">
        <v>1982</v>
      </c>
      <c r="D7751" t="n">
        <v>11.3409961685824</v>
      </c>
    </row>
    <row r="7752">
      <c r="A7752" t="inlineStr">
        <is>
          <t>OECD members</t>
        </is>
      </c>
      <c r="B7752" t="inlineStr">
        <is>
          <t>OED</t>
        </is>
      </c>
      <c r="C7752" t="n">
        <v>1983</v>
      </c>
      <c r="D7752" t="n">
        <v>8.873021523632129</v>
      </c>
    </row>
    <row r="7753">
      <c r="A7753" t="inlineStr">
        <is>
          <t>OECD members</t>
        </is>
      </c>
      <c r="B7753" t="inlineStr">
        <is>
          <t>OED</t>
        </is>
      </c>
      <c r="C7753" t="n">
        <v>1984</v>
      </c>
      <c r="D7753" t="n">
        <v>7.67380262247321</v>
      </c>
    </row>
    <row r="7754">
      <c r="A7754" t="inlineStr">
        <is>
          <t>OECD members</t>
        </is>
      </c>
      <c r="B7754" t="inlineStr">
        <is>
          <t>OED</t>
        </is>
      </c>
      <c r="C7754" t="n">
        <v>1985</v>
      </c>
      <c r="D7754" t="n">
        <v>6.734693877551</v>
      </c>
    </row>
    <row r="7755">
      <c r="A7755" t="inlineStr">
        <is>
          <t>OECD members</t>
        </is>
      </c>
      <c r="B7755" t="inlineStr">
        <is>
          <t>OED</t>
        </is>
      </c>
      <c r="C7755" t="n">
        <v>1986</v>
      </c>
      <c r="D7755" t="n">
        <v>5.29166170071091</v>
      </c>
    </row>
    <row r="7756">
      <c r="A7756" t="inlineStr">
        <is>
          <t>OECD members</t>
        </is>
      </c>
      <c r="B7756" t="inlineStr">
        <is>
          <t>OED</t>
        </is>
      </c>
      <c r="C7756" t="n">
        <v>1987</v>
      </c>
      <c r="D7756" t="n">
        <v>4.74728490389789</v>
      </c>
    </row>
    <row r="7757">
      <c r="A7757" t="inlineStr">
        <is>
          <t>OECD members</t>
        </is>
      </c>
      <c r="B7757" t="inlineStr">
        <is>
          <t>OED</t>
        </is>
      </c>
      <c r="C7757" t="n">
        <v>1988</v>
      </c>
      <c r="D7757" t="n">
        <v>5.82489868439437</v>
      </c>
    </row>
    <row r="7758">
      <c r="A7758" t="inlineStr">
        <is>
          <t>OECD members</t>
        </is>
      </c>
      <c r="B7758" t="inlineStr">
        <is>
          <t>OED</t>
        </is>
      </c>
      <c r="C7758" t="n">
        <v>1989</v>
      </c>
      <c r="D7758" t="n">
        <v>6.25983137956977</v>
      </c>
    </row>
    <row r="7759">
      <c r="A7759" t="inlineStr">
        <is>
          <t>OECD members</t>
        </is>
      </c>
      <c r="B7759" t="inlineStr">
        <is>
          <t>OED</t>
        </is>
      </c>
      <c r="C7759" t="n">
        <v>1990</v>
      </c>
      <c r="D7759" t="n">
        <v>6.72181952228657</v>
      </c>
    </row>
    <row r="7760">
      <c r="A7760" t="inlineStr">
        <is>
          <t>OECD members</t>
        </is>
      </c>
      <c r="B7760" t="inlineStr">
        <is>
          <t>OED</t>
        </is>
      </c>
      <c r="C7760" t="n">
        <v>1991</v>
      </c>
      <c r="D7760" t="n">
        <v>5.93421344335924</v>
      </c>
    </row>
    <row r="7761">
      <c r="A7761" t="inlineStr">
        <is>
          <t>OECD members</t>
        </is>
      </c>
      <c r="B7761" t="inlineStr">
        <is>
          <t>OED</t>
        </is>
      </c>
      <c r="C7761" t="n">
        <v>1992</v>
      </c>
      <c r="D7761" t="n">
        <v>5.05697796731731</v>
      </c>
    </row>
    <row r="7762">
      <c r="A7762" t="inlineStr">
        <is>
          <t>OECD members</t>
        </is>
      </c>
      <c r="B7762" t="inlineStr">
        <is>
          <t>OED</t>
        </is>
      </c>
      <c r="C7762" t="n">
        <v>1993</v>
      </c>
      <c r="D7762" t="n">
        <v>4.59790321006555</v>
      </c>
    </row>
    <row r="7763">
      <c r="A7763" t="inlineStr">
        <is>
          <t>OECD members</t>
        </is>
      </c>
      <c r="B7763" t="inlineStr">
        <is>
          <t>OED</t>
        </is>
      </c>
      <c r="C7763" t="n">
        <v>1994</v>
      </c>
      <c r="D7763" t="n">
        <v>3.50262577413397</v>
      </c>
    </row>
    <row r="7764">
      <c r="A7764" t="inlineStr">
        <is>
          <t>OECD members</t>
        </is>
      </c>
      <c r="B7764" t="inlineStr">
        <is>
          <t>OED</t>
        </is>
      </c>
      <c r="C7764" t="n">
        <v>1995</v>
      </c>
      <c r="D7764" t="n">
        <v>4.35177861328367</v>
      </c>
    </row>
    <row r="7765">
      <c r="A7765" t="inlineStr">
        <is>
          <t>OECD members</t>
        </is>
      </c>
      <c r="B7765" t="inlineStr">
        <is>
          <t>OED</t>
        </is>
      </c>
      <c r="C7765" t="n">
        <v>1996</v>
      </c>
      <c r="D7765" t="n">
        <v>3.00009076251615</v>
      </c>
    </row>
    <row r="7766">
      <c r="A7766" t="inlineStr">
        <is>
          <t>OECD members</t>
        </is>
      </c>
      <c r="B7766" t="inlineStr">
        <is>
          <t>OED</t>
        </is>
      </c>
      <c r="C7766" t="n">
        <v>1997</v>
      </c>
      <c r="D7766" t="n">
        <v>2.26900305912499</v>
      </c>
    </row>
    <row r="7767">
      <c r="A7767" t="inlineStr">
        <is>
          <t>OECD members</t>
        </is>
      </c>
      <c r="B7767" t="inlineStr">
        <is>
          <t>OED</t>
        </is>
      </c>
      <c r="C7767" t="n">
        <v>1998</v>
      </c>
      <c r="D7767" t="n">
        <v>2.10577481135337</v>
      </c>
    </row>
    <row r="7768">
      <c r="A7768" t="inlineStr">
        <is>
          <t>OECD members</t>
        </is>
      </c>
      <c r="B7768" t="inlineStr">
        <is>
          <t>OED</t>
        </is>
      </c>
      <c r="C7768" t="n">
        <v>1999</v>
      </c>
      <c r="D7768" t="n">
        <v>2.17260318876209</v>
      </c>
    </row>
    <row r="7769">
      <c r="A7769" t="inlineStr">
        <is>
          <t>OECD members</t>
        </is>
      </c>
      <c r="B7769" t="inlineStr">
        <is>
          <t>OED</t>
        </is>
      </c>
      <c r="C7769" t="n">
        <v>2000</v>
      </c>
      <c r="D7769" t="n">
        <v>3.06380344899535</v>
      </c>
    </row>
    <row r="7770">
      <c r="A7770" t="inlineStr">
        <is>
          <t>OECD members</t>
        </is>
      </c>
      <c r="B7770" t="inlineStr">
        <is>
          <t>OED</t>
        </is>
      </c>
      <c r="C7770" t="n">
        <v>2001</v>
      </c>
      <c r="D7770" t="n">
        <v>3.18908268106052</v>
      </c>
    </row>
    <row r="7771">
      <c r="A7771" t="inlineStr">
        <is>
          <t>OECD members</t>
        </is>
      </c>
      <c r="B7771" t="inlineStr">
        <is>
          <t>OED</t>
        </is>
      </c>
      <c r="C7771" t="n">
        <v>2002</v>
      </c>
      <c r="D7771" t="n">
        <v>2.47736067910935</v>
      </c>
    </row>
    <row r="7772">
      <c r="A7772" t="inlineStr">
        <is>
          <t>OECD members</t>
        </is>
      </c>
      <c r="B7772" t="inlineStr">
        <is>
          <t>OED</t>
        </is>
      </c>
      <c r="C7772" t="n">
        <v>2003</v>
      </c>
      <c r="D7772" t="n">
        <v>2.18428358241519</v>
      </c>
    </row>
    <row r="7773">
      <c r="A7773" t="inlineStr">
        <is>
          <t>OECD members</t>
        </is>
      </c>
      <c r="B7773" t="inlineStr">
        <is>
          <t>OED</t>
        </is>
      </c>
      <c r="C7773" t="n">
        <v>2004</v>
      </c>
      <c r="D7773" t="n">
        <v>2.2579640963823</v>
      </c>
    </row>
    <row r="7774">
      <c r="A7774" t="inlineStr">
        <is>
          <t>OECD members</t>
        </is>
      </c>
      <c r="B7774" t="inlineStr">
        <is>
          <t>OED</t>
        </is>
      </c>
      <c r="C7774" t="n">
        <v>2005</v>
      </c>
      <c r="D7774" t="n">
        <v>2.47212179047864</v>
      </c>
    </row>
    <row r="7775">
      <c r="A7775" t="inlineStr">
        <is>
          <t>OECD members</t>
        </is>
      </c>
      <c r="B7775" t="inlineStr">
        <is>
          <t>OED</t>
        </is>
      </c>
      <c r="C7775" t="n">
        <v>2006</v>
      </c>
      <c r="D7775" t="n">
        <v>2.60015376460352</v>
      </c>
    </row>
    <row r="7776">
      <c r="A7776" t="inlineStr">
        <is>
          <t>OECD members</t>
        </is>
      </c>
      <c r="B7776" t="inlineStr">
        <is>
          <t>OED</t>
        </is>
      </c>
      <c r="C7776" t="n">
        <v>2007</v>
      </c>
      <c r="D7776" t="n">
        <v>2.48470438812871</v>
      </c>
    </row>
    <row r="7777">
      <c r="A7777" t="inlineStr">
        <is>
          <t>OECD members</t>
        </is>
      </c>
      <c r="B7777" t="inlineStr">
        <is>
          <t>OED</t>
        </is>
      </c>
      <c r="C7777" t="n">
        <v>2008</v>
      </c>
      <c r="D7777" t="n">
        <v>4.11407022033816</v>
      </c>
    </row>
    <row r="7778">
      <c r="A7778" t="inlineStr">
        <is>
          <t>OECD members</t>
        </is>
      </c>
      <c r="B7778" t="inlineStr">
        <is>
          <t>OED</t>
        </is>
      </c>
      <c r="C7778" t="n">
        <v>2009</v>
      </c>
      <c r="D7778" t="n">
        <v>1.10457711175391</v>
      </c>
    </row>
    <row r="7779">
      <c r="A7779" t="inlineStr">
        <is>
          <t>OECD members</t>
        </is>
      </c>
      <c r="B7779" t="inlineStr">
        <is>
          <t>OED</t>
        </is>
      </c>
      <c r="C7779" t="n">
        <v>2010</v>
      </c>
      <c r="D7779" t="n">
        <v>1.80735230566098</v>
      </c>
    </row>
    <row r="7780">
      <c r="A7780" t="inlineStr">
        <is>
          <t>OECD members</t>
        </is>
      </c>
      <c r="B7780" t="inlineStr">
        <is>
          <t>OED</t>
        </is>
      </c>
      <c r="C7780" t="n">
        <v>2011</v>
      </c>
      <c r="D7780" t="n">
        <v>3.37429759432522</v>
      </c>
    </row>
    <row r="7781">
      <c r="A7781" t="inlineStr">
        <is>
          <t>OECD members</t>
        </is>
      </c>
      <c r="B7781" t="inlineStr">
        <is>
          <t>OED</t>
        </is>
      </c>
      <c r="C7781" t="n">
        <v>2012</v>
      </c>
      <c r="D7781" t="n">
        <v>2.52945520915773</v>
      </c>
    </row>
    <row r="7782">
      <c r="A7782" t="inlineStr">
        <is>
          <t>OECD members</t>
        </is>
      </c>
      <c r="B7782" t="inlineStr">
        <is>
          <t>OED</t>
        </is>
      </c>
      <c r="C7782" t="n">
        <v>2013</v>
      </c>
      <c r="D7782" t="n">
        <v>1.45156526398379</v>
      </c>
    </row>
    <row r="7783">
      <c r="A7783" t="inlineStr">
        <is>
          <t>OECD members</t>
        </is>
      </c>
      <c r="B7783" t="inlineStr">
        <is>
          <t>OED</t>
        </is>
      </c>
      <c r="C7783" t="n">
        <v>2014</v>
      </c>
      <c r="D7783" t="n">
        <v>0.624517311086569</v>
      </c>
    </row>
    <row r="7784">
      <c r="A7784" t="inlineStr">
        <is>
          <t>OECD members</t>
        </is>
      </c>
      <c r="B7784" t="inlineStr">
        <is>
          <t>OED</t>
        </is>
      </c>
      <c r="C7784" t="n">
        <v>2015</v>
      </c>
      <c r="D7784" t="n">
        <v>0.338705695410167</v>
      </c>
    </row>
    <row r="7785">
      <c r="A7785" t="inlineStr">
        <is>
          <t>OECD members</t>
        </is>
      </c>
      <c r="B7785" t="inlineStr">
        <is>
          <t>OED</t>
        </is>
      </c>
      <c r="C7785" t="n">
        <v>2016</v>
      </c>
      <c r="D7785" t="n">
        <v>0.443258157565783</v>
      </c>
    </row>
    <row r="7786">
      <c r="A7786" t="inlineStr">
        <is>
          <t>OECD members</t>
        </is>
      </c>
      <c r="B7786" t="inlineStr">
        <is>
          <t>OED</t>
        </is>
      </c>
      <c r="C7786" t="n">
        <v>2017</v>
      </c>
      <c r="D7786" t="n">
        <v>1.82264336059063</v>
      </c>
    </row>
    <row r="7787">
      <c r="A7787" t="inlineStr">
        <is>
          <t>OECD members</t>
        </is>
      </c>
      <c r="B7787" t="inlineStr">
        <is>
          <t>OED</t>
        </is>
      </c>
      <c r="C7787" t="n">
        <v>2018</v>
      </c>
      <c r="D7787" t="n">
        <v>1.93246812286359</v>
      </c>
    </row>
    <row r="7788">
      <c r="A7788" t="inlineStr">
        <is>
          <t>OECD members</t>
        </is>
      </c>
      <c r="B7788" t="inlineStr">
        <is>
          <t>OED</t>
        </is>
      </c>
      <c r="C7788" t="n">
        <v>2019</v>
      </c>
      <c r="D7788" t="n">
        <v>1.74071267870181</v>
      </c>
    </row>
    <row r="7789">
      <c r="A7789" t="inlineStr">
        <is>
          <t>OECD members</t>
        </is>
      </c>
      <c r="B7789" t="inlineStr">
        <is>
          <t>OED</t>
        </is>
      </c>
      <c r="C7789" t="n">
        <v>2020</v>
      </c>
      <c r="D7789" t="n">
        <v>0.73285164517586</v>
      </c>
    </row>
    <row r="7790">
      <c r="A7790" t="inlineStr">
        <is>
          <t>OECD members</t>
        </is>
      </c>
      <c r="B7790" t="inlineStr">
        <is>
          <t>OED</t>
        </is>
      </c>
      <c r="C7790" t="n">
        <v>2021</v>
      </c>
      <c r="D7790" t="n">
        <v>2.81528854435832</v>
      </c>
    </row>
    <row r="7791">
      <c r="A7791" t="inlineStr">
        <is>
          <t>OECD members</t>
        </is>
      </c>
      <c r="B7791" t="inlineStr">
        <is>
          <t>OED</t>
        </is>
      </c>
      <c r="C7791" t="n">
        <v>2022</v>
      </c>
      <c r="D7791" t="n">
        <v>8.238032406971859</v>
      </c>
    </row>
    <row r="7792">
      <c r="A7792" t="inlineStr">
        <is>
          <t>OECD members</t>
        </is>
      </c>
      <c r="B7792" t="inlineStr">
        <is>
          <t>OED</t>
        </is>
      </c>
      <c r="C7792" t="n">
        <v>2023</v>
      </c>
      <c r="D7792" t="n">
        <v>5.67767862615429</v>
      </c>
    </row>
    <row r="7793">
      <c r="A7793" t="inlineStr">
        <is>
          <t>Oman</t>
        </is>
      </c>
      <c r="B7793" t="inlineStr">
        <is>
          <t>OMN</t>
        </is>
      </c>
      <c r="C7793" t="n">
        <v>2001</v>
      </c>
      <c r="D7793" t="n">
        <v>-0.816666666666656</v>
      </c>
    </row>
    <row r="7794">
      <c r="A7794" t="inlineStr">
        <is>
          <t>Oman</t>
        </is>
      </c>
      <c r="B7794" t="inlineStr">
        <is>
          <t>OMN</t>
        </is>
      </c>
      <c r="C7794" t="n">
        <v>2002</v>
      </c>
      <c r="D7794" t="n">
        <v>-0.279578822571373</v>
      </c>
    </row>
    <row r="7795">
      <c r="A7795" t="inlineStr">
        <is>
          <t>Oman</t>
        </is>
      </c>
      <c r="B7795" t="inlineStr">
        <is>
          <t>OMN</t>
        </is>
      </c>
      <c r="C7795" t="n">
        <v>2003</v>
      </c>
      <c r="D7795" t="n">
        <v>0.231328682267143</v>
      </c>
    </row>
    <row r="7796">
      <c r="A7796" t="inlineStr">
        <is>
          <t>Oman</t>
        </is>
      </c>
      <c r="B7796" t="inlineStr">
        <is>
          <t>OMN</t>
        </is>
      </c>
      <c r="C7796" t="n">
        <v>2004</v>
      </c>
      <c r="D7796" t="n">
        <v>0.624969062631367</v>
      </c>
    </row>
    <row r="7797">
      <c r="A7797" t="inlineStr">
        <is>
          <t>Oman</t>
        </is>
      </c>
      <c r="B7797" t="inlineStr">
        <is>
          <t>OMN</t>
        </is>
      </c>
      <c r="C7797" t="n">
        <v>2005</v>
      </c>
      <c r="D7797" t="n">
        <v>1.90983553531865</v>
      </c>
    </row>
    <row r="7798">
      <c r="A7798" t="inlineStr">
        <is>
          <t>Oman</t>
        </is>
      </c>
      <c r="B7798" t="inlineStr">
        <is>
          <t>OMN</t>
        </is>
      </c>
      <c r="C7798" t="n">
        <v>2006</v>
      </c>
      <c r="D7798" t="n">
        <v>3.54498591605033</v>
      </c>
    </row>
    <row r="7799">
      <c r="A7799" t="inlineStr">
        <is>
          <t>Oman</t>
        </is>
      </c>
      <c r="B7799" t="inlineStr">
        <is>
          <t>OMN</t>
        </is>
      </c>
      <c r="C7799" t="n">
        <v>2007</v>
      </c>
      <c r="D7799" t="n">
        <v>5.8304841809271</v>
      </c>
    </row>
    <row r="7800">
      <c r="A7800" t="inlineStr">
        <is>
          <t>Oman</t>
        </is>
      </c>
      <c r="B7800" t="inlineStr">
        <is>
          <t>OMN</t>
        </is>
      </c>
      <c r="C7800" t="n">
        <v>2008</v>
      </c>
      <c r="D7800" t="n">
        <v>12.3754091529912</v>
      </c>
    </row>
    <row r="7801">
      <c r="A7801" t="inlineStr">
        <is>
          <t>Oman</t>
        </is>
      </c>
      <c r="B7801" t="inlineStr">
        <is>
          <t>OMN</t>
        </is>
      </c>
      <c r="C7801" t="n">
        <v>2009</v>
      </c>
      <c r="D7801" t="n">
        <v>3.46881023754893</v>
      </c>
    </row>
    <row r="7802">
      <c r="A7802" t="inlineStr">
        <is>
          <t>Oman</t>
        </is>
      </c>
      <c r="B7802" t="inlineStr">
        <is>
          <t>OMN</t>
        </is>
      </c>
      <c r="C7802" t="n">
        <v>2010</v>
      </c>
      <c r="D7802" t="n">
        <v>3.25657959078624</v>
      </c>
    </row>
    <row r="7803">
      <c r="A7803" t="inlineStr">
        <is>
          <t>Oman</t>
        </is>
      </c>
      <c r="B7803" t="inlineStr">
        <is>
          <t>OMN</t>
        </is>
      </c>
      <c r="C7803" t="n">
        <v>2011</v>
      </c>
      <c r="D7803" t="n">
        <v>4.0421886711639</v>
      </c>
    </row>
    <row r="7804">
      <c r="A7804" t="inlineStr">
        <is>
          <t>Oman</t>
        </is>
      </c>
      <c r="B7804" t="inlineStr">
        <is>
          <t>OMN</t>
        </is>
      </c>
      <c r="C7804" t="n">
        <v>2012</v>
      </c>
      <c r="D7804" t="n">
        <v>2.94773495257209</v>
      </c>
    </row>
    <row r="7805">
      <c r="A7805" t="inlineStr">
        <is>
          <t>Oman</t>
        </is>
      </c>
      <c r="B7805" t="inlineStr">
        <is>
          <t>OMN</t>
        </is>
      </c>
      <c r="C7805" t="n">
        <v>2013</v>
      </c>
      <c r="D7805" t="n">
        <v>1.05354820265932</v>
      </c>
    </row>
    <row r="7806">
      <c r="A7806" t="inlineStr">
        <is>
          <t>Oman</t>
        </is>
      </c>
      <c r="B7806" t="inlineStr">
        <is>
          <t>OMN</t>
        </is>
      </c>
      <c r="C7806" t="n">
        <v>2014</v>
      </c>
      <c r="D7806" t="n">
        <v>1.01401483924156</v>
      </c>
    </row>
    <row r="7807">
      <c r="A7807" t="inlineStr">
        <is>
          <t>Oman</t>
        </is>
      </c>
      <c r="B7807" t="inlineStr">
        <is>
          <t>OMN</t>
        </is>
      </c>
      <c r="C7807" t="n">
        <v>2015</v>
      </c>
      <c r="D7807" t="n">
        <v>0.06529013302865989</v>
      </c>
    </row>
    <row r="7808">
      <c r="A7808" t="inlineStr">
        <is>
          <t>Oman</t>
        </is>
      </c>
      <c r="B7808" t="inlineStr">
        <is>
          <t>OMN</t>
        </is>
      </c>
      <c r="C7808" t="n">
        <v>2016</v>
      </c>
      <c r="D7808" t="n">
        <v>1.10920805807027</v>
      </c>
    </row>
    <row r="7809">
      <c r="A7809" t="inlineStr">
        <is>
          <t>Oman</t>
        </is>
      </c>
      <c r="B7809" t="inlineStr">
        <is>
          <t>OMN</t>
        </is>
      </c>
      <c r="C7809" t="n">
        <v>2017</v>
      </c>
      <c r="D7809" t="n">
        <v>1.58909413567799</v>
      </c>
    </row>
    <row r="7810">
      <c r="A7810" t="inlineStr">
        <is>
          <t>Oman</t>
        </is>
      </c>
      <c r="B7810" t="inlineStr">
        <is>
          <t>OMN</t>
        </is>
      </c>
      <c r="C7810" t="n">
        <v>2018</v>
      </c>
      <c r="D7810" t="n">
        <v>0.8893123709704041</v>
      </c>
    </row>
    <row r="7811">
      <c r="A7811" t="inlineStr">
        <is>
          <t>Oman</t>
        </is>
      </c>
      <c r="B7811" t="inlineStr">
        <is>
          <t>OMN</t>
        </is>
      </c>
      <c r="C7811" t="n">
        <v>2019</v>
      </c>
      <c r="D7811" t="n">
        <v>0.490815362820671</v>
      </c>
    </row>
    <row r="7812">
      <c r="A7812" t="inlineStr">
        <is>
          <t>Oman</t>
        </is>
      </c>
      <c r="B7812" t="inlineStr">
        <is>
          <t>OMN</t>
        </is>
      </c>
      <c r="C7812" t="n">
        <v>2020</v>
      </c>
      <c r="D7812" t="n">
        <v>-0.40640291946585</v>
      </c>
    </row>
    <row r="7813">
      <c r="A7813" t="inlineStr">
        <is>
          <t>Oman</t>
        </is>
      </c>
      <c r="B7813" t="inlineStr">
        <is>
          <t>OMN</t>
        </is>
      </c>
      <c r="C7813" t="n">
        <v>2021</v>
      </c>
      <c r="D7813" t="n">
        <v>1.68221185876085</v>
      </c>
    </row>
    <row r="7814">
      <c r="A7814" t="inlineStr">
        <is>
          <t>Oman</t>
        </is>
      </c>
      <c r="B7814" t="inlineStr">
        <is>
          <t>OMN</t>
        </is>
      </c>
      <c r="C7814" t="n">
        <v>2022</v>
      </c>
      <c r="D7814" t="n">
        <v>2.5061425061425</v>
      </c>
    </row>
    <row r="7815">
      <c r="A7815" t="inlineStr">
        <is>
          <t>Oman</t>
        </is>
      </c>
      <c r="B7815" t="inlineStr">
        <is>
          <t>OMN</t>
        </is>
      </c>
      <c r="C7815" t="n">
        <v>2023</v>
      </c>
      <c r="D7815" t="n">
        <v>0.950782997762827</v>
      </c>
    </row>
    <row r="7816">
      <c r="A7816" t="inlineStr">
        <is>
          <t>Other small states</t>
        </is>
      </c>
      <c r="B7816" t="inlineStr">
        <is>
          <t>OSS</t>
        </is>
      </c>
      <c r="C7816" t="n">
        <v>1981</v>
      </c>
      <c r="D7816" t="n">
        <v>11.0446452083976</v>
      </c>
    </row>
    <row r="7817">
      <c r="A7817" t="inlineStr">
        <is>
          <t>Other small states</t>
        </is>
      </c>
      <c r="B7817" t="inlineStr">
        <is>
          <t>OSS</t>
        </is>
      </c>
      <c r="C7817" t="n">
        <v>1982</v>
      </c>
      <c r="D7817" t="n">
        <v>7.65925517582574</v>
      </c>
    </row>
    <row r="7818">
      <c r="A7818" t="inlineStr">
        <is>
          <t>Other small states</t>
        </is>
      </c>
      <c r="B7818" t="inlineStr">
        <is>
          <t>OSS</t>
        </is>
      </c>
      <c r="C7818" t="n">
        <v>1983</v>
      </c>
      <c r="D7818" t="n">
        <v>5.31960612972411</v>
      </c>
    </row>
    <row r="7819">
      <c r="A7819" t="inlineStr">
        <is>
          <t>Other small states</t>
        </is>
      </c>
      <c r="B7819" t="inlineStr">
        <is>
          <t>OSS</t>
        </is>
      </c>
      <c r="C7819" t="n">
        <v>1984</v>
      </c>
      <c r="D7819" t="n">
        <v>5.99195111048444</v>
      </c>
    </row>
    <row r="7820">
      <c r="A7820" t="inlineStr">
        <is>
          <t>Other small states</t>
        </is>
      </c>
      <c r="B7820" t="inlineStr">
        <is>
          <t>OSS</t>
        </is>
      </c>
      <c r="C7820" t="n">
        <v>1985</v>
      </c>
      <c r="D7820" t="n">
        <v>2.35321528424928</v>
      </c>
    </row>
    <row r="7821">
      <c r="A7821" t="inlineStr">
        <is>
          <t>Other small states</t>
        </is>
      </c>
      <c r="B7821" t="inlineStr">
        <is>
          <t>OSS</t>
        </is>
      </c>
      <c r="C7821" t="n">
        <v>1986</v>
      </c>
      <c r="D7821" t="n">
        <v>5.87504099546662</v>
      </c>
    </row>
    <row r="7822">
      <c r="A7822" t="inlineStr">
        <is>
          <t>Other small states</t>
        </is>
      </c>
      <c r="B7822" t="inlineStr">
        <is>
          <t>OSS</t>
        </is>
      </c>
      <c r="C7822" t="n">
        <v>1987</v>
      </c>
      <c r="D7822" t="n">
        <v>3.31891025641053</v>
      </c>
    </row>
    <row r="7823">
      <c r="A7823" t="inlineStr">
        <is>
          <t>Other small states</t>
        </is>
      </c>
      <c r="B7823" t="inlineStr">
        <is>
          <t>OSS</t>
        </is>
      </c>
      <c r="C7823" t="n">
        <v>1988</v>
      </c>
      <c r="D7823" t="n">
        <v>4.07407407407384</v>
      </c>
    </row>
    <row r="7824">
      <c r="A7824" t="inlineStr">
        <is>
          <t>Other small states</t>
        </is>
      </c>
      <c r="B7824" t="inlineStr">
        <is>
          <t>OSS</t>
        </is>
      </c>
      <c r="C7824" t="n">
        <v>1989</v>
      </c>
      <c r="D7824" t="n">
        <v>4.55516014234884</v>
      </c>
    </row>
    <row r="7825">
      <c r="A7825" t="inlineStr">
        <is>
          <t>Other small states</t>
        </is>
      </c>
      <c r="B7825" t="inlineStr">
        <is>
          <t>OSS</t>
        </is>
      </c>
      <c r="C7825" t="n">
        <v>1990</v>
      </c>
      <c r="D7825" t="n">
        <v>4.50205462895843</v>
      </c>
    </row>
    <row r="7826">
      <c r="A7826" t="inlineStr">
        <is>
          <t>Other small states</t>
        </is>
      </c>
      <c r="B7826" t="inlineStr">
        <is>
          <t>OSS</t>
        </is>
      </c>
      <c r="C7826" t="n">
        <v>1991</v>
      </c>
      <c r="D7826" t="n">
        <v>6.80877887943634</v>
      </c>
    </row>
    <row r="7827">
      <c r="A7827" t="inlineStr">
        <is>
          <t>Other small states</t>
        </is>
      </c>
      <c r="B7827" t="inlineStr">
        <is>
          <t>OSS</t>
        </is>
      </c>
      <c r="C7827" t="n">
        <v>1992</v>
      </c>
      <c r="D7827" t="n">
        <v>3.94771176824031</v>
      </c>
    </row>
    <row r="7828">
      <c r="A7828" t="inlineStr">
        <is>
          <t>Other small states</t>
        </is>
      </c>
      <c r="B7828" t="inlineStr">
        <is>
          <t>OSS</t>
        </is>
      </c>
      <c r="C7828" t="n">
        <v>1993</v>
      </c>
      <c r="D7828" t="n">
        <v>5.32128128555195</v>
      </c>
    </row>
    <row r="7829">
      <c r="A7829" t="inlineStr">
        <is>
          <t>Other small states</t>
        </is>
      </c>
      <c r="B7829" t="inlineStr">
        <is>
          <t>OSS</t>
        </is>
      </c>
      <c r="C7829" t="n">
        <v>1994</v>
      </c>
      <c r="D7829" t="n">
        <v>3.79099007324483</v>
      </c>
    </row>
    <row r="7830">
      <c r="A7830" t="inlineStr">
        <is>
          <t>Other small states</t>
        </is>
      </c>
      <c r="B7830" t="inlineStr">
        <is>
          <t>OSS</t>
        </is>
      </c>
      <c r="C7830" t="n">
        <v>1995</v>
      </c>
      <c r="D7830" t="n">
        <v>5.72775136335559</v>
      </c>
    </row>
    <row r="7831">
      <c r="A7831" t="inlineStr">
        <is>
          <t>Other small states</t>
        </is>
      </c>
      <c r="B7831" t="inlineStr">
        <is>
          <t>OSS</t>
        </is>
      </c>
      <c r="C7831" t="n">
        <v>1996</v>
      </c>
      <c r="D7831" t="n">
        <v>4.4712722412942</v>
      </c>
    </row>
    <row r="7832">
      <c r="A7832" t="inlineStr">
        <is>
          <t>Other small states</t>
        </is>
      </c>
      <c r="B7832" t="inlineStr">
        <is>
          <t>OSS</t>
        </is>
      </c>
      <c r="C7832" t="n">
        <v>1997</v>
      </c>
      <c r="D7832" t="n">
        <v>6.50548718269086</v>
      </c>
    </row>
    <row r="7833">
      <c r="A7833" t="inlineStr">
        <is>
          <t>Other small states</t>
        </is>
      </c>
      <c r="B7833" t="inlineStr">
        <is>
          <t>OSS</t>
        </is>
      </c>
      <c r="C7833" t="n">
        <v>1998</v>
      </c>
      <c r="D7833" t="n">
        <v>2.57985257985242</v>
      </c>
    </row>
    <row r="7834">
      <c r="A7834" t="inlineStr">
        <is>
          <t>Other small states</t>
        </is>
      </c>
      <c r="B7834" t="inlineStr">
        <is>
          <t>OSS</t>
        </is>
      </c>
      <c r="C7834" t="n">
        <v>1999</v>
      </c>
      <c r="D7834" t="n">
        <v>3.29611089718909</v>
      </c>
    </row>
    <row r="7835">
      <c r="A7835" t="inlineStr">
        <is>
          <t>Other small states</t>
        </is>
      </c>
      <c r="B7835" t="inlineStr">
        <is>
          <t>OSS</t>
        </is>
      </c>
      <c r="C7835" t="n">
        <v>2000</v>
      </c>
      <c r="D7835" t="n">
        <v>4.01848952508763</v>
      </c>
    </row>
    <row r="7836">
      <c r="A7836" t="inlineStr">
        <is>
          <t>Other small states</t>
        </is>
      </c>
      <c r="B7836" t="inlineStr">
        <is>
          <t>OSS</t>
        </is>
      </c>
      <c r="C7836" t="n">
        <v>2001</v>
      </c>
      <c r="D7836" t="n">
        <v>3.41478946111594</v>
      </c>
    </row>
    <row r="7837">
      <c r="A7837" t="inlineStr">
        <is>
          <t>Other small states</t>
        </is>
      </c>
      <c r="B7837" t="inlineStr">
        <is>
          <t>OSS</t>
        </is>
      </c>
      <c r="C7837" t="n">
        <v>2002</v>
      </c>
      <c r="D7837" t="n">
        <v>2.80115505180747</v>
      </c>
    </row>
    <row r="7838">
      <c r="A7838" t="inlineStr">
        <is>
          <t>Other small states</t>
        </is>
      </c>
      <c r="B7838" t="inlineStr">
        <is>
          <t>OSS</t>
        </is>
      </c>
      <c r="C7838" t="n">
        <v>2003</v>
      </c>
      <c r="D7838" t="n">
        <v>2.31398595723541</v>
      </c>
    </row>
    <row r="7839">
      <c r="A7839" t="inlineStr">
        <is>
          <t>Other small states</t>
        </is>
      </c>
      <c r="B7839" t="inlineStr">
        <is>
          <t>OSS</t>
        </is>
      </c>
      <c r="C7839" t="n">
        <v>2004</v>
      </c>
      <c r="D7839" t="n">
        <v>3.12226204699354</v>
      </c>
    </row>
    <row r="7840">
      <c r="A7840" t="inlineStr">
        <is>
          <t>Other small states</t>
        </is>
      </c>
      <c r="B7840" t="inlineStr">
        <is>
          <t>OSS</t>
        </is>
      </c>
      <c r="C7840" t="n">
        <v>2005</v>
      </c>
      <c r="D7840" t="n">
        <v>3.00796652450313</v>
      </c>
    </row>
    <row r="7841">
      <c r="A7841" t="inlineStr">
        <is>
          <t>Other small states</t>
        </is>
      </c>
      <c r="B7841" t="inlineStr">
        <is>
          <t>OSS</t>
        </is>
      </c>
      <c r="C7841" t="n">
        <v>2006</v>
      </c>
      <c r="D7841" t="n">
        <v>3.42888529899537</v>
      </c>
    </row>
    <row r="7842">
      <c r="A7842" t="inlineStr">
        <is>
          <t>Other small states</t>
        </is>
      </c>
      <c r="B7842" t="inlineStr">
        <is>
          <t>OSS</t>
        </is>
      </c>
      <c r="C7842" t="n">
        <v>2007</v>
      </c>
      <c r="D7842" t="n">
        <v>5.00876695522724</v>
      </c>
    </row>
    <row r="7843">
      <c r="A7843" t="inlineStr">
        <is>
          <t>Other small states</t>
        </is>
      </c>
      <c r="B7843" t="inlineStr">
        <is>
          <t>OSS</t>
        </is>
      </c>
      <c r="C7843" t="n">
        <v>2008</v>
      </c>
      <c r="D7843" t="n">
        <v>8.9114819576887</v>
      </c>
    </row>
    <row r="7844">
      <c r="A7844" t="inlineStr">
        <is>
          <t>Other small states</t>
        </is>
      </c>
      <c r="B7844" t="inlineStr">
        <is>
          <t>OSS</t>
        </is>
      </c>
      <c r="C7844" t="n">
        <v>2009</v>
      </c>
      <c r="D7844" t="n">
        <v>2.65580205847765</v>
      </c>
    </row>
    <row r="7845">
      <c r="A7845" t="inlineStr">
        <is>
          <t>Other small states</t>
        </is>
      </c>
      <c r="B7845" t="inlineStr">
        <is>
          <t>OSS</t>
        </is>
      </c>
      <c r="C7845" t="n">
        <v>2010</v>
      </c>
      <c r="D7845" t="n">
        <v>2.95220406692774</v>
      </c>
    </row>
    <row r="7846">
      <c r="A7846" t="inlineStr">
        <is>
          <t>Other small states</t>
        </is>
      </c>
      <c r="B7846" t="inlineStr">
        <is>
          <t>OSS</t>
        </is>
      </c>
      <c r="C7846" t="n">
        <v>2011</v>
      </c>
      <c r="D7846" t="n">
        <v>4.23745503254072</v>
      </c>
    </row>
    <row r="7847">
      <c r="A7847" t="inlineStr">
        <is>
          <t>Other small states</t>
        </is>
      </c>
      <c r="B7847" t="inlineStr">
        <is>
          <t>OSS</t>
        </is>
      </c>
      <c r="C7847" t="n">
        <v>2012</v>
      </c>
      <c r="D7847" t="n">
        <v>4.03932356139052</v>
      </c>
    </row>
    <row r="7848">
      <c r="A7848" t="inlineStr">
        <is>
          <t>Other small states</t>
        </is>
      </c>
      <c r="B7848" t="inlineStr">
        <is>
          <t>OSS</t>
        </is>
      </c>
      <c r="C7848" t="n">
        <v>2013</v>
      </c>
      <c r="D7848" t="n">
        <v>3.04028907921715</v>
      </c>
    </row>
    <row r="7849">
      <c r="A7849" t="inlineStr">
        <is>
          <t>Other small states</t>
        </is>
      </c>
      <c r="B7849" t="inlineStr">
        <is>
          <t>OSS</t>
        </is>
      </c>
      <c r="C7849" t="n">
        <v>2014</v>
      </c>
      <c r="D7849" t="n">
        <v>1.34186494340157</v>
      </c>
    </row>
    <row r="7850">
      <c r="A7850" t="inlineStr">
        <is>
          <t>Other small states</t>
        </is>
      </c>
      <c r="B7850" t="inlineStr">
        <is>
          <t>OSS</t>
        </is>
      </c>
      <c r="C7850" t="n">
        <v>2015</v>
      </c>
      <c r="D7850" t="n">
        <v>1.10054826378929</v>
      </c>
    </row>
    <row r="7851">
      <c r="A7851" t="inlineStr">
        <is>
          <t>Other small states</t>
        </is>
      </c>
      <c r="B7851" t="inlineStr">
        <is>
          <t>OSS</t>
        </is>
      </c>
      <c r="C7851" t="n">
        <v>2016</v>
      </c>
      <c r="D7851" t="n">
        <v>0.642702771527304</v>
      </c>
    </row>
    <row r="7852">
      <c r="A7852" t="inlineStr">
        <is>
          <t>Other small states</t>
        </is>
      </c>
      <c r="B7852" t="inlineStr">
        <is>
          <t>OSS</t>
        </is>
      </c>
      <c r="C7852" t="n">
        <v>2017</v>
      </c>
      <c r="D7852" t="n">
        <v>1.76041559180596</v>
      </c>
    </row>
    <row r="7853">
      <c r="A7853" t="inlineStr">
        <is>
          <t>Other small states</t>
        </is>
      </c>
      <c r="B7853" t="inlineStr">
        <is>
          <t>OSS</t>
        </is>
      </c>
      <c r="C7853" t="n">
        <v>2018</v>
      </c>
      <c r="D7853" t="n">
        <v>2.611223782638</v>
      </c>
    </row>
    <row r="7854">
      <c r="A7854" t="inlineStr">
        <is>
          <t>Other small states</t>
        </is>
      </c>
      <c r="B7854" t="inlineStr">
        <is>
          <t>OSS</t>
        </is>
      </c>
      <c r="C7854" t="n">
        <v>2019</v>
      </c>
      <c r="D7854" t="n">
        <v>1.10666674296063</v>
      </c>
    </row>
    <row r="7855">
      <c r="A7855" t="inlineStr">
        <is>
          <t>Other small states</t>
        </is>
      </c>
      <c r="B7855" t="inlineStr">
        <is>
          <t>OSS</t>
        </is>
      </c>
      <c r="C7855" t="n">
        <v>2020</v>
      </c>
      <c r="D7855" t="n">
        <v>0.622170382586049</v>
      </c>
    </row>
    <row r="7856">
      <c r="A7856" t="inlineStr">
        <is>
          <t>Other small states</t>
        </is>
      </c>
      <c r="B7856" t="inlineStr">
        <is>
          <t>OSS</t>
        </is>
      </c>
      <c r="C7856" t="n">
        <v>2021</v>
      </c>
      <c r="D7856" t="n">
        <v>2.4284453278932</v>
      </c>
    </row>
    <row r="7857">
      <c r="A7857" t="inlineStr">
        <is>
          <t>Other small states</t>
        </is>
      </c>
      <c r="B7857" t="inlineStr">
        <is>
          <t>OSS</t>
        </is>
      </c>
      <c r="C7857" t="n">
        <v>2022</v>
      </c>
      <c r="D7857" t="n">
        <v>6.57953283666412</v>
      </c>
    </row>
    <row r="7858">
      <c r="A7858" t="inlineStr">
        <is>
          <t>Other small states</t>
        </is>
      </c>
      <c r="B7858" t="inlineStr">
        <is>
          <t>OSS</t>
        </is>
      </c>
      <c r="C7858" t="n">
        <v>2023</v>
      </c>
      <c r="D7858" t="n">
        <v>4.66165589454067</v>
      </c>
    </row>
    <row r="7859">
      <c r="A7859" t="inlineStr">
        <is>
          <t>Pakistan</t>
        </is>
      </c>
      <c r="B7859" t="inlineStr">
        <is>
          <t>PAK</t>
        </is>
      </c>
      <c r="C7859" t="n">
        <v>1960</v>
      </c>
      <c r="D7859" t="n">
        <v>6.94736842105289</v>
      </c>
    </row>
    <row r="7860">
      <c r="A7860" t="inlineStr">
        <is>
          <t>Pakistan</t>
        </is>
      </c>
      <c r="B7860" t="inlineStr">
        <is>
          <t>PAK</t>
        </is>
      </c>
      <c r="C7860" t="n">
        <v>1961</v>
      </c>
      <c r="D7860" t="n">
        <v>1.64041994750609</v>
      </c>
    </row>
    <row r="7861">
      <c r="A7861" t="inlineStr">
        <is>
          <t>Pakistan</t>
        </is>
      </c>
      <c r="B7861" t="inlineStr">
        <is>
          <t>PAK</t>
        </is>
      </c>
      <c r="C7861" t="n">
        <v>1962</v>
      </c>
      <c r="D7861" t="n">
        <v>-0.5164622336985</v>
      </c>
    </row>
    <row r="7862">
      <c r="A7862" t="inlineStr">
        <is>
          <t>Pakistan</t>
        </is>
      </c>
      <c r="B7862" t="inlineStr">
        <is>
          <t>PAK</t>
        </is>
      </c>
      <c r="C7862" t="n">
        <v>1963</v>
      </c>
      <c r="D7862" t="n">
        <v>1.45648844797496</v>
      </c>
    </row>
    <row r="7863">
      <c r="A7863" t="inlineStr">
        <is>
          <t>Pakistan</t>
        </is>
      </c>
      <c r="B7863" t="inlineStr">
        <is>
          <t>PAK</t>
        </is>
      </c>
      <c r="C7863" t="n">
        <v>1964</v>
      </c>
      <c r="D7863" t="n">
        <v>4.17958688145319</v>
      </c>
    </row>
    <row r="7864">
      <c r="A7864" t="inlineStr">
        <is>
          <t>Pakistan</t>
        </is>
      </c>
      <c r="B7864" t="inlineStr">
        <is>
          <t>PAK</t>
        </is>
      </c>
      <c r="C7864" t="n">
        <v>1965</v>
      </c>
      <c r="D7864" t="n">
        <v>5.56863547936375</v>
      </c>
    </row>
    <row r="7865">
      <c r="A7865" t="inlineStr">
        <is>
          <t>Pakistan</t>
        </is>
      </c>
      <c r="B7865" t="inlineStr">
        <is>
          <t>PAK</t>
        </is>
      </c>
      <c r="C7865" t="n">
        <v>1966</v>
      </c>
      <c r="D7865" t="n">
        <v>7.22762159787735</v>
      </c>
    </row>
    <row r="7866">
      <c r="A7866" t="inlineStr">
        <is>
          <t>Pakistan</t>
        </is>
      </c>
      <c r="B7866" t="inlineStr">
        <is>
          <t>PAK</t>
        </is>
      </c>
      <c r="C7866" t="n">
        <v>1967</v>
      </c>
      <c r="D7866" t="n">
        <v>6.81139963428688</v>
      </c>
    </row>
    <row r="7867">
      <c r="A7867" t="inlineStr">
        <is>
          <t>Pakistan</t>
        </is>
      </c>
      <c r="B7867" t="inlineStr">
        <is>
          <t>PAK</t>
        </is>
      </c>
      <c r="C7867" t="n">
        <v>1968</v>
      </c>
      <c r="D7867" t="n">
        <v>0.170627348438101</v>
      </c>
    </row>
    <row r="7868">
      <c r="A7868" t="inlineStr">
        <is>
          <t>Pakistan</t>
        </is>
      </c>
      <c r="B7868" t="inlineStr">
        <is>
          <t>PAK</t>
        </is>
      </c>
      <c r="C7868" t="n">
        <v>1969</v>
      </c>
      <c r="D7868" t="n">
        <v>3.18698679573686</v>
      </c>
    </row>
    <row r="7869">
      <c r="A7869" t="inlineStr">
        <is>
          <t>Pakistan</t>
        </is>
      </c>
      <c r="B7869" t="inlineStr">
        <is>
          <t>PAK</t>
        </is>
      </c>
      <c r="C7869" t="n">
        <v>1970</v>
      </c>
      <c r="D7869" t="n">
        <v>5.34984090983017</v>
      </c>
    </row>
    <row r="7870">
      <c r="A7870" t="inlineStr">
        <is>
          <t>Pakistan</t>
        </is>
      </c>
      <c r="B7870" t="inlineStr">
        <is>
          <t>PAK</t>
        </is>
      </c>
      <c r="C7870" t="n">
        <v>1971</v>
      </c>
      <c r="D7870" t="n">
        <v>4.73069148232272</v>
      </c>
    </row>
    <row r="7871">
      <c r="A7871" t="inlineStr">
        <is>
          <t>Pakistan</t>
        </is>
      </c>
      <c r="B7871" t="inlineStr">
        <is>
          <t>PAK</t>
        </is>
      </c>
      <c r="C7871" t="n">
        <v>1972</v>
      </c>
      <c r="D7871" t="n">
        <v>5.18323764549138</v>
      </c>
    </row>
    <row r="7872">
      <c r="A7872" t="inlineStr">
        <is>
          <t>Pakistan</t>
        </is>
      </c>
      <c r="B7872" t="inlineStr">
        <is>
          <t>PAK</t>
        </is>
      </c>
      <c r="C7872" t="n">
        <v>1973</v>
      </c>
      <c r="D7872" t="n">
        <v>23.0700840250844</v>
      </c>
    </row>
    <row r="7873">
      <c r="A7873" t="inlineStr">
        <is>
          <t>Pakistan</t>
        </is>
      </c>
      <c r="B7873" t="inlineStr">
        <is>
          <t>PAK</t>
        </is>
      </c>
      <c r="C7873" t="n">
        <v>1974</v>
      </c>
      <c r="D7873" t="n">
        <v>26.6630348537488</v>
      </c>
    </row>
    <row r="7874">
      <c r="A7874" t="inlineStr">
        <is>
          <t>Pakistan</t>
        </is>
      </c>
      <c r="B7874" t="inlineStr">
        <is>
          <t>PAK</t>
        </is>
      </c>
      <c r="C7874" t="n">
        <v>1975</v>
      </c>
      <c r="D7874" t="n">
        <v>20.9045094573998</v>
      </c>
    </row>
    <row r="7875">
      <c r="A7875" t="inlineStr">
        <is>
          <t>Pakistan</t>
        </is>
      </c>
      <c r="B7875" t="inlineStr">
        <is>
          <t>PAK</t>
        </is>
      </c>
      <c r="C7875" t="n">
        <v>1976</v>
      </c>
      <c r="D7875" t="n">
        <v>7.15832373118465</v>
      </c>
    </row>
    <row r="7876">
      <c r="A7876" t="inlineStr">
        <is>
          <t>Pakistan</t>
        </is>
      </c>
      <c r="B7876" t="inlineStr">
        <is>
          <t>PAK</t>
        </is>
      </c>
      <c r="C7876" t="n">
        <v>1977</v>
      </c>
      <c r="D7876" t="n">
        <v>10.1329676874055</v>
      </c>
    </row>
    <row r="7877">
      <c r="A7877" t="inlineStr">
        <is>
          <t>Pakistan</t>
        </is>
      </c>
      <c r="B7877" t="inlineStr">
        <is>
          <t>PAK</t>
        </is>
      </c>
      <c r="C7877" t="n">
        <v>1978</v>
      </c>
      <c r="D7877" t="n">
        <v>6.13869266742743</v>
      </c>
    </row>
    <row r="7878">
      <c r="A7878" t="inlineStr">
        <is>
          <t>Pakistan</t>
        </is>
      </c>
      <c r="B7878" t="inlineStr">
        <is>
          <t>PAK</t>
        </is>
      </c>
      <c r="C7878" t="n">
        <v>1979</v>
      </c>
      <c r="D7878" t="n">
        <v>8.26704697617572</v>
      </c>
    </row>
    <row r="7879">
      <c r="A7879" t="inlineStr">
        <is>
          <t>Pakistan</t>
        </is>
      </c>
      <c r="B7879" t="inlineStr">
        <is>
          <t>PAK</t>
        </is>
      </c>
      <c r="C7879" t="n">
        <v>1980</v>
      </c>
      <c r="D7879" t="n">
        <v>11.9382309107087</v>
      </c>
    </row>
    <row r="7880">
      <c r="A7880" t="inlineStr">
        <is>
          <t>Pakistan</t>
        </is>
      </c>
      <c r="B7880" t="inlineStr">
        <is>
          <t>PAK</t>
        </is>
      </c>
      <c r="C7880" t="n">
        <v>1981</v>
      </c>
      <c r="D7880" t="n">
        <v>11.8799135925283</v>
      </c>
    </row>
    <row r="7881">
      <c r="A7881" t="inlineStr">
        <is>
          <t>Pakistan</t>
        </is>
      </c>
      <c r="B7881" t="inlineStr">
        <is>
          <t>PAK</t>
        </is>
      </c>
      <c r="C7881" t="n">
        <v>1982</v>
      </c>
      <c r="D7881" t="n">
        <v>5.90352878435863</v>
      </c>
    </row>
    <row r="7882">
      <c r="A7882" t="inlineStr">
        <is>
          <t>Pakistan</t>
        </is>
      </c>
      <c r="B7882" t="inlineStr">
        <is>
          <t>PAK</t>
        </is>
      </c>
      <c r="C7882" t="n">
        <v>1983</v>
      </c>
      <c r="D7882" t="n">
        <v>6.362033499853</v>
      </c>
    </row>
    <row r="7883">
      <c r="A7883" t="inlineStr">
        <is>
          <t>Pakistan</t>
        </is>
      </c>
      <c r="B7883" t="inlineStr">
        <is>
          <t>PAK</t>
        </is>
      </c>
      <c r="C7883" t="n">
        <v>1984</v>
      </c>
      <c r="D7883" t="n">
        <v>6.08716673573716</v>
      </c>
    </row>
    <row r="7884">
      <c r="A7884" t="inlineStr">
        <is>
          <t>Pakistan</t>
        </is>
      </c>
      <c r="B7884" t="inlineStr">
        <is>
          <t>PAK</t>
        </is>
      </c>
      <c r="C7884" t="n">
        <v>1985</v>
      </c>
      <c r="D7884" t="n">
        <v>5.61483921793224</v>
      </c>
    </row>
    <row r="7885">
      <c r="A7885" t="inlineStr">
        <is>
          <t>Pakistan</t>
        </is>
      </c>
      <c r="B7885" t="inlineStr">
        <is>
          <t>PAK</t>
        </is>
      </c>
      <c r="C7885" t="n">
        <v>1986</v>
      </c>
      <c r="D7885" t="n">
        <v>3.50641424758205</v>
      </c>
    </row>
    <row r="7886">
      <c r="A7886" t="inlineStr">
        <is>
          <t>Pakistan</t>
        </is>
      </c>
      <c r="B7886" t="inlineStr">
        <is>
          <t>PAK</t>
        </is>
      </c>
      <c r="C7886" t="n">
        <v>1987</v>
      </c>
      <c r="D7886" t="n">
        <v>4.68121854620213</v>
      </c>
    </row>
    <row r="7887">
      <c r="A7887" t="inlineStr">
        <is>
          <t>Pakistan</t>
        </is>
      </c>
      <c r="B7887" t="inlineStr">
        <is>
          <t>PAK</t>
        </is>
      </c>
      <c r="C7887" t="n">
        <v>1988</v>
      </c>
      <c r="D7887" t="n">
        <v>8.83793701817773</v>
      </c>
    </row>
    <row r="7888">
      <c r="A7888" t="inlineStr">
        <is>
          <t>Pakistan</t>
        </is>
      </c>
      <c r="B7888" t="inlineStr">
        <is>
          <t>PAK</t>
        </is>
      </c>
      <c r="C7888" t="n">
        <v>1989</v>
      </c>
      <c r="D7888" t="n">
        <v>7.84426473740044</v>
      </c>
    </row>
    <row r="7889">
      <c r="A7889" t="inlineStr">
        <is>
          <t>Pakistan</t>
        </is>
      </c>
      <c r="B7889" t="inlineStr">
        <is>
          <t>PAK</t>
        </is>
      </c>
      <c r="C7889" t="n">
        <v>1990</v>
      </c>
      <c r="D7889" t="n">
        <v>9.052131552797761</v>
      </c>
    </row>
    <row r="7890">
      <c r="A7890" t="inlineStr">
        <is>
          <t>Pakistan</t>
        </is>
      </c>
      <c r="B7890" t="inlineStr">
        <is>
          <t>PAK</t>
        </is>
      </c>
      <c r="C7890" t="n">
        <v>1991</v>
      </c>
      <c r="D7890" t="n">
        <v>11.7912703351416</v>
      </c>
    </row>
    <row r="7891">
      <c r="A7891" t="inlineStr">
        <is>
          <t>Pakistan</t>
        </is>
      </c>
      <c r="B7891" t="inlineStr">
        <is>
          <t>PAK</t>
        </is>
      </c>
      <c r="C7891" t="n">
        <v>1992</v>
      </c>
      <c r="D7891" t="n">
        <v>9.5090414619015</v>
      </c>
    </row>
    <row r="7892">
      <c r="A7892" t="inlineStr">
        <is>
          <t>Pakistan</t>
        </is>
      </c>
      <c r="B7892" t="inlineStr">
        <is>
          <t>PAK</t>
        </is>
      </c>
      <c r="C7892" t="n">
        <v>1993</v>
      </c>
      <c r="D7892" t="n">
        <v>9.97366476029209</v>
      </c>
    </row>
    <row r="7893">
      <c r="A7893" t="inlineStr">
        <is>
          <t>Pakistan</t>
        </is>
      </c>
      <c r="B7893" t="inlineStr">
        <is>
          <t>PAK</t>
        </is>
      </c>
      <c r="C7893" t="n">
        <v>1994</v>
      </c>
      <c r="D7893" t="n">
        <v>12.3681943936948</v>
      </c>
    </row>
    <row r="7894">
      <c r="A7894" t="inlineStr">
        <is>
          <t>Pakistan</t>
        </is>
      </c>
      <c r="B7894" t="inlineStr">
        <is>
          <t>PAK</t>
        </is>
      </c>
      <c r="C7894" t="n">
        <v>1995</v>
      </c>
      <c r="D7894" t="n">
        <v>12.3435785170513</v>
      </c>
    </row>
    <row r="7895">
      <c r="A7895" t="inlineStr">
        <is>
          <t>Pakistan</t>
        </is>
      </c>
      <c r="B7895" t="inlineStr">
        <is>
          <t>PAK</t>
        </is>
      </c>
      <c r="C7895" t="n">
        <v>1996</v>
      </c>
      <c r="D7895" t="n">
        <v>10.3738085885002</v>
      </c>
    </row>
    <row r="7896">
      <c r="A7896" t="inlineStr">
        <is>
          <t>Pakistan</t>
        </is>
      </c>
      <c r="B7896" t="inlineStr">
        <is>
          <t>PAK</t>
        </is>
      </c>
      <c r="C7896" t="n">
        <v>1997</v>
      </c>
      <c r="D7896" t="n">
        <v>11.3754928865122</v>
      </c>
    </row>
    <row r="7897">
      <c r="A7897" t="inlineStr">
        <is>
          <t>Pakistan</t>
        </is>
      </c>
      <c r="B7897" t="inlineStr">
        <is>
          <t>PAK</t>
        </is>
      </c>
      <c r="C7897" t="n">
        <v>1998</v>
      </c>
      <c r="D7897" t="n">
        <v>6.22800415424543</v>
      </c>
    </row>
    <row r="7898">
      <c r="A7898" t="inlineStr">
        <is>
          <t>Pakistan</t>
        </is>
      </c>
      <c r="B7898" t="inlineStr">
        <is>
          <t>PAK</t>
        </is>
      </c>
      <c r="C7898" t="n">
        <v>1999</v>
      </c>
      <c r="D7898" t="n">
        <v>4.14263718082171</v>
      </c>
    </row>
    <row r="7899">
      <c r="A7899" t="inlineStr">
        <is>
          <t>Pakistan</t>
        </is>
      </c>
      <c r="B7899" t="inlineStr">
        <is>
          <t>PAK</t>
        </is>
      </c>
      <c r="C7899" t="n">
        <v>2000</v>
      </c>
      <c r="D7899" t="n">
        <v>4.36666451291681</v>
      </c>
    </row>
    <row r="7900">
      <c r="A7900" t="inlineStr">
        <is>
          <t>Pakistan</t>
        </is>
      </c>
      <c r="B7900" t="inlineStr">
        <is>
          <t>PAK</t>
        </is>
      </c>
      <c r="C7900" t="n">
        <v>2001</v>
      </c>
      <c r="D7900" t="n">
        <v>3.14826144590618</v>
      </c>
    </row>
    <row r="7901">
      <c r="A7901" t="inlineStr">
        <is>
          <t>Pakistan</t>
        </is>
      </c>
      <c r="B7901" t="inlineStr">
        <is>
          <t>PAK</t>
        </is>
      </c>
      <c r="C7901" t="n">
        <v>2002</v>
      </c>
      <c r="D7901" t="n">
        <v>3.29034472613153</v>
      </c>
    </row>
    <row r="7902">
      <c r="A7902" t="inlineStr">
        <is>
          <t>Pakistan</t>
        </is>
      </c>
      <c r="B7902" t="inlineStr">
        <is>
          <t>PAK</t>
        </is>
      </c>
      <c r="C7902" t="n">
        <v>2003</v>
      </c>
      <c r="D7902" t="n">
        <v>2.91413470059479</v>
      </c>
    </row>
    <row r="7903">
      <c r="A7903" t="inlineStr">
        <is>
          <t>Pakistan</t>
        </is>
      </c>
      <c r="B7903" t="inlineStr">
        <is>
          <t>PAK</t>
        </is>
      </c>
      <c r="C7903" t="n">
        <v>2004</v>
      </c>
      <c r="D7903" t="n">
        <v>7.44462469342739</v>
      </c>
    </row>
    <row r="7904">
      <c r="A7904" t="inlineStr">
        <is>
          <t>Pakistan</t>
        </is>
      </c>
      <c r="B7904" t="inlineStr">
        <is>
          <t>PAK</t>
        </is>
      </c>
      <c r="C7904" t="n">
        <v>2005</v>
      </c>
      <c r="D7904" t="n">
        <v>9.063327370304171</v>
      </c>
    </row>
    <row r="7905">
      <c r="A7905" t="inlineStr">
        <is>
          <t>Pakistan</t>
        </is>
      </c>
      <c r="B7905" t="inlineStr">
        <is>
          <t>PAK</t>
        </is>
      </c>
      <c r="C7905" t="n">
        <v>2006</v>
      </c>
      <c r="D7905" t="n">
        <v>7.92108440058789</v>
      </c>
    </row>
    <row r="7906">
      <c r="A7906" t="inlineStr">
        <is>
          <t>Pakistan</t>
        </is>
      </c>
      <c r="B7906" t="inlineStr">
        <is>
          <t>PAK</t>
        </is>
      </c>
      <c r="C7906" t="n">
        <v>2007</v>
      </c>
      <c r="D7906" t="n">
        <v>7.59868441050774</v>
      </c>
    </row>
    <row r="7907">
      <c r="A7907" t="inlineStr">
        <is>
          <t>Pakistan</t>
        </is>
      </c>
      <c r="B7907" t="inlineStr">
        <is>
          <t>PAK</t>
        </is>
      </c>
      <c r="C7907" t="n">
        <v>2008</v>
      </c>
      <c r="D7907" t="n">
        <v>20.2861210929554</v>
      </c>
    </row>
    <row r="7908">
      <c r="A7908" t="inlineStr">
        <is>
          <t>Pakistan</t>
        </is>
      </c>
      <c r="B7908" t="inlineStr">
        <is>
          <t>PAK</t>
        </is>
      </c>
      <c r="C7908" t="n">
        <v>2009</v>
      </c>
      <c r="D7908" t="n">
        <v>13.6477650639761</v>
      </c>
    </row>
    <row r="7909">
      <c r="A7909" t="inlineStr">
        <is>
          <t>Pakistan</t>
        </is>
      </c>
      <c r="B7909" t="inlineStr">
        <is>
          <t>PAK</t>
        </is>
      </c>
      <c r="C7909" t="n">
        <v>2010</v>
      </c>
      <c r="D7909" t="n">
        <v>12.9388705634889</v>
      </c>
    </row>
    <row r="7910">
      <c r="A7910" t="inlineStr">
        <is>
          <t>Pakistan</t>
        </is>
      </c>
      <c r="B7910" t="inlineStr">
        <is>
          <t>PAK</t>
        </is>
      </c>
      <c r="C7910" t="n">
        <v>2011</v>
      </c>
      <c r="D7910" t="n">
        <v>11.9160927116277</v>
      </c>
    </row>
    <row r="7911">
      <c r="A7911" t="inlineStr">
        <is>
          <t>Pakistan</t>
        </is>
      </c>
      <c r="B7911" t="inlineStr">
        <is>
          <t>PAK</t>
        </is>
      </c>
      <c r="C7911" t="n">
        <v>2012</v>
      </c>
      <c r="D7911" t="n">
        <v>9.682351860556841</v>
      </c>
    </row>
    <row r="7912">
      <c r="A7912" t="inlineStr">
        <is>
          <t>Pakistan</t>
        </is>
      </c>
      <c r="B7912" t="inlineStr">
        <is>
          <t>PAK</t>
        </is>
      </c>
      <c r="C7912" t="n">
        <v>2013</v>
      </c>
      <c r="D7912" t="n">
        <v>7.69215611899565</v>
      </c>
    </row>
    <row r="7913">
      <c r="A7913" t="inlineStr">
        <is>
          <t>Pakistan</t>
        </is>
      </c>
      <c r="B7913" t="inlineStr">
        <is>
          <t>PAK</t>
        </is>
      </c>
      <c r="C7913" t="n">
        <v>2014</v>
      </c>
      <c r="D7913" t="n">
        <v>7.18938402847028</v>
      </c>
    </row>
    <row r="7914">
      <c r="A7914" t="inlineStr">
        <is>
          <t>Pakistan</t>
        </is>
      </c>
      <c r="B7914" t="inlineStr">
        <is>
          <t>PAK</t>
        </is>
      </c>
      <c r="C7914" t="n">
        <v>2015</v>
      </c>
      <c r="D7914" t="n">
        <v>2.52932817254229</v>
      </c>
    </row>
    <row r="7915">
      <c r="A7915" t="inlineStr">
        <is>
          <t>Pakistan</t>
        </is>
      </c>
      <c r="B7915" t="inlineStr">
        <is>
          <t>PAK</t>
        </is>
      </c>
      <c r="C7915" t="n">
        <v>2016</v>
      </c>
      <c r="D7915" t="n">
        <v>3.7651191635658</v>
      </c>
    </row>
    <row r="7916">
      <c r="A7916" t="inlineStr">
        <is>
          <t>Pakistan</t>
        </is>
      </c>
      <c r="B7916" t="inlineStr">
        <is>
          <t>PAK</t>
        </is>
      </c>
      <c r="C7916" t="n">
        <v>2017</v>
      </c>
      <c r="D7916" t="n">
        <v>4.08537368032608</v>
      </c>
    </row>
    <row r="7917">
      <c r="A7917" t="inlineStr">
        <is>
          <t>Pakistan</t>
        </is>
      </c>
      <c r="B7917" t="inlineStr">
        <is>
          <t>PAK</t>
        </is>
      </c>
      <c r="C7917" t="n">
        <v>2018</v>
      </c>
      <c r="D7917" t="n">
        <v>5.07805725868917</v>
      </c>
    </row>
    <row r="7918">
      <c r="A7918" t="inlineStr">
        <is>
          <t>Pakistan</t>
        </is>
      </c>
      <c r="B7918" t="inlineStr">
        <is>
          <t>PAK</t>
        </is>
      </c>
      <c r="C7918" t="n">
        <v>2019</v>
      </c>
      <c r="D7918" t="n">
        <v>10.5783618004555</v>
      </c>
    </row>
    <row r="7919">
      <c r="A7919" t="inlineStr">
        <is>
          <t>Pakistan</t>
        </is>
      </c>
      <c r="B7919" t="inlineStr">
        <is>
          <t>PAK</t>
        </is>
      </c>
      <c r="C7919" t="n">
        <v>2020</v>
      </c>
      <c r="D7919" t="n">
        <v>9.73999313898155</v>
      </c>
    </row>
    <row r="7920">
      <c r="A7920" t="inlineStr">
        <is>
          <t>Pakistan</t>
        </is>
      </c>
      <c r="B7920" t="inlineStr">
        <is>
          <t>PAK</t>
        </is>
      </c>
      <c r="C7920" t="n">
        <v>2021</v>
      </c>
      <c r="D7920" t="n">
        <v>9.49621056124947</v>
      </c>
    </row>
    <row r="7921">
      <c r="A7921" t="inlineStr">
        <is>
          <t>Pakistan</t>
        </is>
      </c>
      <c r="B7921" t="inlineStr">
        <is>
          <t>PAK</t>
        </is>
      </c>
      <c r="C7921" t="n">
        <v>2022</v>
      </c>
      <c r="D7921" t="n">
        <v>19.8738599646655</v>
      </c>
    </row>
    <row r="7922">
      <c r="A7922" t="inlineStr">
        <is>
          <t>Pakistan</t>
        </is>
      </c>
      <c r="B7922" t="inlineStr">
        <is>
          <t>PAK</t>
        </is>
      </c>
      <c r="C7922" t="n">
        <v>2023</v>
      </c>
      <c r="D7922" t="n">
        <v>30.7681280657005</v>
      </c>
    </row>
    <row r="7923">
      <c r="A7923" t="inlineStr">
        <is>
          <t>Pakistan</t>
        </is>
      </c>
      <c r="B7923" t="inlineStr">
        <is>
          <t>PAK</t>
        </is>
      </c>
      <c r="C7923" t="n">
        <v>2024</v>
      </c>
      <c r="D7923" t="n">
        <v>12.6325318530452</v>
      </c>
    </row>
    <row r="7924">
      <c r="A7924" t="inlineStr">
        <is>
          <t>Panama</t>
        </is>
      </c>
      <c r="B7924" t="inlineStr">
        <is>
          <t>PAN</t>
        </is>
      </c>
      <c r="C7924" t="n">
        <v>1960</v>
      </c>
      <c r="D7924" t="n">
        <v>0.0511770724157666</v>
      </c>
    </row>
    <row r="7925">
      <c r="A7925" t="inlineStr">
        <is>
          <t>Panama</t>
        </is>
      </c>
      <c r="B7925" t="inlineStr">
        <is>
          <t>PAN</t>
        </is>
      </c>
      <c r="C7925" t="n">
        <v>1961</v>
      </c>
      <c r="D7925" t="n">
        <v>0.613810741946727</v>
      </c>
    </row>
    <row r="7926">
      <c r="A7926" t="inlineStr">
        <is>
          <t>Panama</t>
        </is>
      </c>
      <c r="B7926" t="inlineStr">
        <is>
          <t>PAN</t>
        </is>
      </c>
      <c r="C7926" t="n">
        <v>1962</v>
      </c>
      <c r="D7926" t="n">
        <v>0.788002033555912</v>
      </c>
    </row>
    <row r="7927">
      <c r="A7927" t="inlineStr">
        <is>
          <t>Panama</t>
        </is>
      </c>
      <c r="B7927" t="inlineStr">
        <is>
          <t>PAN</t>
        </is>
      </c>
      <c r="C7927" t="n">
        <v>1963</v>
      </c>
      <c r="D7927" t="n">
        <v>0.449887528120002</v>
      </c>
    </row>
    <row r="7928">
      <c r="A7928" t="inlineStr">
        <is>
          <t>Panama</t>
        </is>
      </c>
      <c r="B7928" t="inlineStr">
        <is>
          <t>PAN</t>
        </is>
      </c>
      <c r="C7928" t="n">
        <v>1964</v>
      </c>
      <c r="D7928" t="n">
        <v>2.41353570491375</v>
      </c>
    </row>
    <row r="7929">
      <c r="A7929" t="inlineStr">
        <is>
          <t>Panama</t>
        </is>
      </c>
      <c r="B7929" t="inlineStr">
        <is>
          <t>PAN</t>
        </is>
      </c>
      <c r="C7929" t="n">
        <v>1965</v>
      </c>
      <c r="D7929" t="n">
        <v>0.461613216719862</v>
      </c>
    </row>
    <row r="7930">
      <c r="A7930" t="inlineStr">
        <is>
          <t>Panama</t>
        </is>
      </c>
      <c r="B7930" t="inlineStr">
        <is>
          <t>PAN</t>
        </is>
      </c>
      <c r="C7930" t="n">
        <v>1966</v>
      </c>
      <c r="D7930" t="n">
        <v>0.193470375092593</v>
      </c>
    </row>
    <row r="7931">
      <c r="A7931" t="inlineStr">
        <is>
          <t>Panama</t>
        </is>
      </c>
      <c r="B7931" t="inlineStr">
        <is>
          <t>PAN</t>
        </is>
      </c>
      <c r="C7931" t="n">
        <v>1967</v>
      </c>
      <c r="D7931" t="n">
        <v>1.37581462709177</v>
      </c>
    </row>
    <row r="7932">
      <c r="A7932" t="inlineStr">
        <is>
          <t>Panama</t>
        </is>
      </c>
      <c r="B7932" t="inlineStr">
        <is>
          <t>PAN</t>
        </is>
      </c>
      <c r="C7932" t="n">
        <v>1968</v>
      </c>
      <c r="D7932" t="n">
        <v>1.61904761953549</v>
      </c>
    </row>
    <row r="7933">
      <c r="A7933" t="inlineStr">
        <is>
          <t>Panama</t>
        </is>
      </c>
      <c r="B7933" t="inlineStr">
        <is>
          <t>PAN</t>
        </is>
      </c>
      <c r="C7933" t="n">
        <v>1969</v>
      </c>
      <c r="D7933" t="n">
        <v>1.82755388941356</v>
      </c>
    </row>
    <row r="7934">
      <c r="A7934" t="inlineStr">
        <is>
          <t>Panama</t>
        </is>
      </c>
      <c r="B7934" t="inlineStr">
        <is>
          <t>PAN</t>
        </is>
      </c>
      <c r="C7934" t="n">
        <v>1970</v>
      </c>
      <c r="D7934" t="n">
        <v>3.08329498367029</v>
      </c>
    </row>
    <row r="7935">
      <c r="A7935" t="inlineStr">
        <is>
          <t>Panama</t>
        </is>
      </c>
      <c r="B7935" t="inlineStr">
        <is>
          <t>PAN</t>
        </is>
      </c>
      <c r="C7935" t="n">
        <v>1971</v>
      </c>
      <c r="D7935" t="n">
        <v>1.91964285715142</v>
      </c>
    </row>
    <row r="7936">
      <c r="A7936" t="inlineStr">
        <is>
          <t>Panama</t>
        </is>
      </c>
      <c r="B7936" t="inlineStr">
        <is>
          <t>PAN</t>
        </is>
      </c>
      <c r="C7936" t="n">
        <v>1972</v>
      </c>
      <c r="D7936" t="n">
        <v>5.40954883948926</v>
      </c>
    </row>
    <row r="7937">
      <c r="A7937" t="inlineStr">
        <is>
          <t>Panama</t>
        </is>
      </c>
      <c r="B7937" t="inlineStr">
        <is>
          <t>PAN</t>
        </is>
      </c>
      <c r="C7937" t="n">
        <v>1973</v>
      </c>
      <c r="D7937" t="n">
        <v>6.85643050053377</v>
      </c>
    </row>
    <row r="7938">
      <c r="A7938" t="inlineStr">
        <is>
          <t>Panama</t>
        </is>
      </c>
      <c r="B7938" t="inlineStr">
        <is>
          <t>PAN</t>
        </is>
      </c>
      <c r="C7938" t="n">
        <v>1974</v>
      </c>
      <c r="D7938" t="n">
        <v>16.2680666277125</v>
      </c>
    </row>
    <row r="7939">
      <c r="A7939" t="inlineStr">
        <is>
          <t>Panama</t>
        </is>
      </c>
      <c r="B7939" t="inlineStr">
        <is>
          <t>PAN</t>
        </is>
      </c>
      <c r="C7939" t="n">
        <v>1975</v>
      </c>
      <c r="D7939" t="n">
        <v>5.88104130650944</v>
      </c>
    </row>
    <row r="7940">
      <c r="A7940" t="inlineStr">
        <is>
          <t>Panama</t>
        </is>
      </c>
      <c r="B7940" t="inlineStr">
        <is>
          <t>PAN</t>
        </is>
      </c>
      <c r="C7940" t="n">
        <v>1976</v>
      </c>
      <c r="D7940" t="n">
        <v>3.94999999941722</v>
      </c>
    </row>
    <row r="7941">
      <c r="A7941" t="inlineStr">
        <is>
          <t>Panama</t>
        </is>
      </c>
      <c r="B7941" t="inlineStr">
        <is>
          <t>PAN</t>
        </is>
      </c>
      <c r="C7941" t="n">
        <v>1977</v>
      </c>
      <c r="D7941" t="n">
        <v>4.58553791889613</v>
      </c>
    </row>
    <row r="7942">
      <c r="A7942" t="inlineStr">
        <is>
          <t>Panama</t>
        </is>
      </c>
      <c r="B7942" t="inlineStr">
        <is>
          <t>PAN</t>
        </is>
      </c>
      <c r="C7942" t="n">
        <v>1978</v>
      </c>
      <c r="D7942" t="n">
        <v>4.20052123266097</v>
      </c>
    </row>
    <row r="7943">
      <c r="A7943" t="inlineStr">
        <is>
          <t>Panama</t>
        </is>
      </c>
      <c r="B7943" t="inlineStr">
        <is>
          <t>PAN</t>
        </is>
      </c>
      <c r="C7943" t="n">
        <v>1979</v>
      </c>
      <c r="D7943" t="n">
        <v>7.98881859610768</v>
      </c>
    </row>
    <row r="7944">
      <c r="A7944" t="inlineStr">
        <is>
          <t>Panama</t>
        </is>
      </c>
      <c r="B7944" t="inlineStr">
        <is>
          <t>PAN</t>
        </is>
      </c>
      <c r="C7944" t="n">
        <v>1980</v>
      </c>
      <c r="D7944" t="n">
        <v>13.8079019078008</v>
      </c>
    </row>
    <row r="7945">
      <c r="A7945" t="inlineStr">
        <is>
          <t>Panama</t>
        </is>
      </c>
      <c r="B7945" t="inlineStr">
        <is>
          <t>PAN</t>
        </is>
      </c>
      <c r="C7945" t="n">
        <v>1981</v>
      </c>
      <c r="D7945" t="n">
        <v>7.30232836526219</v>
      </c>
    </row>
    <row r="7946">
      <c r="A7946" t="inlineStr">
        <is>
          <t>Panama</t>
        </is>
      </c>
      <c r="B7946" t="inlineStr">
        <is>
          <t>PAN</t>
        </is>
      </c>
      <c r="C7946" t="n">
        <v>1982</v>
      </c>
      <c r="D7946" t="n">
        <v>4.25057176328124</v>
      </c>
    </row>
    <row r="7947">
      <c r="A7947" t="inlineStr">
        <is>
          <t>Panama</t>
        </is>
      </c>
      <c r="B7947" t="inlineStr">
        <is>
          <t>PAN</t>
        </is>
      </c>
      <c r="C7947" t="n">
        <v>1983</v>
      </c>
      <c r="D7947" t="n">
        <v>2.10284124368167</v>
      </c>
    </row>
    <row r="7948">
      <c r="A7948" t="inlineStr">
        <is>
          <t>Panama</t>
        </is>
      </c>
      <c r="B7948" t="inlineStr">
        <is>
          <t>PAN</t>
        </is>
      </c>
      <c r="C7948" t="n">
        <v>1984</v>
      </c>
      <c r="D7948" t="n">
        <v>1.58264332858587</v>
      </c>
    </row>
    <row r="7949">
      <c r="A7949" t="inlineStr">
        <is>
          <t>Panama</t>
        </is>
      </c>
      <c r="B7949" t="inlineStr">
        <is>
          <t>PAN</t>
        </is>
      </c>
      <c r="C7949" t="n">
        <v>1985</v>
      </c>
      <c r="D7949" t="n">
        <v>1.02661989275157</v>
      </c>
    </row>
    <row r="7950">
      <c r="A7950" t="inlineStr">
        <is>
          <t>Panama</t>
        </is>
      </c>
      <c r="B7950" t="inlineStr">
        <is>
          <t>PAN</t>
        </is>
      </c>
      <c r="C7950" t="n">
        <v>1986</v>
      </c>
      <c r="D7950" t="n">
        <v>-0.0663841083593552</v>
      </c>
    </row>
    <row r="7951">
      <c r="A7951" t="inlineStr">
        <is>
          <t>Panama</t>
        </is>
      </c>
      <c r="B7951" t="inlineStr">
        <is>
          <t>PAN</t>
        </is>
      </c>
      <c r="C7951" t="n">
        <v>1987</v>
      </c>
      <c r="D7951" t="n">
        <v>0.9964230966791781</v>
      </c>
    </row>
    <row r="7952">
      <c r="A7952" t="inlineStr">
        <is>
          <t>Panama</t>
        </is>
      </c>
      <c r="B7952" t="inlineStr">
        <is>
          <t>PAN</t>
        </is>
      </c>
      <c r="C7952" t="n">
        <v>1988</v>
      </c>
      <c r="D7952" t="n">
        <v>0.35922084492817</v>
      </c>
    </row>
    <row r="7953">
      <c r="A7953" t="inlineStr">
        <is>
          <t>Panama</t>
        </is>
      </c>
      <c r="B7953" t="inlineStr">
        <is>
          <t>PAN</t>
        </is>
      </c>
      <c r="C7953" t="n">
        <v>1989</v>
      </c>
      <c r="D7953" t="n">
        <v>0.205867258317745</v>
      </c>
    </row>
    <row r="7954">
      <c r="A7954" t="inlineStr">
        <is>
          <t>Panama</t>
        </is>
      </c>
      <c r="B7954" t="inlineStr">
        <is>
          <t>PAN</t>
        </is>
      </c>
      <c r="C7954" t="n">
        <v>1990</v>
      </c>
      <c r="D7954" t="n">
        <v>0.769485354956023</v>
      </c>
    </row>
    <row r="7955">
      <c r="A7955" t="inlineStr">
        <is>
          <t>Panama</t>
        </is>
      </c>
      <c r="B7955" t="inlineStr">
        <is>
          <t>PAN</t>
        </is>
      </c>
      <c r="C7955" t="n">
        <v>1991</v>
      </c>
      <c r="D7955" t="n">
        <v>1.25626077674688</v>
      </c>
    </row>
    <row r="7956">
      <c r="A7956" t="inlineStr">
        <is>
          <t>Panama</t>
        </is>
      </c>
      <c r="B7956" t="inlineStr">
        <is>
          <t>PAN</t>
        </is>
      </c>
      <c r="C7956" t="n">
        <v>1992</v>
      </c>
      <c r="D7956" t="n">
        <v>1.82452156989957</v>
      </c>
    </row>
    <row r="7957">
      <c r="A7957" t="inlineStr">
        <is>
          <t>Panama</t>
        </is>
      </c>
      <c r="B7957" t="inlineStr">
        <is>
          <t>PAN</t>
        </is>
      </c>
      <c r="C7957" t="n">
        <v>1993</v>
      </c>
      <c r="D7957" t="n">
        <v>0.453930078840388</v>
      </c>
    </row>
    <row r="7958">
      <c r="A7958" t="inlineStr">
        <is>
          <t>Panama</t>
        </is>
      </c>
      <c r="B7958" t="inlineStr">
        <is>
          <t>PAN</t>
        </is>
      </c>
      <c r="C7958" t="n">
        <v>1994</v>
      </c>
      <c r="D7958" t="n">
        <v>1.26843190106196</v>
      </c>
    </row>
    <row r="7959">
      <c r="A7959" t="inlineStr">
        <is>
          <t>Panama</t>
        </is>
      </c>
      <c r="B7959" t="inlineStr">
        <is>
          <t>PAN</t>
        </is>
      </c>
      <c r="C7959" t="n">
        <v>1995</v>
      </c>
      <c r="D7959" t="n">
        <v>0.994206982933841</v>
      </c>
    </row>
    <row r="7960">
      <c r="A7960" t="inlineStr">
        <is>
          <t>Panama</t>
        </is>
      </c>
      <c r="B7960" t="inlineStr">
        <is>
          <t>PAN</t>
        </is>
      </c>
      <c r="C7960" t="n">
        <v>1996</v>
      </c>
      <c r="D7960" t="n">
        <v>1.25571661111548</v>
      </c>
    </row>
    <row r="7961">
      <c r="A7961" t="inlineStr">
        <is>
          <t>Panama</t>
        </is>
      </c>
      <c r="B7961" t="inlineStr">
        <is>
          <t>PAN</t>
        </is>
      </c>
      <c r="C7961" t="n">
        <v>1997</v>
      </c>
      <c r="D7961" t="n">
        <v>1.32435122100608</v>
      </c>
    </row>
    <row r="7962">
      <c r="A7962" t="inlineStr">
        <is>
          <t>Panama</t>
        </is>
      </c>
      <c r="B7962" t="inlineStr">
        <is>
          <t>PAN</t>
        </is>
      </c>
      <c r="C7962" t="n">
        <v>1998</v>
      </c>
      <c r="D7962" t="n">
        <v>0.559081293442493</v>
      </c>
    </row>
    <row r="7963">
      <c r="A7963" t="inlineStr">
        <is>
          <t>Panama</t>
        </is>
      </c>
      <c r="B7963" t="inlineStr">
        <is>
          <t>PAN</t>
        </is>
      </c>
      <c r="C7963" t="n">
        <v>1999</v>
      </c>
      <c r="D7963" t="n">
        <v>1.24718256949636</v>
      </c>
    </row>
    <row r="7964">
      <c r="A7964" t="inlineStr">
        <is>
          <t>Panama</t>
        </is>
      </c>
      <c r="B7964" t="inlineStr">
        <is>
          <t>PAN</t>
        </is>
      </c>
      <c r="C7964" t="n">
        <v>2000</v>
      </c>
      <c r="D7964" t="n">
        <v>1.49896111605777</v>
      </c>
    </row>
    <row r="7965">
      <c r="A7965" t="inlineStr">
        <is>
          <t>Panama</t>
        </is>
      </c>
      <c r="B7965" t="inlineStr">
        <is>
          <t>PAN</t>
        </is>
      </c>
      <c r="C7965" t="n">
        <v>2001</v>
      </c>
      <c r="D7965" t="n">
        <v>0.307062436028722</v>
      </c>
    </row>
    <row r="7966">
      <c r="A7966" t="inlineStr">
        <is>
          <t>Panama</t>
        </is>
      </c>
      <c r="B7966" t="inlineStr">
        <is>
          <t>PAN</t>
        </is>
      </c>
      <c r="C7966" t="n">
        <v>2002</v>
      </c>
      <c r="D7966" t="n">
        <v>1.00583090379039</v>
      </c>
    </row>
    <row r="7967">
      <c r="A7967" t="inlineStr">
        <is>
          <t>Panama</t>
        </is>
      </c>
      <c r="B7967" t="inlineStr">
        <is>
          <t>PAN</t>
        </is>
      </c>
      <c r="C7967" t="n">
        <v>2003</v>
      </c>
      <c r="D7967" t="n">
        <v>0.391666666666657</v>
      </c>
    </row>
    <row r="7968">
      <c r="A7968" t="inlineStr">
        <is>
          <t>Panama</t>
        </is>
      </c>
      <c r="B7968" t="inlineStr">
        <is>
          <t>PAN</t>
        </is>
      </c>
      <c r="C7968" t="n">
        <v>2004</v>
      </c>
      <c r="D7968" t="n">
        <v>0.474723078204336</v>
      </c>
    </row>
    <row r="7969">
      <c r="A7969" t="inlineStr">
        <is>
          <t>Panama</t>
        </is>
      </c>
      <c r="B7969" t="inlineStr">
        <is>
          <t>PAN</t>
        </is>
      </c>
      <c r="C7969" t="n">
        <v>2005</v>
      </c>
      <c r="D7969" t="n">
        <v>2.85588324760959</v>
      </c>
    </row>
    <row r="7970">
      <c r="A7970" t="inlineStr">
        <is>
          <t>Panama</t>
        </is>
      </c>
      <c r="B7970" t="inlineStr">
        <is>
          <t>PAN</t>
        </is>
      </c>
      <c r="C7970" t="n">
        <v>2006</v>
      </c>
      <c r="D7970" t="n">
        <v>2.45789346442096</v>
      </c>
    </row>
    <row r="7971">
      <c r="A7971" t="inlineStr">
        <is>
          <t>Panama</t>
        </is>
      </c>
      <c r="B7971" t="inlineStr">
        <is>
          <t>PAN</t>
        </is>
      </c>
      <c r="C7971" t="n">
        <v>2007</v>
      </c>
      <c r="D7971" t="n">
        <v>4.16863300298887</v>
      </c>
    </row>
    <row r="7972">
      <c r="A7972" t="inlineStr">
        <is>
          <t>Panama</t>
        </is>
      </c>
      <c r="B7972" t="inlineStr">
        <is>
          <t>PAN</t>
        </is>
      </c>
      <c r="C7972" t="n">
        <v>2008</v>
      </c>
      <c r="D7972" t="n">
        <v>8.758683177287841</v>
      </c>
    </row>
    <row r="7973">
      <c r="A7973" t="inlineStr">
        <is>
          <t>Panama</t>
        </is>
      </c>
      <c r="B7973" t="inlineStr">
        <is>
          <t>PAN</t>
        </is>
      </c>
      <c r="C7973" t="n">
        <v>2009</v>
      </c>
      <c r="D7973" t="n">
        <v>2.409053040822</v>
      </c>
    </row>
    <row r="7974">
      <c r="A7974" t="inlineStr">
        <is>
          <t>Panama</t>
        </is>
      </c>
      <c r="B7974" t="inlineStr">
        <is>
          <t>PAN</t>
        </is>
      </c>
      <c r="C7974" t="n">
        <v>2010</v>
      </c>
      <c r="D7974" t="n">
        <v>3.491288726188</v>
      </c>
    </row>
    <row r="7975">
      <c r="A7975" t="inlineStr">
        <is>
          <t>Panama</t>
        </is>
      </c>
      <c r="B7975" t="inlineStr">
        <is>
          <t>PAN</t>
        </is>
      </c>
      <c r="C7975" t="n">
        <v>2011</v>
      </c>
      <c r="D7975" t="n">
        <v>5.8758024367877</v>
      </c>
    </row>
    <row r="7976">
      <c r="A7976" t="inlineStr">
        <is>
          <t>Panama</t>
        </is>
      </c>
      <c r="B7976" t="inlineStr">
        <is>
          <t>PAN</t>
        </is>
      </c>
      <c r="C7976" t="n">
        <v>2012</v>
      </c>
      <c r="D7976" t="n">
        <v>5.69819959165992</v>
      </c>
    </row>
    <row r="7977">
      <c r="A7977" t="inlineStr">
        <is>
          <t>Panama</t>
        </is>
      </c>
      <c r="B7977" t="inlineStr">
        <is>
          <t>PAN</t>
        </is>
      </c>
      <c r="C7977" t="n">
        <v>2013</v>
      </c>
      <c r="D7977" t="n">
        <v>4.0271599157106</v>
      </c>
    </row>
    <row r="7978">
      <c r="A7978" t="inlineStr">
        <is>
          <t>Panama</t>
        </is>
      </c>
      <c r="B7978" t="inlineStr">
        <is>
          <t>PAN</t>
        </is>
      </c>
      <c r="C7978" t="n">
        <v>2014</v>
      </c>
      <c r="D7978" t="n">
        <v>2.62652699929151</v>
      </c>
    </row>
    <row r="7979">
      <c r="A7979" t="inlineStr">
        <is>
          <t>Panama</t>
        </is>
      </c>
      <c r="B7979" t="inlineStr">
        <is>
          <t>PAN</t>
        </is>
      </c>
      <c r="C7979" t="n">
        <v>2015</v>
      </c>
      <c r="D7979" t="n">
        <v>0.137492058461504</v>
      </c>
    </row>
    <row r="7980">
      <c r="A7980" t="inlineStr">
        <is>
          <t>Panama</t>
        </is>
      </c>
      <c r="B7980" t="inlineStr">
        <is>
          <t>PAN</t>
        </is>
      </c>
      <c r="C7980" t="n">
        <v>2016</v>
      </c>
      <c r="D7980" t="n">
        <v>0.739734025300033</v>
      </c>
    </row>
    <row r="7981">
      <c r="A7981" t="inlineStr">
        <is>
          <t>Panama</t>
        </is>
      </c>
      <c r="B7981" t="inlineStr">
        <is>
          <t>PAN</t>
        </is>
      </c>
      <c r="C7981" t="n">
        <v>2017</v>
      </c>
      <c r="D7981" t="n">
        <v>0.875585918759878</v>
      </c>
    </row>
    <row r="7982">
      <c r="A7982" t="inlineStr">
        <is>
          <t>Panama</t>
        </is>
      </c>
      <c r="B7982" t="inlineStr">
        <is>
          <t>PAN</t>
        </is>
      </c>
      <c r="C7982" t="n">
        <v>2018</v>
      </c>
      <c r="D7982" t="n">
        <v>0.761578359399944</v>
      </c>
    </row>
    <row r="7983">
      <c r="A7983" t="inlineStr">
        <is>
          <t>Panama</t>
        </is>
      </c>
      <c r="B7983" t="inlineStr">
        <is>
          <t>PAN</t>
        </is>
      </c>
      <c r="C7983" t="n">
        <v>2019</v>
      </c>
      <c r="D7983" t="n">
        <v>-0.355083821021245</v>
      </c>
    </row>
    <row r="7984">
      <c r="A7984" t="inlineStr">
        <is>
          <t>Panama</t>
        </is>
      </c>
      <c r="B7984" t="inlineStr">
        <is>
          <t>PAN</t>
        </is>
      </c>
      <c r="C7984" t="n">
        <v>2020</v>
      </c>
      <c r="D7984" t="n">
        <v>-1.5502754080376</v>
      </c>
    </row>
    <row r="7985">
      <c r="A7985" t="inlineStr">
        <is>
          <t>Panama</t>
        </is>
      </c>
      <c r="B7985" t="inlineStr">
        <is>
          <t>PAN</t>
        </is>
      </c>
      <c r="C7985" t="n">
        <v>2021</v>
      </c>
      <c r="D7985" t="n">
        <v>1.63070337301898</v>
      </c>
    </row>
    <row r="7986">
      <c r="A7986" t="inlineStr">
        <is>
          <t>Panama</t>
        </is>
      </c>
      <c r="B7986" t="inlineStr">
        <is>
          <t>PAN</t>
        </is>
      </c>
      <c r="C7986" t="n">
        <v>2022</v>
      </c>
      <c r="D7986" t="n">
        <v>2.85965128834711</v>
      </c>
    </row>
    <row r="7987">
      <c r="A7987" t="inlineStr">
        <is>
          <t>Panama</t>
        </is>
      </c>
      <c r="B7987" t="inlineStr">
        <is>
          <t>PAN</t>
        </is>
      </c>
      <c r="C7987" t="n">
        <v>2023</v>
      </c>
      <c r="D7987" t="n">
        <v>1.48641355277038</v>
      </c>
    </row>
    <row r="7988">
      <c r="A7988" t="inlineStr">
        <is>
          <t>Panama</t>
        </is>
      </c>
      <c r="B7988" t="inlineStr">
        <is>
          <t>PAN</t>
        </is>
      </c>
      <c r="C7988" t="n">
        <v>2024</v>
      </c>
      <c r="D7988" t="n">
        <v>0.685197879812108</v>
      </c>
    </row>
    <row r="7989">
      <c r="A7989" t="inlineStr">
        <is>
          <t>Peru</t>
        </is>
      </c>
      <c r="B7989" t="inlineStr">
        <is>
          <t>PER</t>
        </is>
      </c>
      <c r="C7989" t="n">
        <v>1960</v>
      </c>
      <c r="D7989" t="n">
        <v>8.664459162719099</v>
      </c>
    </row>
    <row r="7990">
      <c r="A7990" t="inlineStr">
        <is>
          <t>Peru</t>
        </is>
      </c>
      <c r="B7990" t="inlineStr">
        <is>
          <t>PER</t>
        </is>
      </c>
      <c r="C7990" t="n">
        <v>1961</v>
      </c>
      <c r="D7990" t="n">
        <v>5.91670898836375</v>
      </c>
    </row>
    <row r="7991">
      <c r="A7991" t="inlineStr">
        <is>
          <t>Peru</t>
        </is>
      </c>
      <c r="B7991" t="inlineStr">
        <is>
          <t>PER</t>
        </is>
      </c>
      <c r="C7991" t="n">
        <v>1962</v>
      </c>
      <c r="D7991" t="n">
        <v>6.64109326359749</v>
      </c>
    </row>
    <row r="7992">
      <c r="A7992" t="inlineStr">
        <is>
          <t>Peru</t>
        </is>
      </c>
      <c r="B7992" t="inlineStr">
        <is>
          <t>PER</t>
        </is>
      </c>
      <c r="C7992" t="n">
        <v>1963</v>
      </c>
      <c r="D7992" t="n">
        <v>6.07014388428593</v>
      </c>
    </row>
    <row r="7993">
      <c r="A7993" t="inlineStr">
        <is>
          <t>Peru</t>
        </is>
      </c>
      <c r="B7993" t="inlineStr">
        <is>
          <t>PER</t>
        </is>
      </c>
      <c r="C7993" t="n">
        <v>1964</v>
      </c>
      <c r="D7993" t="n">
        <v>9.792284866634841</v>
      </c>
    </row>
    <row r="7994">
      <c r="A7994" t="inlineStr">
        <is>
          <t>Peru</t>
        </is>
      </c>
      <c r="B7994" t="inlineStr">
        <is>
          <t>PER</t>
        </is>
      </c>
      <c r="C7994" t="n">
        <v>1965</v>
      </c>
      <c r="D7994" t="n">
        <v>16.3899613894424</v>
      </c>
    </row>
    <row r="7995">
      <c r="A7995" t="inlineStr">
        <is>
          <t>Peru</t>
        </is>
      </c>
      <c r="B7995" t="inlineStr">
        <is>
          <t>PER</t>
        </is>
      </c>
      <c r="C7995" t="n">
        <v>1966</v>
      </c>
      <c r="D7995" t="n">
        <v>8.84060374922209</v>
      </c>
    </row>
    <row r="7996">
      <c r="A7996" t="inlineStr">
        <is>
          <t>Peru</t>
        </is>
      </c>
      <c r="B7996" t="inlineStr">
        <is>
          <t>PER</t>
        </is>
      </c>
      <c r="C7996" t="n">
        <v>1967</v>
      </c>
      <c r="D7996" t="n">
        <v>9.78360256063414</v>
      </c>
    </row>
    <row r="7997">
      <c r="A7997" t="inlineStr">
        <is>
          <t>Peru</t>
        </is>
      </c>
      <c r="B7997" t="inlineStr">
        <is>
          <t>PER</t>
        </is>
      </c>
      <c r="C7997" t="n">
        <v>1968</v>
      </c>
      <c r="D7997" t="n">
        <v>19.086618545438</v>
      </c>
    </row>
    <row r="7998">
      <c r="A7998" t="inlineStr">
        <is>
          <t>Peru</t>
        </is>
      </c>
      <c r="B7998" t="inlineStr">
        <is>
          <t>PER</t>
        </is>
      </c>
      <c r="C7998" t="n">
        <v>1969</v>
      </c>
      <c r="D7998" t="n">
        <v>6.23615806078061</v>
      </c>
    </row>
    <row r="7999">
      <c r="A7999" t="inlineStr">
        <is>
          <t>Peru</t>
        </is>
      </c>
      <c r="B7999" t="inlineStr">
        <is>
          <t>PER</t>
        </is>
      </c>
      <c r="C7999" t="n">
        <v>1970</v>
      </c>
      <c r="D7999" t="n">
        <v>5.02523590072424</v>
      </c>
    </row>
    <row r="8000">
      <c r="A8000" t="inlineStr">
        <is>
          <t>Peru</t>
        </is>
      </c>
      <c r="B8000" t="inlineStr">
        <is>
          <t>PER</t>
        </is>
      </c>
      <c r="C8000" t="n">
        <v>1971</v>
      </c>
      <c r="D8000" t="n">
        <v>6.79063936495415</v>
      </c>
    </row>
    <row r="8001">
      <c r="A8001" t="inlineStr">
        <is>
          <t>Peru</t>
        </is>
      </c>
      <c r="B8001" t="inlineStr">
        <is>
          <t>PER</t>
        </is>
      </c>
      <c r="C8001" t="n">
        <v>1972</v>
      </c>
      <c r="D8001" t="n">
        <v>7.21972216770545</v>
      </c>
    </row>
    <row r="8002">
      <c r="A8002" t="inlineStr">
        <is>
          <t>Peru</t>
        </is>
      </c>
      <c r="B8002" t="inlineStr">
        <is>
          <t>PER</t>
        </is>
      </c>
      <c r="C8002" t="n">
        <v>1973</v>
      </c>
      <c r="D8002" t="n">
        <v>9.489051095033981</v>
      </c>
    </row>
    <row r="8003">
      <c r="A8003" t="inlineStr">
        <is>
          <t>Peru</t>
        </is>
      </c>
      <c r="B8003" t="inlineStr">
        <is>
          <t>PER</t>
        </is>
      </c>
      <c r="C8003" t="n">
        <v>1974</v>
      </c>
      <c r="D8003" t="n">
        <v>16.8916666665703</v>
      </c>
    </row>
    <row r="8004">
      <c r="A8004" t="inlineStr">
        <is>
          <t>Peru</t>
        </is>
      </c>
      <c r="B8004" t="inlineStr">
        <is>
          <t>PER</t>
        </is>
      </c>
      <c r="C8004" t="n">
        <v>1975</v>
      </c>
      <c r="D8004" t="n">
        <v>23.6187352963326</v>
      </c>
    </row>
    <row r="8005">
      <c r="A8005" t="inlineStr">
        <is>
          <t>Peru</t>
        </is>
      </c>
      <c r="B8005" t="inlineStr">
        <is>
          <t>PER</t>
        </is>
      </c>
      <c r="C8005" t="n">
        <v>1976</v>
      </c>
      <c r="D8005" t="n">
        <v>33.4832756634566</v>
      </c>
    </row>
    <row r="8006">
      <c r="A8006" t="inlineStr">
        <is>
          <t>Peru</t>
        </is>
      </c>
      <c r="B8006" t="inlineStr">
        <is>
          <t>PER</t>
        </is>
      </c>
      <c r="C8006" t="n">
        <v>1977</v>
      </c>
      <c r="D8006" t="n">
        <v>38.0540914196793</v>
      </c>
    </row>
    <row r="8007">
      <c r="A8007" t="inlineStr">
        <is>
          <t>Peru</t>
        </is>
      </c>
      <c r="B8007" t="inlineStr">
        <is>
          <t>PER</t>
        </is>
      </c>
      <c r="C8007" t="n">
        <v>1978</v>
      </c>
      <c r="D8007" t="n">
        <v>57.8487826251505</v>
      </c>
    </row>
    <row r="8008">
      <c r="A8008" t="inlineStr">
        <is>
          <t>Peru</t>
        </is>
      </c>
      <c r="B8008" t="inlineStr">
        <is>
          <t>PER</t>
        </is>
      </c>
      <c r="C8008" t="n">
        <v>1979</v>
      </c>
      <c r="D8008" t="n">
        <v>66.69442296648759</v>
      </c>
    </row>
    <row r="8009">
      <c r="A8009" t="inlineStr">
        <is>
          <t>Peru</t>
        </is>
      </c>
      <c r="B8009" t="inlineStr">
        <is>
          <t>PER</t>
        </is>
      </c>
      <c r="C8009" t="n">
        <v>1980</v>
      </c>
      <c r="D8009" t="n">
        <v>59.1450712444914</v>
      </c>
    </row>
    <row r="8010">
      <c r="A8010" t="inlineStr">
        <is>
          <t>Peru</t>
        </is>
      </c>
      <c r="B8010" t="inlineStr">
        <is>
          <t>PER</t>
        </is>
      </c>
      <c r="C8010" t="n">
        <v>1981</v>
      </c>
      <c r="D8010" t="n">
        <v>75.4332687576064</v>
      </c>
    </row>
    <row r="8011">
      <c r="A8011" t="inlineStr">
        <is>
          <t>Peru</t>
        </is>
      </c>
      <c r="B8011" t="inlineStr">
        <is>
          <t>PER</t>
        </is>
      </c>
      <c r="C8011" t="n">
        <v>1982</v>
      </c>
      <c r="D8011" t="n">
        <v>64.4481585387929</v>
      </c>
    </row>
    <row r="8012">
      <c r="A8012" t="inlineStr">
        <is>
          <t>Peru</t>
        </is>
      </c>
      <c r="B8012" t="inlineStr">
        <is>
          <t>PER</t>
        </is>
      </c>
      <c r="C8012" t="n">
        <v>1983</v>
      </c>
      <c r="D8012" t="n">
        <v>111.150635209157</v>
      </c>
    </row>
    <row r="8013">
      <c r="A8013" t="inlineStr">
        <is>
          <t>Peru</t>
        </is>
      </c>
      <c r="B8013" t="inlineStr">
        <is>
          <t>PER</t>
        </is>
      </c>
      <c r="C8013" t="n">
        <v>1984</v>
      </c>
      <c r="D8013" t="n">
        <v>110.208519562543</v>
      </c>
    </row>
    <row r="8014">
      <c r="A8014" t="inlineStr">
        <is>
          <t>Peru</t>
        </is>
      </c>
      <c r="B8014" t="inlineStr">
        <is>
          <t>PER</t>
        </is>
      </c>
      <c r="C8014" t="n">
        <v>1985</v>
      </c>
      <c r="D8014" t="n">
        <v>163.399505243688</v>
      </c>
    </row>
    <row r="8015">
      <c r="A8015" t="inlineStr">
        <is>
          <t>Peru</t>
        </is>
      </c>
      <c r="B8015" t="inlineStr">
        <is>
          <t>PER</t>
        </is>
      </c>
      <c r="C8015" t="n">
        <v>1986</v>
      </c>
      <c r="D8015" t="n">
        <v>77.92102554735951</v>
      </c>
    </row>
    <row r="8016">
      <c r="A8016" t="inlineStr">
        <is>
          <t>Peru</t>
        </is>
      </c>
      <c r="B8016" t="inlineStr">
        <is>
          <t>PER</t>
        </is>
      </c>
      <c r="C8016" t="n">
        <v>1987</v>
      </c>
      <c r="D8016" t="n">
        <v>85.82230623818459</v>
      </c>
    </row>
    <row r="8017">
      <c r="A8017" t="inlineStr">
        <is>
          <t>Peru</t>
        </is>
      </c>
      <c r="B8017" t="inlineStr">
        <is>
          <t>PER</t>
        </is>
      </c>
      <c r="C8017" t="n">
        <v>1988</v>
      </c>
      <c r="D8017" t="n">
        <v>667.019328585961</v>
      </c>
    </row>
    <row r="8018">
      <c r="A8018" t="inlineStr">
        <is>
          <t>Peru</t>
        </is>
      </c>
      <c r="B8018" t="inlineStr">
        <is>
          <t>PER</t>
        </is>
      </c>
      <c r="C8018" t="n">
        <v>1989</v>
      </c>
      <c r="D8018" t="n">
        <v>3398.67901005332</v>
      </c>
    </row>
    <row r="8019">
      <c r="A8019" t="inlineStr">
        <is>
          <t>Peru</t>
        </is>
      </c>
      <c r="B8019" t="inlineStr">
        <is>
          <t>PER</t>
        </is>
      </c>
      <c r="C8019" t="n">
        <v>1990</v>
      </c>
      <c r="D8019" t="n">
        <v>7481.66361124526</v>
      </c>
    </row>
    <row r="8020">
      <c r="A8020" t="inlineStr">
        <is>
          <t>Peru</t>
        </is>
      </c>
      <c r="B8020" t="inlineStr">
        <is>
          <t>PER</t>
        </is>
      </c>
      <c r="C8020" t="n">
        <v>1991</v>
      </c>
      <c r="D8020" t="n">
        <v>409.530166622023</v>
      </c>
    </row>
    <row r="8021">
      <c r="A8021" t="inlineStr">
        <is>
          <t>Peru</t>
        </is>
      </c>
      <c r="B8021" t="inlineStr">
        <is>
          <t>PER</t>
        </is>
      </c>
      <c r="C8021" t="n">
        <v>1992</v>
      </c>
      <c r="D8021" t="n">
        <v>73.5282942442641</v>
      </c>
    </row>
    <row r="8022">
      <c r="A8022" t="inlineStr">
        <is>
          <t>Peru</t>
        </is>
      </c>
      <c r="B8022" t="inlineStr">
        <is>
          <t>PER</t>
        </is>
      </c>
      <c r="C8022" t="n">
        <v>1993</v>
      </c>
      <c r="D8022" t="n">
        <v>48.5799864468885</v>
      </c>
    </row>
    <row r="8023">
      <c r="A8023" t="inlineStr">
        <is>
          <t>Peru</t>
        </is>
      </c>
      <c r="B8023" t="inlineStr">
        <is>
          <t>PER</t>
        </is>
      </c>
      <c r="C8023" t="n">
        <v>1994</v>
      </c>
      <c r="D8023" t="n">
        <v>23.7369050565046</v>
      </c>
    </row>
    <row r="8024">
      <c r="A8024" t="inlineStr">
        <is>
          <t>Peru</t>
        </is>
      </c>
      <c r="B8024" t="inlineStr">
        <is>
          <t>PER</t>
        </is>
      </c>
      <c r="C8024" t="n">
        <v>1995</v>
      </c>
      <c r="D8024" t="n">
        <v>11.1287029707089</v>
      </c>
    </row>
    <row r="8025">
      <c r="A8025" t="inlineStr">
        <is>
          <t>Peru</t>
        </is>
      </c>
      <c r="B8025" t="inlineStr">
        <is>
          <t>PER</t>
        </is>
      </c>
      <c r="C8025" t="n">
        <v>1996</v>
      </c>
      <c r="D8025" t="n">
        <v>11.5379424115177</v>
      </c>
    </row>
    <row r="8026">
      <c r="A8026" t="inlineStr">
        <is>
          <t>Peru</t>
        </is>
      </c>
      <c r="B8026" t="inlineStr">
        <is>
          <t>PER</t>
        </is>
      </c>
      <c r="C8026" t="n">
        <v>1997</v>
      </c>
      <c r="D8026" t="n">
        <v>8.56218948953653</v>
      </c>
    </row>
    <row r="8027">
      <c r="A8027" t="inlineStr">
        <is>
          <t>Peru</t>
        </is>
      </c>
      <c r="B8027" t="inlineStr">
        <is>
          <t>PER</t>
        </is>
      </c>
      <c r="C8027" t="n">
        <v>1998</v>
      </c>
      <c r="D8027" t="n">
        <v>7.24782175213469</v>
      </c>
    </row>
    <row r="8028">
      <c r="A8028" t="inlineStr">
        <is>
          <t>Peru</t>
        </is>
      </c>
      <c r="B8028" t="inlineStr">
        <is>
          <t>PER</t>
        </is>
      </c>
      <c r="C8028" t="n">
        <v>1999</v>
      </c>
      <c r="D8028" t="n">
        <v>3.46965996293019</v>
      </c>
    </row>
    <row r="8029">
      <c r="A8029" t="inlineStr">
        <is>
          <t>Peru</t>
        </is>
      </c>
      <c r="B8029" t="inlineStr">
        <is>
          <t>PER</t>
        </is>
      </c>
      <c r="C8029" t="n">
        <v>2000</v>
      </c>
      <c r="D8029" t="n">
        <v>3.75733833344474</v>
      </c>
    </row>
    <row r="8030">
      <c r="A8030" t="inlineStr">
        <is>
          <t>Peru</t>
        </is>
      </c>
      <c r="B8030" t="inlineStr">
        <is>
          <t>PER</t>
        </is>
      </c>
      <c r="C8030" t="n">
        <v>2001</v>
      </c>
      <c r="D8030" t="n">
        <v>1.97709878502053</v>
      </c>
    </row>
    <row r="8031">
      <c r="A8031" t="inlineStr">
        <is>
          <t>Peru</t>
        </is>
      </c>
      <c r="B8031" t="inlineStr">
        <is>
          <t>PER</t>
        </is>
      </c>
      <c r="C8031" t="n">
        <v>2002</v>
      </c>
      <c r="D8031" t="n">
        <v>0.193135003853722</v>
      </c>
    </row>
    <row r="8032">
      <c r="A8032" t="inlineStr">
        <is>
          <t>Peru</t>
        </is>
      </c>
      <c r="B8032" t="inlineStr">
        <is>
          <t>PER</t>
        </is>
      </c>
      <c r="C8032" t="n">
        <v>2003</v>
      </c>
      <c r="D8032" t="n">
        <v>2.25937753363072</v>
      </c>
    </row>
    <row r="8033">
      <c r="A8033" t="inlineStr">
        <is>
          <t>Peru</t>
        </is>
      </c>
      <c r="B8033" t="inlineStr">
        <is>
          <t>PER</t>
        </is>
      </c>
      <c r="C8033" t="n">
        <v>2004</v>
      </c>
      <c r="D8033" t="n">
        <v>3.66247320092233</v>
      </c>
    </row>
    <row r="8034">
      <c r="A8034" t="inlineStr">
        <is>
          <t>Peru</t>
        </is>
      </c>
      <c r="B8034" t="inlineStr">
        <is>
          <t>PER</t>
        </is>
      </c>
      <c r="C8034" t="n">
        <v>2005</v>
      </c>
      <c r="D8034" t="n">
        <v>1.61630193862544</v>
      </c>
    </row>
    <row r="8035">
      <c r="A8035" t="inlineStr">
        <is>
          <t>Peru</t>
        </is>
      </c>
      <c r="B8035" t="inlineStr">
        <is>
          <t>PER</t>
        </is>
      </c>
      <c r="C8035" t="n">
        <v>2006</v>
      </c>
      <c r="D8035" t="n">
        <v>2.00225801248819</v>
      </c>
    </row>
    <row r="8036">
      <c r="A8036" t="inlineStr">
        <is>
          <t>Peru</t>
        </is>
      </c>
      <c r="B8036" t="inlineStr">
        <is>
          <t>PER</t>
        </is>
      </c>
      <c r="C8036" t="n">
        <v>2007</v>
      </c>
      <c r="D8036" t="n">
        <v>1.77998644680372</v>
      </c>
    </row>
    <row r="8037">
      <c r="A8037" t="inlineStr">
        <is>
          <t>Peru</t>
        </is>
      </c>
      <c r="B8037" t="inlineStr">
        <is>
          <t>PER</t>
        </is>
      </c>
      <c r="C8037" t="n">
        <v>2008</v>
      </c>
      <c r="D8037" t="n">
        <v>5.78587598206755</v>
      </c>
    </row>
    <row r="8038">
      <c r="A8038" t="inlineStr">
        <is>
          <t>Peru</t>
        </is>
      </c>
      <c r="B8038" t="inlineStr">
        <is>
          <t>PER</t>
        </is>
      </c>
      <c r="C8038" t="n">
        <v>2009</v>
      </c>
      <c r="D8038" t="n">
        <v>2.936231535967</v>
      </c>
    </row>
    <row r="8039">
      <c r="A8039" t="inlineStr">
        <is>
          <t>Peru</t>
        </is>
      </c>
      <c r="B8039" t="inlineStr">
        <is>
          <t>PER</t>
        </is>
      </c>
      <c r="C8039" t="n">
        <v>2010</v>
      </c>
      <c r="D8039" t="n">
        <v>1.52832059732901</v>
      </c>
    </row>
    <row r="8040">
      <c r="A8040" t="inlineStr">
        <is>
          <t>Peru</t>
        </is>
      </c>
      <c r="B8040" t="inlineStr">
        <is>
          <t>PER</t>
        </is>
      </c>
      <c r="C8040" t="n">
        <v>2011</v>
      </c>
      <c r="D8040" t="n">
        <v>3.36931095333853</v>
      </c>
    </row>
    <row r="8041">
      <c r="A8041" t="inlineStr">
        <is>
          <t>Peru</t>
        </is>
      </c>
      <c r="B8041" t="inlineStr">
        <is>
          <t>PER</t>
        </is>
      </c>
      <c r="C8041" t="n">
        <v>2012</v>
      </c>
      <c r="D8041" t="n">
        <v>3.61121294940163</v>
      </c>
    </row>
    <row r="8042">
      <c r="A8042" t="inlineStr">
        <is>
          <t>Peru</t>
        </is>
      </c>
      <c r="B8042" t="inlineStr">
        <is>
          <t>PER</t>
        </is>
      </c>
      <c r="C8042" t="n">
        <v>2013</v>
      </c>
      <c r="D8042" t="n">
        <v>2.76789666082002</v>
      </c>
    </row>
    <row r="8043">
      <c r="A8043" t="inlineStr">
        <is>
          <t>Peru</t>
        </is>
      </c>
      <c r="B8043" t="inlineStr">
        <is>
          <t>PER</t>
        </is>
      </c>
      <c r="C8043" t="n">
        <v>2014</v>
      </c>
      <c r="D8043" t="n">
        <v>3.41194579807465</v>
      </c>
    </row>
    <row r="8044">
      <c r="A8044" t="inlineStr">
        <is>
          <t>Peru</t>
        </is>
      </c>
      <c r="B8044" t="inlineStr">
        <is>
          <t>PER</t>
        </is>
      </c>
      <c r="C8044" t="n">
        <v>2015</v>
      </c>
      <c r="D8044" t="n">
        <v>3.39809194746308</v>
      </c>
    </row>
    <row r="8045">
      <c r="A8045" t="inlineStr">
        <is>
          <t>Peru</t>
        </is>
      </c>
      <c r="B8045" t="inlineStr">
        <is>
          <t>PER</t>
        </is>
      </c>
      <c r="C8045" t="n">
        <v>2016</v>
      </c>
      <c r="D8045" t="n">
        <v>3.55717663556279</v>
      </c>
    </row>
    <row r="8046">
      <c r="A8046" t="inlineStr">
        <is>
          <t>Peru</t>
        </is>
      </c>
      <c r="B8046" t="inlineStr">
        <is>
          <t>PER</t>
        </is>
      </c>
      <c r="C8046" t="n">
        <v>2017</v>
      </c>
      <c r="D8046" t="n">
        <v>2.99490045809443</v>
      </c>
    </row>
    <row r="8047">
      <c r="A8047" t="inlineStr">
        <is>
          <t>Peru</t>
        </is>
      </c>
      <c r="B8047" t="inlineStr">
        <is>
          <t>PER</t>
        </is>
      </c>
      <c r="C8047" t="n">
        <v>2018</v>
      </c>
      <c r="D8047" t="n">
        <v>1.50915423024742</v>
      </c>
    </row>
    <row r="8048">
      <c r="A8048" t="inlineStr">
        <is>
          <t>Peru</t>
        </is>
      </c>
      <c r="B8048" t="inlineStr">
        <is>
          <t>PER</t>
        </is>
      </c>
      <c r="C8048" t="n">
        <v>2019</v>
      </c>
      <c r="D8048" t="n">
        <v>2.25212191358027</v>
      </c>
    </row>
    <row r="8049">
      <c r="A8049" t="inlineStr">
        <is>
          <t>Peru</t>
        </is>
      </c>
      <c r="B8049" t="inlineStr">
        <is>
          <t>PER</t>
        </is>
      </c>
      <c r="C8049" t="n">
        <v>2020</v>
      </c>
      <c r="D8049" t="n">
        <v>2.00241205759292</v>
      </c>
    </row>
    <row r="8050">
      <c r="A8050" t="inlineStr">
        <is>
          <t>Peru</t>
        </is>
      </c>
      <c r="B8050" t="inlineStr">
        <is>
          <t>PER</t>
        </is>
      </c>
      <c r="C8050" t="n">
        <v>2021</v>
      </c>
      <c r="D8050" t="n">
        <v>4.27166381536798</v>
      </c>
    </row>
    <row r="8051">
      <c r="A8051" t="inlineStr">
        <is>
          <t>Peru</t>
        </is>
      </c>
      <c r="B8051" t="inlineStr">
        <is>
          <t>PER</t>
        </is>
      </c>
      <c r="C8051" t="n">
        <v>2022</v>
      </c>
      <c r="D8051" t="n">
        <v>8.33370630096231</v>
      </c>
    </row>
    <row r="8052">
      <c r="A8052" t="inlineStr">
        <is>
          <t>Peru</t>
        </is>
      </c>
      <c r="B8052" t="inlineStr">
        <is>
          <t>PER</t>
        </is>
      </c>
      <c r="C8052" t="n">
        <v>2023</v>
      </c>
      <c r="D8052" t="n">
        <v>6.45561348369586</v>
      </c>
    </row>
    <row r="8053">
      <c r="A8053" t="inlineStr">
        <is>
          <t>Peru</t>
        </is>
      </c>
      <c r="B8053" t="inlineStr">
        <is>
          <t>PER</t>
        </is>
      </c>
      <c r="C8053" t="n">
        <v>2024</v>
      </c>
      <c r="D8053" t="n">
        <v>2.00770739412712</v>
      </c>
    </row>
    <row r="8054">
      <c r="A8054" t="inlineStr">
        <is>
          <t>Philippines</t>
        </is>
      </c>
      <c r="B8054" t="inlineStr">
        <is>
          <t>PHL</t>
        </is>
      </c>
      <c r="C8054" t="n">
        <v>1960</v>
      </c>
      <c r="D8054" t="n">
        <v>4.15482177982161</v>
      </c>
    </row>
    <row r="8055">
      <c r="A8055" t="inlineStr">
        <is>
          <t>Philippines</t>
        </is>
      </c>
      <c r="B8055" t="inlineStr">
        <is>
          <t>PHL</t>
        </is>
      </c>
      <c r="C8055" t="n">
        <v>1961</v>
      </c>
      <c r="D8055" t="n">
        <v>1.59563300452722</v>
      </c>
    </row>
    <row r="8056">
      <c r="A8056" t="inlineStr">
        <is>
          <t>Philippines</t>
        </is>
      </c>
      <c r="B8056" t="inlineStr">
        <is>
          <t>PHL</t>
        </is>
      </c>
      <c r="C8056" t="n">
        <v>1962</v>
      </c>
      <c r="D8056" t="n">
        <v>5.79665220101376</v>
      </c>
    </row>
    <row r="8057">
      <c r="A8057" t="inlineStr">
        <is>
          <t>Philippines</t>
        </is>
      </c>
      <c r="B8057" t="inlineStr">
        <is>
          <t>PHL</t>
        </is>
      </c>
      <c r="C8057" t="n">
        <v>1963</v>
      </c>
      <c r="D8057" t="n">
        <v>5.62554937008824</v>
      </c>
    </row>
    <row r="8058">
      <c r="A8058" t="inlineStr">
        <is>
          <t>Philippines</t>
        </is>
      </c>
      <c r="B8058" t="inlineStr">
        <is>
          <t>PHL</t>
        </is>
      </c>
      <c r="C8058" t="n">
        <v>1964</v>
      </c>
      <c r="D8058" t="n">
        <v>8.183079057003299</v>
      </c>
    </row>
    <row r="8059">
      <c r="A8059" t="inlineStr">
        <is>
          <t>Philippines</t>
        </is>
      </c>
      <c r="B8059" t="inlineStr">
        <is>
          <t>PHL</t>
        </is>
      </c>
      <c r="C8059" t="n">
        <v>1965</v>
      </c>
      <c r="D8059" t="n">
        <v>2.56410256428449</v>
      </c>
    </row>
    <row r="8060">
      <c r="A8060" t="inlineStr">
        <is>
          <t>Philippines</t>
        </is>
      </c>
      <c r="B8060" t="inlineStr">
        <is>
          <t>PHL</t>
        </is>
      </c>
      <c r="C8060" t="n">
        <v>1966</v>
      </c>
      <c r="D8060" t="n">
        <v>5.39999999968075</v>
      </c>
    </row>
    <row r="8061">
      <c r="A8061" t="inlineStr">
        <is>
          <t>Philippines</t>
        </is>
      </c>
      <c r="B8061" t="inlineStr">
        <is>
          <t>PHL</t>
        </is>
      </c>
      <c r="C8061" t="n">
        <v>1967</v>
      </c>
      <c r="D8061" t="n">
        <v>6.25395319397734</v>
      </c>
    </row>
    <row r="8062">
      <c r="A8062" t="inlineStr">
        <is>
          <t>Philippines</t>
        </is>
      </c>
      <c r="B8062" t="inlineStr">
        <is>
          <t>PHL</t>
        </is>
      </c>
      <c r="C8062" t="n">
        <v>1968</v>
      </c>
      <c r="D8062" t="n">
        <v>2.35880645890594</v>
      </c>
    </row>
    <row r="8063">
      <c r="A8063" t="inlineStr">
        <is>
          <t>Philippines</t>
        </is>
      </c>
      <c r="B8063" t="inlineStr">
        <is>
          <t>PHL</t>
        </is>
      </c>
      <c r="C8063" t="n">
        <v>1969</v>
      </c>
      <c r="D8063" t="n">
        <v>1.95551032285384</v>
      </c>
    </row>
    <row r="8064">
      <c r="A8064" t="inlineStr">
        <is>
          <t>Philippines</t>
        </is>
      </c>
      <c r="B8064" t="inlineStr">
        <is>
          <t>PHL</t>
        </is>
      </c>
      <c r="C8064" t="n">
        <v>1970</v>
      </c>
      <c r="D8064" t="n">
        <v>14.3814616757328</v>
      </c>
    </row>
    <row r="8065">
      <c r="A8065" t="inlineStr">
        <is>
          <t>Philippines</t>
        </is>
      </c>
      <c r="B8065" t="inlineStr">
        <is>
          <t>PHL</t>
        </is>
      </c>
      <c r="C8065" t="n">
        <v>1971</v>
      </c>
      <c r="D8065" t="n">
        <v>21.4033435366143</v>
      </c>
    </row>
    <row r="8066">
      <c r="A8066" t="inlineStr">
        <is>
          <t>Philippines</t>
        </is>
      </c>
      <c r="B8066" t="inlineStr">
        <is>
          <t>PHL</t>
        </is>
      </c>
      <c r="C8066" t="n">
        <v>1972</v>
      </c>
      <c r="D8066" t="n">
        <v>8.204034134988341</v>
      </c>
    </row>
    <row r="8067">
      <c r="A8067" t="inlineStr">
        <is>
          <t>Philippines</t>
        </is>
      </c>
      <c r="B8067" t="inlineStr">
        <is>
          <t>PHL</t>
        </is>
      </c>
      <c r="C8067" t="n">
        <v>1973</v>
      </c>
      <c r="D8067" t="n">
        <v>16.5800322638464</v>
      </c>
    </row>
    <row r="8068">
      <c r="A8068" t="inlineStr">
        <is>
          <t>Philippines</t>
        </is>
      </c>
      <c r="B8068" t="inlineStr">
        <is>
          <t>PHL</t>
        </is>
      </c>
      <c r="C8068" t="n">
        <v>1974</v>
      </c>
      <c r="D8068" t="n">
        <v>34.1635916359165</v>
      </c>
    </row>
    <row r="8069">
      <c r="A8069" t="inlineStr">
        <is>
          <t>Philippines</t>
        </is>
      </c>
      <c r="B8069" t="inlineStr">
        <is>
          <t>PHL</t>
        </is>
      </c>
      <c r="C8069" t="n">
        <v>1975</v>
      </c>
      <c r="D8069" t="n">
        <v>6.76140270456077</v>
      </c>
    </row>
    <row r="8070">
      <c r="A8070" t="inlineStr">
        <is>
          <t>Philippines</t>
        </is>
      </c>
      <c r="B8070" t="inlineStr">
        <is>
          <t>PHL</t>
        </is>
      </c>
      <c r="C8070" t="n">
        <v>1976</v>
      </c>
      <c r="D8070" t="n">
        <v>9.19922713611011</v>
      </c>
    </row>
    <row r="8071">
      <c r="A8071" t="inlineStr">
        <is>
          <t>Philippines</t>
        </is>
      </c>
      <c r="B8071" t="inlineStr">
        <is>
          <t>PHL</t>
        </is>
      </c>
      <c r="C8071" t="n">
        <v>1977</v>
      </c>
      <c r="D8071" t="n">
        <v>9.89875159736566</v>
      </c>
    </row>
    <row r="8072">
      <c r="A8072" t="inlineStr">
        <is>
          <t>Philippines</t>
        </is>
      </c>
      <c r="B8072" t="inlineStr">
        <is>
          <t>PHL</t>
        </is>
      </c>
      <c r="C8072" t="n">
        <v>1978</v>
      </c>
      <c r="D8072" t="n">
        <v>7.33452593917692</v>
      </c>
    </row>
    <row r="8073">
      <c r="A8073" t="inlineStr">
        <is>
          <t>Philippines</t>
        </is>
      </c>
      <c r="B8073" t="inlineStr">
        <is>
          <t>PHL</t>
        </is>
      </c>
      <c r="C8073" t="n">
        <v>1979</v>
      </c>
      <c r="D8073" t="n">
        <v>17.5333333327501</v>
      </c>
    </row>
    <row r="8074">
      <c r="A8074" t="inlineStr">
        <is>
          <t>Philippines</t>
        </is>
      </c>
      <c r="B8074" t="inlineStr">
        <is>
          <t>PHL</t>
        </is>
      </c>
      <c r="C8074" t="n">
        <v>1980</v>
      </c>
      <c r="D8074" t="n">
        <v>18.2005104938508</v>
      </c>
    </row>
    <row r="8075">
      <c r="A8075" t="inlineStr">
        <is>
          <t>Philippines</t>
        </is>
      </c>
      <c r="B8075" t="inlineStr">
        <is>
          <t>PHL</t>
        </is>
      </c>
      <c r="C8075" t="n">
        <v>1981</v>
      </c>
      <c r="D8075" t="n">
        <v>13.0825985241676</v>
      </c>
    </row>
    <row r="8076">
      <c r="A8076" t="inlineStr">
        <is>
          <t>Philippines</t>
        </is>
      </c>
      <c r="B8076" t="inlineStr">
        <is>
          <t>PHL</t>
        </is>
      </c>
      <c r="C8076" t="n">
        <v>1982</v>
      </c>
      <c r="D8076" t="n">
        <v>10.2217271376892</v>
      </c>
    </row>
    <row r="8077">
      <c r="A8077" t="inlineStr">
        <is>
          <t>Philippines</t>
        </is>
      </c>
      <c r="B8077" t="inlineStr">
        <is>
          <t>PHL</t>
        </is>
      </c>
      <c r="C8077" t="n">
        <v>1983</v>
      </c>
      <c r="D8077" t="n">
        <v>10.0293565620481</v>
      </c>
    </row>
    <row r="8078">
      <c r="A8078" t="inlineStr">
        <is>
          <t>Philippines</t>
        </is>
      </c>
      <c r="B8078" t="inlineStr">
        <is>
          <t>PHL</t>
        </is>
      </c>
      <c r="C8078" t="n">
        <v>1984</v>
      </c>
      <c r="D8078" t="n">
        <v>50.3389756374498</v>
      </c>
    </row>
    <row r="8079">
      <c r="A8079" t="inlineStr">
        <is>
          <t>Philippines</t>
        </is>
      </c>
      <c r="B8079" t="inlineStr">
        <is>
          <t>PHL</t>
        </is>
      </c>
      <c r="C8079" t="n">
        <v>1985</v>
      </c>
      <c r="D8079" t="n">
        <v>23.1031071803888</v>
      </c>
    </row>
    <row r="8080">
      <c r="A8080" t="inlineStr">
        <is>
          <t>Philippines</t>
        </is>
      </c>
      <c r="B8080" t="inlineStr">
        <is>
          <t>PHL</t>
        </is>
      </c>
      <c r="C8080" t="n">
        <v>1986</v>
      </c>
      <c r="D8080" t="n">
        <v>1.14813777653338</v>
      </c>
    </row>
    <row r="8081">
      <c r="A8081" t="inlineStr">
        <is>
          <t>Philippines</t>
        </is>
      </c>
      <c r="B8081" t="inlineStr">
        <is>
          <t>PHL</t>
        </is>
      </c>
      <c r="C8081" t="n">
        <v>1987</v>
      </c>
      <c r="D8081" t="n">
        <v>4.06976744186024</v>
      </c>
    </row>
    <row r="8082">
      <c r="A8082" t="inlineStr">
        <is>
          <t>Philippines</t>
        </is>
      </c>
      <c r="B8082" t="inlineStr">
        <is>
          <t>PHL</t>
        </is>
      </c>
      <c r="C8082" t="n">
        <v>1988</v>
      </c>
      <c r="D8082" t="n">
        <v>13.8600691673319</v>
      </c>
    </row>
    <row r="8083">
      <c r="A8083" t="inlineStr">
        <is>
          <t>Philippines</t>
        </is>
      </c>
      <c r="B8083" t="inlineStr">
        <is>
          <t>PHL</t>
        </is>
      </c>
      <c r="C8083" t="n">
        <v>1989</v>
      </c>
      <c r="D8083" t="n">
        <v>12.2429906542055</v>
      </c>
    </row>
    <row r="8084">
      <c r="A8084" t="inlineStr">
        <is>
          <t>Philippines</t>
        </is>
      </c>
      <c r="B8084" t="inlineStr">
        <is>
          <t>PHL</t>
        </is>
      </c>
      <c r="C8084" t="n">
        <v>1990</v>
      </c>
      <c r="D8084" t="n">
        <v>12.1773522064946</v>
      </c>
    </row>
    <row r="8085">
      <c r="A8085" t="inlineStr">
        <is>
          <t>Philippines</t>
        </is>
      </c>
      <c r="B8085" t="inlineStr">
        <is>
          <t>PHL</t>
        </is>
      </c>
      <c r="C8085" t="n">
        <v>1991</v>
      </c>
      <c r="D8085" t="n">
        <v>19.2614585266282</v>
      </c>
    </row>
    <row r="8086">
      <c r="A8086" t="inlineStr">
        <is>
          <t>Philippines</t>
        </is>
      </c>
      <c r="B8086" t="inlineStr">
        <is>
          <t>PHL</t>
        </is>
      </c>
      <c r="C8086" t="n">
        <v>1992</v>
      </c>
      <c r="D8086" t="n">
        <v>8.65100357865265</v>
      </c>
    </row>
    <row r="8087">
      <c r="A8087" t="inlineStr">
        <is>
          <t>Philippines</t>
        </is>
      </c>
      <c r="B8087" t="inlineStr">
        <is>
          <t>PHL</t>
        </is>
      </c>
      <c r="C8087" t="n">
        <v>1993</v>
      </c>
      <c r="D8087" t="n">
        <v>6.71631104109973</v>
      </c>
    </row>
    <row r="8088">
      <c r="A8088" t="inlineStr">
        <is>
          <t>Philippines</t>
        </is>
      </c>
      <c r="B8088" t="inlineStr">
        <is>
          <t>PHL</t>
        </is>
      </c>
      <c r="C8088" t="n">
        <v>1994</v>
      </c>
      <c r="D8088" t="n">
        <v>10.3864734299517</v>
      </c>
    </row>
    <row r="8089">
      <c r="A8089" t="inlineStr">
        <is>
          <t>Philippines</t>
        </is>
      </c>
      <c r="B8089" t="inlineStr">
        <is>
          <t>PHL</t>
        </is>
      </c>
      <c r="C8089" t="n">
        <v>1995</v>
      </c>
      <c r="D8089" t="n">
        <v>6.83199610989534</v>
      </c>
    </row>
    <row r="8090">
      <c r="A8090" t="inlineStr">
        <is>
          <t>Philippines</t>
        </is>
      </c>
      <c r="B8090" t="inlineStr">
        <is>
          <t>PHL</t>
        </is>
      </c>
      <c r="C8090" t="n">
        <v>1996</v>
      </c>
      <c r="D8090" t="n">
        <v>7.4761037778791</v>
      </c>
    </row>
    <row r="8091">
      <c r="A8091" t="inlineStr">
        <is>
          <t>Philippines</t>
        </is>
      </c>
      <c r="B8091" t="inlineStr">
        <is>
          <t>PHL</t>
        </is>
      </c>
      <c r="C8091" t="n">
        <v>1997</v>
      </c>
      <c r="D8091" t="n">
        <v>5.59025939650601</v>
      </c>
    </row>
    <row r="8092">
      <c r="A8092" t="inlineStr">
        <is>
          <t>Philippines</t>
        </is>
      </c>
      <c r="B8092" t="inlineStr">
        <is>
          <t>PHL</t>
        </is>
      </c>
      <c r="C8092" t="n">
        <v>1998</v>
      </c>
      <c r="D8092" t="n">
        <v>9.23493432267121</v>
      </c>
    </row>
    <row r="8093">
      <c r="A8093" t="inlineStr">
        <is>
          <t>Philippines</t>
        </is>
      </c>
      <c r="B8093" t="inlineStr">
        <is>
          <t>PHL</t>
        </is>
      </c>
      <c r="C8093" t="n">
        <v>1999</v>
      </c>
      <c r="D8093" t="n">
        <v>5.93904901780808</v>
      </c>
    </row>
    <row r="8094">
      <c r="A8094" t="inlineStr">
        <is>
          <t>Philippines</t>
        </is>
      </c>
      <c r="B8094" t="inlineStr">
        <is>
          <t>PHL</t>
        </is>
      </c>
      <c r="C8094" t="n">
        <v>2000</v>
      </c>
      <c r="D8094" t="n">
        <v>3.9771250324928</v>
      </c>
    </row>
    <row r="8095">
      <c r="A8095" t="inlineStr">
        <is>
          <t>Philippines</t>
        </is>
      </c>
      <c r="B8095" t="inlineStr">
        <is>
          <t>PHL</t>
        </is>
      </c>
      <c r="C8095" t="n">
        <v>2001</v>
      </c>
      <c r="D8095" t="n">
        <v>5.34550195567142</v>
      </c>
    </row>
    <row r="8096">
      <c r="A8096" t="inlineStr">
        <is>
          <t>Philippines</t>
        </is>
      </c>
      <c r="B8096" t="inlineStr">
        <is>
          <t>PHL</t>
        </is>
      </c>
      <c r="C8096" t="n">
        <v>2002</v>
      </c>
      <c r="D8096" t="n">
        <v>2.72277227722765</v>
      </c>
    </row>
    <row r="8097">
      <c r="A8097" t="inlineStr">
        <is>
          <t>Philippines</t>
        </is>
      </c>
      <c r="B8097" t="inlineStr">
        <is>
          <t>PHL</t>
        </is>
      </c>
      <c r="C8097" t="n">
        <v>2003</v>
      </c>
      <c r="D8097" t="n">
        <v>2.28915662650607</v>
      </c>
    </row>
    <row r="8098">
      <c r="A8098" t="inlineStr">
        <is>
          <t>Philippines</t>
        </is>
      </c>
      <c r="B8098" t="inlineStr">
        <is>
          <t>PHL</t>
        </is>
      </c>
      <c r="C8098" t="n">
        <v>2004</v>
      </c>
      <c r="D8098" t="n">
        <v>4.82921083627795</v>
      </c>
    </row>
    <row r="8099">
      <c r="A8099" t="inlineStr">
        <is>
          <t>Philippines</t>
        </is>
      </c>
      <c r="B8099" t="inlineStr">
        <is>
          <t>PHL</t>
        </is>
      </c>
      <c r="C8099" t="n">
        <v>2005</v>
      </c>
      <c r="D8099" t="n">
        <v>6.51685393258433</v>
      </c>
    </row>
    <row r="8100">
      <c r="A8100" t="inlineStr">
        <is>
          <t>Philippines</t>
        </is>
      </c>
      <c r="B8100" t="inlineStr">
        <is>
          <t>PHL</t>
        </is>
      </c>
      <c r="C8100" t="n">
        <v>2006</v>
      </c>
      <c r="D8100" t="n">
        <v>5.4852320675105</v>
      </c>
    </row>
    <row r="8101">
      <c r="A8101" t="inlineStr">
        <is>
          <t>Philippines</t>
        </is>
      </c>
      <c r="B8101" t="inlineStr">
        <is>
          <t>PHL</t>
        </is>
      </c>
      <c r="C8101" t="n">
        <v>2007</v>
      </c>
      <c r="D8101" t="n">
        <v>2.90000000000003</v>
      </c>
    </row>
    <row r="8102">
      <c r="A8102" t="inlineStr">
        <is>
          <t>Philippines</t>
        </is>
      </c>
      <c r="B8102" t="inlineStr">
        <is>
          <t>PHL</t>
        </is>
      </c>
      <c r="C8102" t="n">
        <v>2008</v>
      </c>
      <c r="D8102" t="n">
        <v>8.260447035957251</v>
      </c>
    </row>
    <row r="8103">
      <c r="A8103" t="inlineStr">
        <is>
          <t>Philippines</t>
        </is>
      </c>
      <c r="B8103" t="inlineStr">
        <is>
          <t>PHL</t>
        </is>
      </c>
      <c r="C8103" t="n">
        <v>2009</v>
      </c>
      <c r="D8103" t="n">
        <v>4.21903052064628</v>
      </c>
    </row>
    <row r="8104">
      <c r="A8104" t="inlineStr">
        <is>
          <t>Philippines</t>
        </is>
      </c>
      <c r="B8104" t="inlineStr">
        <is>
          <t>PHL</t>
        </is>
      </c>
      <c r="C8104" t="n">
        <v>2010</v>
      </c>
      <c r="D8104" t="n">
        <v>3.78983634797591</v>
      </c>
    </row>
    <row r="8105">
      <c r="A8105" t="inlineStr">
        <is>
          <t>Philippines</t>
        </is>
      </c>
      <c r="B8105" t="inlineStr">
        <is>
          <t>PHL</t>
        </is>
      </c>
      <c r="C8105" t="n">
        <v>2011</v>
      </c>
      <c r="D8105" t="n">
        <v>4.7184170471842</v>
      </c>
    </row>
    <row r="8106">
      <c r="A8106" t="inlineStr">
        <is>
          <t>Philippines</t>
        </is>
      </c>
      <c r="B8106" t="inlineStr">
        <is>
          <t>PHL</t>
        </is>
      </c>
      <c r="C8106" t="n">
        <v>2012</v>
      </c>
      <c r="D8106" t="n">
        <v>3.02696391124796</v>
      </c>
    </row>
    <row r="8107">
      <c r="A8107" t="inlineStr">
        <is>
          <t>Philippines</t>
        </is>
      </c>
      <c r="B8107" t="inlineStr">
        <is>
          <t>PHL</t>
        </is>
      </c>
      <c r="C8107" t="n">
        <v>2013</v>
      </c>
      <c r="D8107" t="n">
        <v>2.58268766141795</v>
      </c>
    </row>
    <row r="8108">
      <c r="A8108" t="inlineStr">
        <is>
          <t>Philippines</t>
        </is>
      </c>
      <c r="B8108" t="inlineStr">
        <is>
          <t>PHL</t>
        </is>
      </c>
      <c r="C8108" t="n">
        <v>2014</v>
      </c>
      <c r="D8108" t="n">
        <v>3.59782343864211</v>
      </c>
    </row>
    <row r="8109">
      <c r="A8109" t="inlineStr">
        <is>
          <t>Philippines</t>
        </is>
      </c>
      <c r="B8109" t="inlineStr">
        <is>
          <t>PHL</t>
        </is>
      </c>
      <c r="C8109" t="n">
        <v>2015</v>
      </c>
      <c r="D8109" t="n">
        <v>0.674192536845408</v>
      </c>
    </row>
    <row r="8110">
      <c r="A8110" t="inlineStr">
        <is>
          <t>Philippines</t>
        </is>
      </c>
      <c r="B8110" t="inlineStr">
        <is>
          <t>PHL</t>
        </is>
      </c>
      <c r="C8110" t="n">
        <v>2016</v>
      </c>
      <c r="D8110" t="n">
        <v>1.25369880080982</v>
      </c>
    </row>
    <row r="8111">
      <c r="A8111" t="inlineStr">
        <is>
          <t>Philippines</t>
        </is>
      </c>
      <c r="B8111" t="inlineStr">
        <is>
          <t>PHL</t>
        </is>
      </c>
      <c r="C8111" t="n">
        <v>2017</v>
      </c>
      <c r="D8111" t="n">
        <v>2.85318772590947</v>
      </c>
    </row>
    <row r="8112">
      <c r="A8112" t="inlineStr">
        <is>
          <t>Philippines</t>
        </is>
      </c>
      <c r="B8112" t="inlineStr">
        <is>
          <t>PHL</t>
        </is>
      </c>
      <c r="C8112" t="n">
        <v>2018</v>
      </c>
      <c r="D8112" t="n">
        <v>5.30934661627707</v>
      </c>
    </row>
    <row r="8113">
      <c r="A8113" t="inlineStr">
        <is>
          <t>Philippines</t>
        </is>
      </c>
      <c r="B8113" t="inlineStr">
        <is>
          <t>PHL</t>
        </is>
      </c>
      <c r="C8113" t="n">
        <v>2019</v>
      </c>
      <c r="D8113" t="n">
        <v>2.39206534422404</v>
      </c>
    </row>
    <row r="8114">
      <c r="A8114" t="inlineStr">
        <is>
          <t>Philippines</t>
        </is>
      </c>
      <c r="B8114" t="inlineStr">
        <is>
          <t>PHL</t>
        </is>
      </c>
      <c r="C8114" t="n">
        <v>2020</v>
      </c>
      <c r="D8114" t="n">
        <v>2.3931623931624</v>
      </c>
    </row>
    <row r="8115">
      <c r="A8115" t="inlineStr">
        <is>
          <t>Philippines</t>
        </is>
      </c>
      <c r="B8115" t="inlineStr">
        <is>
          <t>PHL</t>
        </is>
      </c>
      <c r="C8115" t="n">
        <v>2021</v>
      </c>
      <c r="D8115" t="n">
        <v>3.92718022100332</v>
      </c>
    </row>
    <row r="8116">
      <c r="A8116" t="inlineStr">
        <is>
          <t>Philippines</t>
        </is>
      </c>
      <c r="B8116" t="inlineStr">
        <is>
          <t>PHL</t>
        </is>
      </c>
      <c r="C8116" t="n">
        <v>2022</v>
      </c>
      <c r="D8116" t="n">
        <v>5.82115811213955</v>
      </c>
    </row>
    <row r="8117">
      <c r="A8117" t="inlineStr">
        <is>
          <t>Philippines</t>
        </is>
      </c>
      <c r="B8117" t="inlineStr">
        <is>
          <t>PHL</t>
        </is>
      </c>
      <c r="C8117" t="n">
        <v>2023</v>
      </c>
      <c r="D8117" t="n">
        <v>5.97802515541409</v>
      </c>
    </row>
    <row r="8118">
      <c r="A8118" t="inlineStr">
        <is>
          <t>Philippines</t>
        </is>
      </c>
      <c r="B8118" t="inlineStr">
        <is>
          <t>PHL</t>
        </is>
      </c>
      <c r="C8118" t="n">
        <v>2024</v>
      </c>
      <c r="D8118" t="n">
        <v>3.21260487006347</v>
      </c>
    </row>
    <row r="8119">
      <c r="A8119" t="inlineStr">
        <is>
          <t>Palau</t>
        </is>
      </c>
      <c r="B8119" t="inlineStr">
        <is>
          <t>PLW</t>
        </is>
      </c>
      <c r="C8119" t="n">
        <v>2002</v>
      </c>
      <c r="D8119" t="n">
        <v>-1.30123617436562</v>
      </c>
    </row>
    <row r="8120">
      <c r="A8120" t="inlineStr">
        <is>
          <t>Palau</t>
        </is>
      </c>
      <c r="B8120" t="inlineStr">
        <is>
          <t>PLW</t>
        </is>
      </c>
      <c r="C8120" t="n">
        <v>2003</v>
      </c>
      <c r="D8120" t="n">
        <v>0.922874093605824</v>
      </c>
    </row>
    <row r="8121">
      <c r="A8121" t="inlineStr">
        <is>
          <t>Palau</t>
        </is>
      </c>
      <c r="B8121" t="inlineStr">
        <is>
          <t>PLW</t>
        </is>
      </c>
      <c r="C8121" t="n">
        <v>2004</v>
      </c>
      <c r="D8121" t="n">
        <v>4.96407576747217</v>
      </c>
    </row>
    <row r="8122">
      <c r="A8122" t="inlineStr">
        <is>
          <t>Palau</t>
        </is>
      </c>
      <c r="B8122" t="inlineStr">
        <is>
          <t>PLW</t>
        </is>
      </c>
      <c r="C8122" t="n">
        <v>2005</v>
      </c>
      <c r="D8122" t="n">
        <v>3.9514623522091</v>
      </c>
    </row>
    <row r="8123">
      <c r="A8123" t="inlineStr">
        <is>
          <t>Palau</t>
        </is>
      </c>
      <c r="B8123" t="inlineStr">
        <is>
          <t>PLW</t>
        </is>
      </c>
      <c r="C8123" t="n">
        <v>2006</v>
      </c>
      <c r="D8123" t="n">
        <v>4.42981143370254</v>
      </c>
    </row>
    <row r="8124">
      <c r="A8124" t="inlineStr">
        <is>
          <t>Palau</t>
        </is>
      </c>
      <c r="B8124" t="inlineStr">
        <is>
          <t>PLW</t>
        </is>
      </c>
      <c r="C8124" t="n">
        <v>2007</v>
      </c>
      <c r="D8124" t="n">
        <v>3.23875035826881</v>
      </c>
    </row>
    <row r="8125">
      <c r="A8125" t="inlineStr">
        <is>
          <t>Palau</t>
        </is>
      </c>
      <c r="B8125" t="inlineStr">
        <is>
          <t>PLW</t>
        </is>
      </c>
      <c r="C8125" t="n">
        <v>2008</v>
      </c>
      <c r="D8125" t="n">
        <v>11.9655746807329</v>
      </c>
    </row>
    <row r="8126">
      <c r="A8126" t="inlineStr">
        <is>
          <t>Palau</t>
        </is>
      </c>
      <c r="B8126" t="inlineStr">
        <is>
          <t>PLW</t>
        </is>
      </c>
      <c r="C8126" t="n">
        <v>2009</v>
      </c>
      <c r="D8126" t="n">
        <v>1.43813538308953</v>
      </c>
    </row>
    <row r="8127">
      <c r="A8127" t="inlineStr">
        <is>
          <t>Palau</t>
        </is>
      </c>
      <c r="B8127" t="inlineStr">
        <is>
          <t>PLW</t>
        </is>
      </c>
      <c r="C8127" t="n">
        <v>2010</v>
      </c>
      <c r="D8127" t="n">
        <v>1.44219017355169</v>
      </c>
    </row>
    <row r="8128">
      <c r="A8128" t="inlineStr">
        <is>
          <t>Palau</t>
        </is>
      </c>
      <c r="B8128" t="inlineStr">
        <is>
          <t>PLW</t>
        </is>
      </c>
      <c r="C8128" t="n">
        <v>2011</v>
      </c>
      <c r="D8128" t="n">
        <v>4.6746987951807</v>
      </c>
    </row>
    <row r="8129">
      <c r="A8129" t="inlineStr">
        <is>
          <t>Palau</t>
        </is>
      </c>
      <c r="B8129" t="inlineStr">
        <is>
          <t>PLW</t>
        </is>
      </c>
      <c r="C8129" t="n">
        <v>2012</v>
      </c>
      <c r="D8129" t="n">
        <v>3.61418047882138</v>
      </c>
    </row>
    <row r="8130">
      <c r="A8130" t="inlineStr">
        <is>
          <t>Palau</t>
        </is>
      </c>
      <c r="B8130" t="inlineStr">
        <is>
          <t>PLW</t>
        </is>
      </c>
      <c r="C8130" t="n">
        <v>2013</v>
      </c>
      <c r="D8130" t="n">
        <v>3.35481004221287</v>
      </c>
    </row>
    <row r="8131">
      <c r="A8131" t="inlineStr">
        <is>
          <t>Palau</t>
        </is>
      </c>
      <c r="B8131" t="inlineStr">
        <is>
          <t>PLW</t>
        </is>
      </c>
      <c r="C8131" t="n">
        <v>2014</v>
      </c>
      <c r="D8131" t="n">
        <v>4.19174548581256</v>
      </c>
    </row>
    <row r="8132">
      <c r="A8132" t="inlineStr">
        <is>
          <t>Palau</t>
        </is>
      </c>
      <c r="B8132" t="inlineStr">
        <is>
          <t>PLW</t>
        </is>
      </c>
      <c r="C8132" t="n">
        <v>2015</v>
      </c>
      <c r="D8132" t="n">
        <v>0.949040643697081</v>
      </c>
    </row>
    <row r="8133">
      <c r="A8133" t="inlineStr">
        <is>
          <t>Palau</t>
        </is>
      </c>
      <c r="B8133" t="inlineStr">
        <is>
          <t>PLW</t>
        </is>
      </c>
      <c r="C8133" t="n">
        <v>2016</v>
      </c>
      <c r="D8133" t="n">
        <v>-1.04230533415074</v>
      </c>
    </row>
    <row r="8134">
      <c r="A8134" t="inlineStr">
        <is>
          <t>Palau</t>
        </is>
      </c>
      <c r="B8134" t="inlineStr">
        <is>
          <t>PLW</t>
        </is>
      </c>
      <c r="C8134" t="n">
        <v>2017</v>
      </c>
      <c r="D8134" t="n">
        <v>1.4179881966692</v>
      </c>
    </row>
    <row r="8135">
      <c r="A8135" t="inlineStr">
        <is>
          <t>Palau</t>
        </is>
      </c>
      <c r="B8135" t="inlineStr">
        <is>
          <t>PLW</t>
        </is>
      </c>
      <c r="C8135" t="n">
        <v>2018</v>
      </c>
      <c r="D8135" t="n">
        <v>2.10970464135017</v>
      </c>
    </row>
    <row r="8136">
      <c r="A8136" t="inlineStr">
        <is>
          <t>Palau</t>
        </is>
      </c>
      <c r="B8136" t="inlineStr">
        <is>
          <t>PLW</t>
        </is>
      </c>
      <c r="C8136" t="n">
        <v>2019</v>
      </c>
      <c r="D8136" t="n">
        <v>0.26737967914444</v>
      </c>
    </row>
    <row r="8137">
      <c r="A8137" t="inlineStr">
        <is>
          <t>Palau</t>
        </is>
      </c>
      <c r="B8137" t="inlineStr">
        <is>
          <t>PLW</t>
        </is>
      </c>
      <c r="C8137" t="n">
        <v>2020</v>
      </c>
      <c r="D8137" t="n">
        <v>0.218181818181833</v>
      </c>
    </row>
    <row r="8138">
      <c r="A8138" t="inlineStr">
        <is>
          <t>Palau</t>
        </is>
      </c>
      <c r="B8138" t="inlineStr">
        <is>
          <t>PLW</t>
        </is>
      </c>
      <c r="C8138" t="n">
        <v>2021</v>
      </c>
      <c r="D8138" t="n">
        <v>2.6124818577648</v>
      </c>
    </row>
    <row r="8139">
      <c r="A8139" t="inlineStr">
        <is>
          <t>Palau</t>
        </is>
      </c>
      <c r="B8139" t="inlineStr">
        <is>
          <t>PLW</t>
        </is>
      </c>
      <c r="C8139" t="n">
        <v>2022</v>
      </c>
      <c r="D8139" t="n">
        <v>12.3526638378124</v>
      </c>
    </row>
    <row r="8140">
      <c r="A8140" t="inlineStr">
        <is>
          <t>Palau</t>
        </is>
      </c>
      <c r="B8140" t="inlineStr">
        <is>
          <t>PLW</t>
        </is>
      </c>
      <c r="C8140" t="n">
        <v>2023</v>
      </c>
      <c r="D8140" t="n">
        <v>12.8199748216534</v>
      </c>
    </row>
    <row r="8141">
      <c r="A8141" t="inlineStr">
        <is>
          <t>Palau</t>
        </is>
      </c>
      <c r="B8141" t="inlineStr">
        <is>
          <t>PLW</t>
        </is>
      </c>
      <c r="C8141" t="n">
        <v>2024</v>
      </c>
      <c r="D8141" t="n">
        <v>2.23172772921704</v>
      </c>
    </row>
    <row r="8142">
      <c r="A8142" t="inlineStr">
        <is>
          <t>Papua New Guinea</t>
        </is>
      </c>
      <c r="B8142" t="inlineStr">
        <is>
          <t>PNG</t>
        </is>
      </c>
      <c r="C8142" t="n">
        <v>1972</v>
      </c>
      <c r="D8142" t="n">
        <v>6.07499999951511</v>
      </c>
    </row>
    <row r="8143">
      <c r="A8143" t="inlineStr">
        <is>
          <t>Papua New Guinea</t>
        </is>
      </c>
      <c r="B8143" t="inlineStr">
        <is>
          <t>PNG</t>
        </is>
      </c>
      <c r="C8143" t="n">
        <v>1973</v>
      </c>
      <c r="D8143" t="n">
        <v>8.343153429472171</v>
      </c>
    </row>
    <row r="8144">
      <c r="A8144" t="inlineStr">
        <is>
          <t>Papua New Guinea</t>
        </is>
      </c>
      <c r="B8144" t="inlineStr">
        <is>
          <t>PNG</t>
        </is>
      </c>
      <c r="C8144" t="n">
        <v>1974</v>
      </c>
      <c r="D8144" t="n">
        <v>23.1672830103248</v>
      </c>
    </row>
    <row r="8145">
      <c r="A8145" t="inlineStr">
        <is>
          <t>Papua New Guinea</t>
        </is>
      </c>
      <c r="B8145" t="inlineStr">
        <is>
          <t>PNG</t>
        </is>
      </c>
      <c r="C8145" t="n">
        <v>1975</v>
      </c>
      <c r="D8145" t="n">
        <v>10.4909925823773</v>
      </c>
    </row>
    <row r="8146">
      <c r="A8146" t="inlineStr">
        <is>
          <t>Papua New Guinea</t>
        </is>
      </c>
      <c r="B8146" t="inlineStr">
        <is>
          <t>PNG</t>
        </is>
      </c>
      <c r="C8146" t="n">
        <v>1976</v>
      </c>
      <c r="D8146" t="n">
        <v>7.65664961624512</v>
      </c>
    </row>
    <row r="8147">
      <c r="A8147" t="inlineStr">
        <is>
          <t>Papua New Guinea</t>
        </is>
      </c>
      <c r="B8147" t="inlineStr">
        <is>
          <t>PNG</t>
        </is>
      </c>
      <c r="C8147" t="n">
        <v>1977</v>
      </c>
      <c r="D8147" t="n">
        <v>4.52858203462227</v>
      </c>
    </row>
    <row r="8148">
      <c r="A8148" t="inlineStr">
        <is>
          <t>Papua New Guinea</t>
        </is>
      </c>
      <c r="B8148" t="inlineStr">
        <is>
          <t>PNG</t>
        </is>
      </c>
      <c r="C8148" t="n">
        <v>1978</v>
      </c>
      <c r="D8148" t="n">
        <v>5.79999999899959</v>
      </c>
    </row>
    <row r="8149">
      <c r="A8149" t="inlineStr">
        <is>
          <t>Papua New Guinea</t>
        </is>
      </c>
      <c r="B8149" t="inlineStr">
        <is>
          <t>PNG</t>
        </is>
      </c>
      <c r="C8149" t="n">
        <v>1979</v>
      </c>
      <c r="D8149" t="n">
        <v>5.76559546319348</v>
      </c>
    </row>
    <row r="8150">
      <c r="A8150" t="inlineStr">
        <is>
          <t>Papua New Guinea</t>
        </is>
      </c>
      <c r="B8150" t="inlineStr">
        <is>
          <t>PNG</t>
        </is>
      </c>
      <c r="C8150" t="n">
        <v>1980</v>
      </c>
      <c r="D8150" t="n">
        <v>12.0643431636459</v>
      </c>
    </row>
    <row r="8151">
      <c r="A8151" t="inlineStr">
        <is>
          <t>Papua New Guinea</t>
        </is>
      </c>
      <c r="B8151" t="inlineStr">
        <is>
          <t>PNG</t>
        </is>
      </c>
      <c r="C8151" t="n">
        <v>1981</v>
      </c>
      <c r="D8151" t="n">
        <v>8.054226476141061</v>
      </c>
    </row>
    <row r="8152">
      <c r="A8152" t="inlineStr">
        <is>
          <t>Papua New Guinea</t>
        </is>
      </c>
      <c r="B8152" t="inlineStr">
        <is>
          <t>PNG</t>
        </is>
      </c>
      <c r="C8152" t="n">
        <v>1982</v>
      </c>
      <c r="D8152" t="n">
        <v>5.53505535055348</v>
      </c>
    </row>
    <row r="8153">
      <c r="A8153" t="inlineStr">
        <is>
          <t>Papua New Guinea</t>
        </is>
      </c>
      <c r="B8153" t="inlineStr">
        <is>
          <t>PNG</t>
        </is>
      </c>
      <c r="C8153" t="n">
        <v>1983</v>
      </c>
      <c r="D8153" t="n">
        <v>7.90209790139863</v>
      </c>
    </row>
    <row r="8154">
      <c r="A8154" t="inlineStr">
        <is>
          <t>Papua New Guinea</t>
        </is>
      </c>
      <c r="B8154" t="inlineStr">
        <is>
          <t>PNG</t>
        </is>
      </c>
      <c r="C8154" t="n">
        <v>1984</v>
      </c>
      <c r="D8154" t="n">
        <v>7.42060920354786</v>
      </c>
    </row>
    <row r="8155">
      <c r="A8155" t="inlineStr">
        <is>
          <t>Papua New Guinea</t>
        </is>
      </c>
      <c r="B8155" t="inlineStr">
        <is>
          <t>PNG</t>
        </is>
      </c>
      <c r="C8155" t="n">
        <v>1985</v>
      </c>
      <c r="D8155" t="n">
        <v>3.71040723981909</v>
      </c>
    </row>
    <row r="8156">
      <c r="A8156" t="inlineStr">
        <is>
          <t>Papua New Guinea</t>
        </is>
      </c>
      <c r="B8156" t="inlineStr">
        <is>
          <t>PNG</t>
        </is>
      </c>
      <c r="C8156" t="n">
        <v>1986</v>
      </c>
      <c r="D8156" t="n">
        <v>5.45375218150084</v>
      </c>
    </row>
    <row r="8157">
      <c r="A8157" t="inlineStr">
        <is>
          <t>Papua New Guinea</t>
        </is>
      </c>
      <c r="B8157" t="inlineStr">
        <is>
          <t>PNG</t>
        </is>
      </c>
      <c r="C8157" t="n">
        <v>1987</v>
      </c>
      <c r="D8157" t="n">
        <v>3.33747069369721</v>
      </c>
    </row>
    <row r="8158">
      <c r="A8158" t="inlineStr">
        <is>
          <t>Papua New Guinea</t>
        </is>
      </c>
      <c r="B8158" t="inlineStr">
        <is>
          <t>PNG</t>
        </is>
      </c>
      <c r="C8158" t="n">
        <v>1988</v>
      </c>
      <c r="D8158" t="n">
        <v>5.44508207660464</v>
      </c>
    </row>
    <row r="8159">
      <c r="A8159" t="inlineStr">
        <is>
          <t>Papua New Guinea</t>
        </is>
      </c>
      <c r="B8159" t="inlineStr">
        <is>
          <t>PNG</t>
        </is>
      </c>
      <c r="C8159" t="n">
        <v>1989</v>
      </c>
      <c r="D8159" t="n">
        <v>4.48044551322661</v>
      </c>
    </row>
    <row r="8160">
      <c r="A8160" t="inlineStr">
        <is>
          <t>Papua New Guinea</t>
        </is>
      </c>
      <c r="B8160" t="inlineStr">
        <is>
          <t>PNG</t>
        </is>
      </c>
      <c r="C8160" t="n">
        <v>1990</v>
      </c>
      <c r="D8160" t="n">
        <v>6.9533615990307</v>
      </c>
    </row>
    <row r="8161">
      <c r="A8161" t="inlineStr">
        <is>
          <t>Papua New Guinea</t>
        </is>
      </c>
      <c r="B8161" t="inlineStr">
        <is>
          <t>PNG</t>
        </is>
      </c>
      <c r="C8161" t="n">
        <v>1991</v>
      </c>
      <c r="D8161" t="n">
        <v>6.96568127760753</v>
      </c>
    </row>
    <row r="8162">
      <c r="A8162" t="inlineStr">
        <is>
          <t>Papua New Guinea</t>
        </is>
      </c>
      <c r="B8162" t="inlineStr">
        <is>
          <t>PNG</t>
        </is>
      </c>
      <c r="C8162" t="n">
        <v>1992</v>
      </c>
      <c r="D8162" t="n">
        <v>4.30961457009748</v>
      </c>
    </row>
    <row r="8163">
      <c r="A8163" t="inlineStr">
        <is>
          <t>Papua New Guinea</t>
        </is>
      </c>
      <c r="B8163" t="inlineStr">
        <is>
          <t>PNG</t>
        </is>
      </c>
      <c r="C8163" t="n">
        <v>1993</v>
      </c>
      <c r="D8163" t="n">
        <v>4.97411430311646</v>
      </c>
    </row>
    <row r="8164">
      <c r="A8164" t="inlineStr">
        <is>
          <t>Papua New Guinea</t>
        </is>
      </c>
      <c r="B8164" t="inlineStr">
        <is>
          <t>PNG</t>
        </is>
      </c>
      <c r="C8164" t="n">
        <v>1994</v>
      </c>
      <c r="D8164" t="n">
        <v>2.85272217387134</v>
      </c>
    </row>
    <row r="8165">
      <c r="A8165" t="inlineStr">
        <is>
          <t>Papua New Guinea</t>
        </is>
      </c>
      <c r="B8165" t="inlineStr">
        <is>
          <t>PNG</t>
        </is>
      </c>
      <c r="C8165" t="n">
        <v>1995</v>
      </c>
      <c r="D8165" t="n">
        <v>17.280932681459</v>
      </c>
    </row>
    <row r="8166">
      <c r="A8166" t="inlineStr">
        <is>
          <t>Papua New Guinea</t>
        </is>
      </c>
      <c r="B8166" t="inlineStr">
        <is>
          <t>PNG</t>
        </is>
      </c>
      <c r="C8166" t="n">
        <v>1996</v>
      </c>
      <c r="D8166" t="n">
        <v>11.6241782908448</v>
      </c>
    </row>
    <row r="8167">
      <c r="A8167" t="inlineStr">
        <is>
          <t>Papua New Guinea</t>
        </is>
      </c>
      <c r="B8167" t="inlineStr">
        <is>
          <t>PNG</t>
        </is>
      </c>
      <c r="C8167" t="n">
        <v>1997</v>
      </c>
      <c r="D8167" t="n">
        <v>3.96437805228409</v>
      </c>
    </row>
    <row r="8168">
      <c r="A8168" t="inlineStr">
        <is>
          <t>Papua New Guinea</t>
        </is>
      </c>
      <c r="B8168" t="inlineStr">
        <is>
          <t>PNG</t>
        </is>
      </c>
      <c r="C8168" t="n">
        <v>1998</v>
      </c>
      <c r="D8168" t="n">
        <v>13.5741917656809</v>
      </c>
    </row>
    <row r="8169">
      <c r="A8169" t="inlineStr">
        <is>
          <t>Papua New Guinea</t>
        </is>
      </c>
      <c r="B8169" t="inlineStr">
        <is>
          <t>PNG</t>
        </is>
      </c>
      <c r="C8169" t="n">
        <v>1999</v>
      </c>
      <c r="D8169" t="n">
        <v>14.9321817407701</v>
      </c>
    </row>
    <row r="8170">
      <c r="A8170" t="inlineStr">
        <is>
          <t>Papua New Guinea</t>
        </is>
      </c>
      <c r="B8170" t="inlineStr">
        <is>
          <t>PNG</t>
        </is>
      </c>
      <c r="C8170" t="n">
        <v>2000</v>
      </c>
      <c r="D8170" t="n">
        <v>15.5958933107535</v>
      </c>
    </row>
    <row r="8171">
      <c r="A8171" t="inlineStr">
        <is>
          <t>Papua New Guinea</t>
        </is>
      </c>
      <c r="B8171" t="inlineStr">
        <is>
          <t>PNG</t>
        </is>
      </c>
      <c r="C8171" t="n">
        <v>2001</v>
      </c>
      <c r="D8171" t="n">
        <v>9.298173327839679</v>
      </c>
    </row>
    <row r="8172">
      <c r="A8172" t="inlineStr">
        <is>
          <t>Papua New Guinea</t>
        </is>
      </c>
      <c r="B8172" t="inlineStr">
        <is>
          <t>PNG</t>
        </is>
      </c>
      <c r="C8172" t="n">
        <v>2002</v>
      </c>
      <c r="D8172" t="n">
        <v>11.7994470972606</v>
      </c>
    </row>
    <row r="8173">
      <c r="A8173" t="inlineStr">
        <is>
          <t>Papua New Guinea</t>
        </is>
      </c>
      <c r="B8173" t="inlineStr">
        <is>
          <t>PNG</t>
        </is>
      </c>
      <c r="C8173" t="n">
        <v>2003</v>
      </c>
      <c r="D8173" t="n">
        <v>14.7090779663557</v>
      </c>
    </row>
    <row r="8174">
      <c r="A8174" t="inlineStr">
        <is>
          <t>Papua New Guinea</t>
        </is>
      </c>
      <c r="B8174" t="inlineStr">
        <is>
          <t>PNG</t>
        </is>
      </c>
      <c r="C8174" t="n">
        <v>2004</v>
      </c>
      <c r="D8174" t="n">
        <v>2.15893131266946</v>
      </c>
    </row>
    <row r="8175">
      <c r="A8175" t="inlineStr">
        <is>
          <t>Papua New Guinea</t>
        </is>
      </c>
      <c r="B8175" t="inlineStr">
        <is>
          <t>PNG</t>
        </is>
      </c>
      <c r="C8175" t="n">
        <v>2005</v>
      </c>
      <c r="D8175" t="n">
        <v>1.78080439925826</v>
      </c>
    </row>
    <row r="8176">
      <c r="A8176" t="inlineStr">
        <is>
          <t>Papua New Guinea</t>
        </is>
      </c>
      <c r="B8176" t="inlineStr">
        <is>
          <t>PNG</t>
        </is>
      </c>
      <c r="C8176" t="n">
        <v>2006</v>
      </c>
      <c r="D8176" t="n">
        <v>2.3684623841683</v>
      </c>
    </row>
    <row r="8177">
      <c r="A8177" t="inlineStr">
        <is>
          <t>Papua New Guinea</t>
        </is>
      </c>
      <c r="B8177" t="inlineStr">
        <is>
          <t>PNG</t>
        </is>
      </c>
      <c r="C8177" t="n">
        <v>2007</v>
      </c>
      <c r="D8177" t="n">
        <v>0.91135045567524</v>
      </c>
    </row>
    <row r="8178">
      <c r="A8178" t="inlineStr">
        <is>
          <t>Papua New Guinea</t>
        </is>
      </c>
      <c r="B8178" t="inlineStr">
        <is>
          <t>PNG</t>
        </is>
      </c>
      <c r="C8178" t="n">
        <v>2008</v>
      </c>
      <c r="D8178" t="n">
        <v>10.7614182326827</v>
      </c>
    </row>
    <row r="8179">
      <c r="A8179" t="inlineStr">
        <is>
          <t>Papua New Guinea</t>
        </is>
      </c>
      <c r="B8179" t="inlineStr">
        <is>
          <t>PNG</t>
        </is>
      </c>
      <c r="C8179" t="n">
        <v>2009</v>
      </c>
      <c r="D8179" t="n">
        <v>6.91832532601224</v>
      </c>
    </row>
    <row r="8180">
      <c r="A8180" t="inlineStr">
        <is>
          <t>Papua New Guinea</t>
        </is>
      </c>
      <c r="B8180" t="inlineStr">
        <is>
          <t>PNG</t>
        </is>
      </c>
      <c r="C8180" t="n">
        <v>2010</v>
      </c>
      <c r="D8180" t="n">
        <v>6.01360893567856</v>
      </c>
    </row>
    <row r="8181">
      <c r="A8181" t="inlineStr">
        <is>
          <t>Papua New Guinea</t>
        </is>
      </c>
      <c r="B8181" t="inlineStr">
        <is>
          <t>PNG</t>
        </is>
      </c>
      <c r="C8181" t="n">
        <v>2011</v>
      </c>
      <c r="D8181" t="n">
        <v>4.44083401028971</v>
      </c>
    </row>
    <row r="8182">
      <c r="A8182" t="inlineStr">
        <is>
          <t>Papua New Guinea</t>
        </is>
      </c>
      <c r="B8182" t="inlineStr">
        <is>
          <t>PNG</t>
        </is>
      </c>
      <c r="C8182" t="n">
        <v>2012</v>
      </c>
      <c r="D8182" t="n">
        <v>4.53720508166972</v>
      </c>
    </row>
    <row r="8183">
      <c r="A8183" t="inlineStr">
        <is>
          <t>Papua New Guinea</t>
        </is>
      </c>
      <c r="B8183" t="inlineStr">
        <is>
          <t>PNG</t>
        </is>
      </c>
      <c r="C8183" t="n">
        <v>2013</v>
      </c>
      <c r="D8183" t="n">
        <v>4.9603174603175</v>
      </c>
    </row>
    <row r="8184">
      <c r="A8184" t="inlineStr">
        <is>
          <t>Papua New Guinea</t>
        </is>
      </c>
      <c r="B8184" t="inlineStr">
        <is>
          <t>PNG</t>
        </is>
      </c>
      <c r="C8184" t="n">
        <v>2014</v>
      </c>
      <c r="D8184" t="n">
        <v>5.22211720226841</v>
      </c>
    </row>
    <row r="8185">
      <c r="A8185" t="inlineStr">
        <is>
          <t>Papua New Guinea</t>
        </is>
      </c>
      <c r="B8185" t="inlineStr">
        <is>
          <t>PNG</t>
        </is>
      </c>
      <c r="C8185" t="n">
        <v>2015</v>
      </c>
      <c r="D8185" t="n">
        <v>5.99595778127107</v>
      </c>
    </row>
    <row r="8186">
      <c r="A8186" t="inlineStr">
        <is>
          <t>Papua New Guinea</t>
        </is>
      </c>
      <c r="B8186" t="inlineStr">
        <is>
          <t>PNG</t>
        </is>
      </c>
      <c r="C8186" t="n">
        <v>2016</v>
      </c>
      <c r="D8186" t="n">
        <v>6.6737288135593</v>
      </c>
    </row>
    <row r="8187">
      <c r="A8187" t="inlineStr">
        <is>
          <t>Papua New Guinea</t>
        </is>
      </c>
      <c r="B8187" t="inlineStr">
        <is>
          <t>PNG</t>
        </is>
      </c>
      <c r="C8187" t="n">
        <v>2017</v>
      </c>
      <c r="D8187" t="n">
        <v>5.42204568023834</v>
      </c>
    </row>
    <row r="8188">
      <c r="A8188" t="inlineStr">
        <is>
          <t>Papua New Guinea</t>
        </is>
      </c>
      <c r="B8188" t="inlineStr">
        <is>
          <t>PNG</t>
        </is>
      </c>
      <c r="C8188" t="n">
        <v>2018</v>
      </c>
      <c r="D8188" t="n">
        <v>4.37448921453162</v>
      </c>
    </row>
    <row r="8189">
      <c r="A8189" t="inlineStr">
        <is>
          <t>Papua New Guinea</t>
        </is>
      </c>
      <c r="B8189" t="inlineStr">
        <is>
          <t>PNG</t>
        </is>
      </c>
      <c r="C8189" t="n">
        <v>2019</v>
      </c>
      <c r="D8189" t="n">
        <v>3.92867290939597</v>
      </c>
    </row>
    <row r="8190">
      <c r="A8190" t="inlineStr">
        <is>
          <t>Papua New Guinea</t>
        </is>
      </c>
      <c r="B8190" t="inlineStr">
        <is>
          <t>PNG</t>
        </is>
      </c>
      <c r="C8190" t="n">
        <v>2020</v>
      </c>
      <c r="D8190" t="n">
        <v>4.87167398565555</v>
      </c>
    </row>
    <row r="8191">
      <c r="A8191" t="inlineStr">
        <is>
          <t>Papua New Guinea</t>
        </is>
      </c>
      <c r="B8191" t="inlineStr">
        <is>
          <t>PNG</t>
        </is>
      </c>
      <c r="C8191" t="n">
        <v>2021</v>
      </c>
      <c r="D8191" t="n">
        <v>4.48359014042398</v>
      </c>
    </row>
    <row r="8192">
      <c r="A8192" t="inlineStr">
        <is>
          <t>Papua New Guinea</t>
        </is>
      </c>
      <c r="B8192" t="inlineStr">
        <is>
          <t>PNG</t>
        </is>
      </c>
      <c r="C8192" t="n">
        <v>2022</v>
      </c>
      <c r="D8192" t="n">
        <v>5.25323922215241</v>
      </c>
    </row>
    <row r="8193">
      <c r="A8193" t="inlineStr">
        <is>
          <t>Papua New Guinea</t>
        </is>
      </c>
      <c r="B8193" t="inlineStr">
        <is>
          <t>PNG</t>
        </is>
      </c>
      <c r="C8193" t="n">
        <v>2023</v>
      </c>
      <c r="D8193" t="n">
        <v>2.29869991296791</v>
      </c>
    </row>
    <row r="8194">
      <c r="A8194" t="inlineStr">
        <is>
          <t>Papua New Guinea</t>
        </is>
      </c>
      <c r="B8194" t="inlineStr">
        <is>
          <t>PNG</t>
        </is>
      </c>
      <c r="C8194" t="n">
        <v>2024</v>
      </c>
      <c r="D8194" t="n">
        <v>0.602403921107917</v>
      </c>
    </row>
    <row r="8195">
      <c r="A8195" t="inlineStr">
        <is>
          <t>Poland</t>
        </is>
      </c>
      <c r="B8195" t="inlineStr">
        <is>
          <t>POL</t>
        </is>
      </c>
      <c r="C8195" t="n">
        <v>1971</v>
      </c>
      <c r="D8195" t="n">
        <v>1.09999999900012</v>
      </c>
    </row>
    <row r="8196">
      <c r="A8196" t="inlineStr">
        <is>
          <t>Poland</t>
        </is>
      </c>
      <c r="B8196" t="inlineStr">
        <is>
          <t>POL</t>
        </is>
      </c>
      <c r="C8196" t="n">
        <v>1972</v>
      </c>
      <c r="D8196" t="n">
        <v>-0.09891196736007581</v>
      </c>
    </row>
    <row r="8197">
      <c r="A8197" t="inlineStr">
        <is>
          <t>Poland</t>
        </is>
      </c>
      <c r="B8197" t="inlineStr">
        <is>
          <t>POL</t>
        </is>
      </c>
      <c r="C8197" t="n">
        <v>1973</v>
      </c>
      <c r="D8197" t="n">
        <v>2.47524752475231</v>
      </c>
    </row>
    <row r="8198">
      <c r="A8198" t="inlineStr">
        <is>
          <t>Poland</t>
        </is>
      </c>
      <c r="B8198" t="inlineStr">
        <is>
          <t>POL</t>
        </is>
      </c>
      <c r="C8198" t="n">
        <v>1974</v>
      </c>
      <c r="D8198" t="n">
        <v>7.05314009565229</v>
      </c>
    </row>
    <row r="8199">
      <c r="A8199" t="inlineStr">
        <is>
          <t>Poland</t>
        </is>
      </c>
      <c r="B8199" t="inlineStr">
        <is>
          <t>POL</t>
        </is>
      </c>
      <c r="C8199" t="n">
        <v>1975</v>
      </c>
      <c r="D8199" t="n">
        <v>2.2563176895509</v>
      </c>
    </row>
    <row r="8200">
      <c r="A8200" t="inlineStr">
        <is>
          <t>Poland</t>
        </is>
      </c>
      <c r="B8200" t="inlineStr">
        <is>
          <t>POL</t>
        </is>
      </c>
      <c r="C8200" t="n">
        <v>1976</v>
      </c>
      <c r="D8200" t="n">
        <v>4.41306266552893</v>
      </c>
    </row>
    <row r="8201">
      <c r="A8201" t="inlineStr">
        <is>
          <t>Poland</t>
        </is>
      </c>
      <c r="B8201" t="inlineStr">
        <is>
          <t>POL</t>
        </is>
      </c>
      <c r="C8201" t="n">
        <v>1977</v>
      </c>
      <c r="D8201" t="n">
        <v>4.90278951821559</v>
      </c>
    </row>
    <row r="8202">
      <c r="A8202" t="inlineStr">
        <is>
          <t>Poland</t>
        </is>
      </c>
      <c r="B8202" t="inlineStr">
        <is>
          <t>POL</t>
        </is>
      </c>
      <c r="C8202" t="n">
        <v>1978</v>
      </c>
      <c r="D8202" t="n">
        <v>8.101265822784651</v>
      </c>
    </row>
    <row r="8203">
      <c r="A8203" t="inlineStr">
        <is>
          <t>Poland</t>
        </is>
      </c>
      <c r="B8203" t="inlineStr">
        <is>
          <t>POL</t>
        </is>
      </c>
      <c r="C8203" t="n">
        <v>1979</v>
      </c>
      <c r="D8203" t="n">
        <v>7.02576112412187</v>
      </c>
    </row>
    <row r="8204">
      <c r="A8204" t="inlineStr">
        <is>
          <t>Poland</t>
        </is>
      </c>
      <c r="B8204" t="inlineStr">
        <is>
          <t>POL</t>
        </is>
      </c>
      <c r="C8204" t="n">
        <v>1980</v>
      </c>
      <c r="D8204" t="n">
        <v>9.68271334792129</v>
      </c>
    </row>
    <row r="8205">
      <c r="A8205" t="inlineStr">
        <is>
          <t>Poland</t>
        </is>
      </c>
      <c r="B8205" t="inlineStr">
        <is>
          <t>POL</t>
        </is>
      </c>
      <c r="C8205" t="n">
        <v>1981</v>
      </c>
      <c r="D8205" t="n">
        <v>19.1271820448877</v>
      </c>
    </row>
    <row r="8206">
      <c r="A8206" t="inlineStr">
        <is>
          <t>Poland</t>
        </is>
      </c>
      <c r="B8206" t="inlineStr">
        <is>
          <t>POL</t>
        </is>
      </c>
      <c r="C8206" t="n">
        <v>1982</v>
      </c>
      <c r="D8206" t="n">
        <v>103.55871886121</v>
      </c>
    </row>
    <row r="8207">
      <c r="A8207" t="inlineStr">
        <is>
          <t>Poland</t>
        </is>
      </c>
      <c r="B8207" t="inlineStr">
        <is>
          <t>POL</t>
        </is>
      </c>
      <c r="C8207" t="n">
        <v>1983</v>
      </c>
      <c r="D8207" t="n">
        <v>25.534759358289</v>
      </c>
    </row>
    <row r="8208">
      <c r="A8208" t="inlineStr">
        <is>
          <t>Poland</t>
        </is>
      </c>
      <c r="B8208" t="inlineStr">
        <is>
          <t>POL</t>
        </is>
      </c>
      <c r="C8208" t="n">
        <v>1984</v>
      </c>
      <c r="D8208" t="n">
        <v>15.4009994265582</v>
      </c>
    </row>
    <row r="8209">
      <c r="A8209" t="inlineStr">
        <is>
          <t>Poland</t>
        </is>
      </c>
      <c r="B8209" t="inlineStr">
        <is>
          <t>POL</t>
        </is>
      </c>
      <c r="C8209" t="n">
        <v>1985</v>
      </c>
      <c r="D8209" t="n">
        <v>11.5212607368495</v>
      </c>
    </row>
    <row r="8210">
      <c r="A8210" t="inlineStr">
        <is>
          <t>Poland</t>
        </is>
      </c>
      <c r="B8210" t="inlineStr">
        <is>
          <t>POL</t>
        </is>
      </c>
      <c r="C8210" t="n">
        <v>1986</v>
      </c>
      <c r="D8210" t="n">
        <v>16.5499681731383</v>
      </c>
    </row>
    <row r="8211">
      <c r="A8211" t="inlineStr">
        <is>
          <t>Poland</t>
        </is>
      </c>
      <c r="B8211" t="inlineStr">
        <is>
          <t>POL</t>
        </is>
      </c>
      <c r="C8211" t="n">
        <v>1987</v>
      </c>
      <c r="D8211" t="n">
        <v>26.3790278536323</v>
      </c>
    </row>
    <row r="8212">
      <c r="A8212" t="inlineStr">
        <is>
          <t>Poland</t>
        </is>
      </c>
      <c r="B8212" t="inlineStr">
        <is>
          <t>POL</t>
        </is>
      </c>
      <c r="C8212" t="n">
        <v>1988</v>
      </c>
      <c r="D8212" t="n">
        <v>58.7208297320654</v>
      </c>
    </row>
    <row r="8213">
      <c r="A8213" t="inlineStr">
        <is>
          <t>Poland</t>
        </is>
      </c>
      <c r="B8213" t="inlineStr">
        <is>
          <t>POL</t>
        </is>
      </c>
      <c r="C8213" t="n">
        <v>1989</v>
      </c>
      <c r="D8213" t="n">
        <v>244.550932984827</v>
      </c>
    </row>
    <row r="8214">
      <c r="A8214" t="inlineStr">
        <is>
          <t>Poland</t>
        </is>
      </c>
      <c r="B8214" t="inlineStr">
        <is>
          <t>POL</t>
        </is>
      </c>
      <c r="C8214" t="n">
        <v>1990</v>
      </c>
      <c r="D8214" t="n">
        <v>567.878800666191</v>
      </c>
    </row>
    <row r="8215">
      <c r="A8215" t="inlineStr">
        <is>
          <t>Poland</t>
        </is>
      </c>
      <c r="B8215" t="inlineStr">
        <is>
          <t>POL</t>
        </is>
      </c>
      <c r="C8215" t="n">
        <v>1991</v>
      </c>
      <c r="D8215" t="n">
        <v>76.7694992087347</v>
      </c>
    </row>
    <row r="8216">
      <c r="A8216" t="inlineStr">
        <is>
          <t>Poland</t>
        </is>
      </c>
      <c r="B8216" t="inlineStr">
        <is>
          <t>POL</t>
        </is>
      </c>
      <c r="C8216" t="n">
        <v>1992</v>
      </c>
      <c r="D8216" t="n">
        <v>46.0985621037431</v>
      </c>
    </row>
    <row r="8217">
      <c r="A8217" t="inlineStr">
        <is>
          <t>Poland</t>
        </is>
      </c>
      <c r="B8217" t="inlineStr">
        <is>
          <t>POL</t>
        </is>
      </c>
      <c r="C8217" t="n">
        <v>1993</v>
      </c>
      <c r="D8217" t="n">
        <v>36.9641666120718</v>
      </c>
    </row>
    <row r="8218">
      <c r="A8218" t="inlineStr">
        <is>
          <t>Poland</t>
        </is>
      </c>
      <c r="B8218" t="inlineStr">
        <is>
          <t>POL</t>
        </is>
      </c>
      <c r="C8218" t="n">
        <v>1994</v>
      </c>
      <c r="D8218" t="n">
        <v>32.9912766093522</v>
      </c>
    </row>
    <row r="8219">
      <c r="A8219" t="inlineStr">
        <is>
          <t>Poland</t>
        </is>
      </c>
      <c r="B8219" t="inlineStr">
        <is>
          <t>POL</t>
        </is>
      </c>
      <c r="C8219" t="n">
        <v>1995</v>
      </c>
      <c r="D8219" t="n">
        <v>27.951388563304</v>
      </c>
    </row>
    <row r="8220">
      <c r="A8220" t="inlineStr">
        <is>
          <t>Poland</t>
        </is>
      </c>
      <c r="B8220" t="inlineStr">
        <is>
          <t>POL</t>
        </is>
      </c>
      <c r="C8220" t="n">
        <v>1996</v>
      </c>
      <c r="D8220" t="n">
        <v>19.7949669196707</v>
      </c>
    </row>
    <row r="8221">
      <c r="A8221" t="inlineStr">
        <is>
          <t>Poland</t>
        </is>
      </c>
      <c r="B8221" t="inlineStr">
        <is>
          <t>POL</t>
        </is>
      </c>
      <c r="C8221" t="n">
        <v>1997</v>
      </c>
      <c r="D8221" t="n">
        <v>14.9131586149599</v>
      </c>
    </row>
    <row r="8222">
      <c r="A8222" t="inlineStr">
        <is>
          <t>Poland</t>
        </is>
      </c>
      <c r="B8222" t="inlineStr">
        <is>
          <t>POL</t>
        </is>
      </c>
      <c r="C8222" t="n">
        <v>1998</v>
      </c>
      <c r="D8222" t="n">
        <v>11.5978554257235</v>
      </c>
    </row>
    <row r="8223">
      <c r="A8223" t="inlineStr">
        <is>
          <t>Poland</t>
        </is>
      </c>
      <c r="B8223" t="inlineStr">
        <is>
          <t>POL</t>
        </is>
      </c>
      <c r="C8223" t="n">
        <v>1999</v>
      </c>
      <c r="D8223" t="n">
        <v>7.15407291179862</v>
      </c>
    </row>
    <row r="8224">
      <c r="A8224" t="inlineStr">
        <is>
          <t>Poland</t>
        </is>
      </c>
      <c r="B8224" t="inlineStr">
        <is>
          <t>POL</t>
        </is>
      </c>
      <c r="C8224" t="n">
        <v>2000</v>
      </c>
      <c r="D8224" t="n">
        <v>9.90017538843064</v>
      </c>
    </row>
    <row r="8225">
      <c r="A8225" t="inlineStr">
        <is>
          <t>Poland</t>
        </is>
      </c>
      <c r="B8225" t="inlineStr">
        <is>
          <t>POL</t>
        </is>
      </c>
      <c r="C8225" t="n">
        <v>2001</v>
      </c>
      <c r="D8225" t="n">
        <v>5.40833545566148</v>
      </c>
    </row>
    <row r="8226">
      <c r="A8226" t="inlineStr">
        <is>
          <t>Poland</t>
        </is>
      </c>
      <c r="B8226" t="inlineStr">
        <is>
          <t>POL</t>
        </is>
      </c>
      <c r="C8226" t="n">
        <v>2002</v>
      </c>
      <c r="D8226" t="n">
        <v>1.90528215048055</v>
      </c>
    </row>
    <row r="8227">
      <c r="A8227" t="inlineStr">
        <is>
          <t>Poland</t>
        </is>
      </c>
      <c r="B8227" t="inlineStr">
        <is>
          <t>POL</t>
        </is>
      </c>
      <c r="C8227" t="n">
        <v>2003</v>
      </c>
      <c r="D8227" t="n">
        <v>0.682701375787681</v>
      </c>
    </row>
    <row r="8228">
      <c r="A8228" t="inlineStr">
        <is>
          <t>Poland</t>
        </is>
      </c>
      <c r="B8228" t="inlineStr">
        <is>
          <t>POL</t>
        </is>
      </c>
      <c r="C8228" t="n">
        <v>2004</v>
      </c>
      <c r="D8228" t="n">
        <v>3.38264681884691</v>
      </c>
    </row>
    <row r="8229">
      <c r="A8229" t="inlineStr">
        <is>
          <t>Poland</t>
        </is>
      </c>
      <c r="B8229" t="inlineStr">
        <is>
          <t>POL</t>
        </is>
      </c>
      <c r="C8229" t="n">
        <v>2005</v>
      </c>
      <c r="D8229" t="n">
        <v>2.18379872390258</v>
      </c>
    </row>
    <row r="8230">
      <c r="A8230" t="inlineStr">
        <is>
          <t>Poland</t>
        </is>
      </c>
      <c r="B8230" t="inlineStr">
        <is>
          <t>POL</t>
        </is>
      </c>
      <c r="C8230" t="n">
        <v>2006</v>
      </c>
      <c r="D8230" t="n">
        <v>1.28469394366408</v>
      </c>
    </row>
    <row r="8231">
      <c r="A8231" t="inlineStr">
        <is>
          <t>Poland</t>
        </is>
      </c>
      <c r="B8231" t="inlineStr">
        <is>
          <t>POL</t>
        </is>
      </c>
      <c r="C8231" t="n">
        <v>2007</v>
      </c>
      <c r="D8231" t="n">
        <v>2.45874312385402</v>
      </c>
    </row>
    <row r="8232">
      <c r="A8232" t="inlineStr">
        <is>
          <t>Poland</t>
        </is>
      </c>
      <c r="B8232" t="inlineStr">
        <is>
          <t>POL</t>
        </is>
      </c>
      <c r="C8232" t="n">
        <v>2008</v>
      </c>
      <c r="D8232" t="n">
        <v>4.16497193524764</v>
      </c>
    </row>
    <row r="8233">
      <c r="A8233" t="inlineStr">
        <is>
          <t>Poland</t>
        </is>
      </c>
      <c r="B8233" t="inlineStr">
        <is>
          <t>POL</t>
        </is>
      </c>
      <c r="C8233" t="n">
        <v>2009</v>
      </c>
      <c r="D8233" t="n">
        <v>3.79539242483406</v>
      </c>
    </row>
    <row r="8234">
      <c r="A8234" t="inlineStr">
        <is>
          <t>Poland</t>
        </is>
      </c>
      <c r="B8234" t="inlineStr">
        <is>
          <t>POL</t>
        </is>
      </c>
      <c r="C8234" t="n">
        <v>2010</v>
      </c>
      <c r="D8234" t="n">
        <v>2.58069370250543</v>
      </c>
    </row>
    <row r="8235">
      <c r="A8235" t="inlineStr">
        <is>
          <t>Poland</t>
        </is>
      </c>
      <c r="B8235" t="inlineStr">
        <is>
          <t>POL</t>
        </is>
      </c>
      <c r="C8235" t="n">
        <v>2011</v>
      </c>
      <c r="D8235" t="n">
        <v>4.2394014962594</v>
      </c>
    </row>
    <row r="8236">
      <c r="A8236" t="inlineStr">
        <is>
          <t>Poland</t>
        </is>
      </c>
      <c r="B8236" t="inlineStr">
        <is>
          <t>POL</t>
        </is>
      </c>
      <c r="C8236" t="n">
        <v>2012</v>
      </c>
      <c r="D8236" t="n">
        <v>3.56037151702783</v>
      </c>
    </row>
    <row r="8237">
      <c r="A8237" t="inlineStr">
        <is>
          <t>Poland</t>
        </is>
      </c>
      <c r="B8237" t="inlineStr">
        <is>
          <t>POL</t>
        </is>
      </c>
      <c r="C8237" t="n">
        <v>2013</v>
      </c>
      <c r="D8237" t="n">
        <v>0.991982606332428</v>
      </c>
    </row>
    <row r="8238">
      <c r="A8238" t="inlineStr">
        <is>
          <t>Poland</t>
        </is>
      </c>
      <c r="B8238" t="inlineStr">
        <is>
          <t>POL</t>
        </is>
      </c>
      <c r="C8238" t="n">
        <v>2014</v>
      </c>
      <c r="D8238" t="n">
        <v>0.0538213132399802</v>
      </c>
    </row>
    <row r="8239">
      <c r="A8239" t="inlineStr">
        <is>
          <t>Poland</t>
        </is>
      </c>
      <c r="B8239" t="inlineStr">
        <is>
          <t>POL</t>
        </is>
      </c>
      <c r="C8239" t="n">
        <v>2015</v>
      </c>
      <c r="D8239" t="n">
        <v>-0.87412587412577</v>
      </c>
    </row>
    <row r="8240">
      <c r="A8240" t="inlineStr">
        <is>
          <t>Poland</t>
        </is>
      </c>
      <c r="B8240" t="inlineStr">
        <is>
          <t>POL</t>
        </is>
      </c>
      <c r="C8240" t="n">
        <v>2016</v>
      </c>
      <c r="D8240" t="n">
        <v>-0.6647673314339611</v>
      </c>
    </row>
    <row r="8241">
      <c r="A8241" t="inlineStr">
        <is>
          <t>Poland</t>
        </is>
      </c>
      <c r="B8241" t="inlineStr">
        <is>
          <t>POL</t>
        </is>
      </c>
      <c r="C8241" t="n">
        <v>2017</v>
      </c>
      <c r="D8241" t="n">
        <v>2.0759355367385</v>
      </c>
    </row>
    <row r="8242">
      <c r="A8242" t="inlineStr">
        <is>
          <t>Poland</t>
        </is>
      </c>
      <c r="B8242" t="inlineStr">
        <is>
          <t>POL</t>
        </is>
      </c>
      <c r="C8242" t="n">
        <v>2018</v>
      </c>
      <c r="D8242" t="n">
        <v>1.81295156542679</v>
      </c>
    </row>
    <row r="8243">
      <c r="A8243" t="inlineStr">
        <is>
          <t>Poland</t>
        </is>
      </c>
      <c r="B8243" t="inlineStr">
        <is>
          <t>POL</t>
        </is>
      </c>
      <c r="C8243" t="n">
        <v>2019</v>
      </c>
      <c r="D8243" t="n">
        <v>2.227478809383</v>
      </c>
    </row>
    <row r="8244">
      <c r="A8244" t="inlineStr">
        <is>
          <t>Poland</t>
        </is>
      </c>
      <c r="B8244" t="inlineStr">
        <is>
          <t>POL</t>
        </is>
      </c>
      <c r="C8244" t="n">
        <v>2020</v>
      </c>
      <c r="D8244" t="n">
        <v>3.37446972618589</v>
      </c>
    </row>
    <row r="8245">
      <c r="A8245" t="inlineStr">
        <is>
          <t>Poland</t>
        </is>
      </c>
      <c r="B8245" t="inlineStr">
        <is>
          <t>POL</t>
        </is>
      </c>
      <c r="C8245" t="n">
        <v>2021</v>
      </c>
      <c r="D8245" t="n">
        <v>5.05502704719272</v>
      </c>
    </row>
    <row r="8246">
      <c r="A8246" t="inlineStr">
        <is>
          <t>Poland</t>
        </is>
      </c>
      <c r="B8246" t="inlineStr">
        <is>
          <t>POL</t>
        </is>
      </c>
      <c r="C8246" t="n">
        <v>2022</v>
      </c>
      <c r="D8246" t="n">
        <v>14.4294507575758</v>
      </c>
    </row>
    <row r="8247">
      <c r="A8247" t="inlineStr">
        <is>
          <t>Poland</t>
        </is>
      </c>
      <c r="B8247" t="inlineStr">
        <is>
          <t>POL</t>
        </is>
      </c>
      <c r="C8247" t="n">
        <v>2023</v>
      </c>
      <c r="D8247" t="n">
        <v>11.5289127961105</v>
      </c>
    </row>
    <row r="8248">
      <c r="A8248" t="inlineStr">
        <is>
          <t>Poland</t>
        </is>
      </c>
      <c r="B8248" t="inlineStr">
        <is>
          <t>POL</t>
        </is>
      </c>
      <c r="C8248" t="n">
        <v>2024</v>
      </c>
      <c r="D8248" t="n">
        <v>3.7842600751287</v>
      </c>
    </row>
    <row r="8249">
      <c r="A8249" t="inlineStr">
        <is>
          <t>Pre-demographic dividend</t>
        </is>
      </c>
      <c r="B8249" t="inlineStr">
        <is>
          <t>PRE</t>
        </is>
      </c>
      <c r="C8249" t="n">
        <v>1986</v>
      </c>
      <c r="D8249" t="n">
        <v>6.18477854456934</v>
      </c>
    </row>
    <row r="8250">
      <c r="A8250" t="inlineStr">
        <is>
          <t>Pre-demographic dividend</t>
        </is>
      </c>
      <c r="B8250" t="inlineStr">
        <is>
          <t>PRE</t>
        </is>
      </c>
      <c r="C8250" t="n">
        <v>1987</v>
      </c>
      <c r="D8250" t="n">
        <v>8.15234253800871</v>
      </c>
    </row>
    <row r="8251">
      <c r="A8251" t="inlineStr">
        <is>
          <t>Pre-demographic dividend</t>
        </is>
      </c>
      <c r="B8251" t="inlineStr">
        <is>
          <t>PRE</t>
        </is>
      </c>
      <c r="C8251" t="n">
        <v>1988</v>
      </c>
      <c r="D8251" t="n">
        <v>9.31063652987074</v>
      </c>
    </row>
    <row r="8252">
      <c r="A8252" t="inlineStr">
        <is>
          <t>Pre-demographic dividend</t>
        </is>
      </c>
      <c r="B8252" t="inlineStr">
        <is>
          <t>PRE</t>
        </is>
      </c>
      <c r="C8252" t="n">
        <v>1989</v>
      </c>
      <c r="D8252" t="n">
        <v>8.275016087515921</v>
      </c>
    </row>
    <row r="8253">
      <c r="A8253" t="inlineStr">
        <is>
          <t>Pre-demographic dividend</t>
        </is>
      </c>
      <c r="B8253" t="inlineStr">
        <is>
          <t>PRE</t>
        </is>
      </c>
      <c r="C8253" t="n">
        <v>1990</v>
      </c>
      <c r="D8253" t="n">
        <v>6.60022564874018</v>
      </c>
    </row>
    <row r="8254">
      <c r="A8254" t="inlineStr">
        <is>
          <t>Pre-demographic dividend</t>
        </is>
      </c>
      <c r="B8254" t="inlineStr">
        <is>
          <t>PRE</t>
        </is>
      </c>
      <c r="C8254" t="n">
        <v>1991</v>
      </c>
      <c r="D8254" t="n">
        <v>8.59264760490192</v>
      </c>
    </row>
    <row r="8255">
      <c r="A8255" t="inlineStr">
        <is>
          <t>Pre-demographic dividend</t>
        </is>
      </c>
      <c r="B8255" t="inlineStr">
        <is>
          <t>PRE</t>
        </is>
      </c>
      <c r="C8255" t="n">
        <v>1992</v>
      </c>
      <c r="D8255" t="n">
        <v>9.486542506171631</v>
      </c>
    </row>
    <row r="8256">
      <c r="A8256" t="inlineStr">
        <is>
          <t>Pre-demographic dividend</t>
        </is>
      </c>
      <c r="B8256" t="inlineStr">
        <is>
          <t>PRE</t>
        </is>
      </c>
      <c r="C8256" t="n">
        <v>1993</v>
      </c>
      <c r="D8256" t="n">
        <v>7.91707419362654</v>
      </c>
    </row>
    <row r="8257">
      <c r="A8257" t="inlineStr">
        <is>
          <t>Pre-demographic dividend</t>
        </is>
      </c>
      <c r="B8257" t="inlineStr">
        <is>
          <t>PRE</t>
        </is>
      </c>
      <c r="C8257" t="n">
        <v>1994</v>
      </c>
      <c r="D8257" t="n">
        <v>34.6496361508324</v>
      </c>
    </row>
    <row r="8258">
      <c r="A8258" t="inlineStr">
        <is>
          <t>Pre-demographic dividend</t>
        </is>
      </c>
      <c r="B8258" t="inlineStr">
        <is>
          <t>PRE</t>
        </is>
      </c>
      <c r="C8258" t="n">
        <v>1995</v>
      </c>
      <c r="D8258" t="n">
        <v>16.4335034524163</v>
      </c>
    </row>
    <row r="8259">
      <c r="A8259" t="inlineStr">
        <is>
          <t>Pre-demographic dividend</t>
        </is>
      </c>
      <c r="B8259" t="inlineStr">
        <is>
          <t>PRE</t>
        </is>
      </c>
      <c r="C8259" t="n">
        <v>1996</v>
      </c>
      <c r="D8259" t="n">
        <v>7.19164660433344</v>
      </c>
    </row>
    <row r="8260">
      <c r="A8260" t="inlineStr">
        <is>
          <t>Pre-demographic dividend</t>
        </is>
      </c>
      <c r="B8260" t="inlineStr">
        <is>
          <t>PRE</t>
        </is>
      </c>
      <c r="C8260" t="n">
        <v>1997</v>
      </c>
      <c r="D8260" t="n">
        <v>6.87063927616147</v>
      </c>
    </row>
    <row r="8261">
      <c r="A8261" t="inlineStr">
        <is>
          <t>Pre-demographic dividend</t>
        </is>
      </c>
      <c r="B8261" t="inlineStr">
        <is>
          <t>PRE</t>
        </is>
      </c>
      <c r="C8261" t="n">
        <v>1998</v>
      </c>
      <c r="D8261" t="n">
        <v>6.46522629708624</v>
      </c>
    </row>
    <row r="8262">
      <c r="A8262" t="inlineStr">
        <is>
          <t>Pre-demographic dividend</t>
        </is>
      </c>
      <c r="B8262" t="inlineStr">
        <is>
          <t>PRE</t>
        </is>
      </c>
      <c r="C8262" t="n">
        <v>1999</v>
      </c>
      <c r="D8262" t="n">
        <v>3.8123720536602</v>
      </c>
    </row>
    <row r="8263">
      <c r="A8263" t="inlineStr">
        <is>
          <t>Pre-demographic dividend</t>
        </is>
      </c>
      <c r="B8263" t="inlineStr">
        <is>
          <t>PRE</t>
        </is>
      </c>
      <c r="C8263" t="n">
        <v>2000</v>
      </c>
      <c r="D8263" t="n">
        <v>4.16540442290284</v>
      </c>
    </row>
    <row r="8264">
      <c r="A8264" t="inlineStr">
        <is>
          <t>Pre-demographic dividend</t>
        </is>
      </c>
      <c r="B8264" t="inlineStr">
        <is>
          <t>PRE</t>
        </is>
      </c>
      <c r="C8264" t="n">
        <v>2001</v>
      </c>
      <c r="D8264" t="n">
        <v>5.07745045522496</v>
      </c>
    </row>
    <row r="8265">
      <c r="A8265" t="inlineStr">
        <is>
          <t>Pre-demographic dividend</t>
        </is>
      </c>
      <c r="B8265" t="inlineStr">
        <is>
          <t>PRE</t>
        </is>
      </c>
      <c r="C8265" t="n">
        <v>2002</v>
      </c>
      <c r="D8265" t="n">
        <v>4.37875971780873</v>
      </c>
    </row>
    <row r="8266">
      <c r="A8266" t="inlineStr">
        <is>
          <t>Pre-demographic dividend</t>
        </is>
      </c>
      <c r="B8266" t="inlineStr">
        <is>
          <t>PRE</t>
        </is>
      </c>
      <c r="C8266" t="n">
        <v>2003</v>
      </c>
      <c r="D8266" t="n">
        <v>5.2277338613968</v>
      </c>
    </row>
    <row r="8267">
      <c r="A8267" t="inlineStr">
        <is>
          <t>Pre-demographic dividend</t>
        </is>
      </c>
      <c r="B8267" t="inlineStr">
        <is>
          <t>PRE</t>
        </is>
      </c>
      <c r="C8267" t="n">
        <v>2004</v>
      </c>
      <c r="D8267" t="n">
        <v>4.10703593955402</v>
      </c>
    </row>
    <row r="8268">
      <c r="A8268" t="inlineStr">
        <is>
          <t>Pre-demographic dividend</t>
        </is>
      </c>
      <c r="B8268" t="inlineStr">
        <is>
          <t>PRE</t>
        </is>
      </c>
      <c r="C8268" t="n">
        <v>2005</v>
      </c>
      <c r="D8268" t="n">
        <v>7.7974978178644</v>
      </c>
    </row>
    <row r="8269">
      <c r="A8269" t="inlineStr">
        <is>
          <t>Pre-demographic dividend</t>
        </is>
      </c>
      <c r="B8269" t="inlineStr">
        <is>
          <t>PRE</t>
        </is>
      </c>
      <c r="C8269" t="n">
        <v>2006</v>
      </c>
      <c r="D8269" t="n">
        <v>6.69526465773354</v>
      </c>
    </row>
    <row r="8270">
      <c r="A8270" t="inlineStr">
        <is>
          <t>Pre-demographic dividend</t>
        </is>
      </c>
      <c r="B8270" t="inlineStr">
        <is>
          <t>PRE</t>
        </is>
      </c>
      <c r="C8270" t="n">
        <v>2007</v>
      </c>
      <c r="D8270" t="n">
        <v>5.99590755876368</v>
      </c>
    </row>
    <row r="8271">
      <c r="A8271" t="inlineStr">
        <is>
          <t>Pre-demographic dividend</t>
        </is>
      </c>
      <c r="B8271" t="inlineStr">
        <is>
          <t>PRE</t>
        </is>
      </c>
      <c r="C8271" t="n">
        <v>2008</v>
      </c>
      <c r="D8271" t="n">
        <v>10.2876847921194</v>
      </c>
    </row>
    <row r="8272">
      <c r="A8272" t="inlineStr">
        <is>
          <t>Pre-demographic dividend</t>
        </is>
      </c>
      <c r="B8272" t="inlineStr">
        <is>
          <t>PRE</t>
        </is>
      </c>
      <c r="C8272" t="n">
        <v>2009</v>
      </c>
      <c r="D8272" t="n">
        <v>4.56150687670983</v>
      </c>
    </row>
    <row r="8273">
      <c r="A8273" t="inlineStr">
        <is>
          <t>Pre-demographic dividend</t>
        </is>
      </c>
      <c r="B8273" t="inlineStr">
        <is>
          <t>PRE</t>
        </is>
      </c>
      <c r="C8273" t="n">
        <v>2010</v>
      </c>
      <c r="D8273" t="n">
        <v>3.97655288478168</v>
      </c>
    </row>
    <row r="8274">
      <c r="A8274" t="inlineStr">
        <is>
          <t>Pre-demographic dividend</t>
        </is>
      </c>
      <c r="B8274" t="inlineStr">
        <is>
          <t>PRE</t>
        </is>
      </c>
      <c r="C8274" t="n">
        <v>2011</v>
      </c>
      <c r="D8274" t="n">
        <v>6.4293968107234</v>
      </c>
    </row>
    <row r="8275">
      <c r="A8275" t="inlineStr">
        <is>
          <t>Pre-demographic dividend</t>
        </is>
      </c>
      <c r="B8275" t="inlineStr">
        <is>
          <t>PRE</t>
        </is>
      </c>
      <c r="C8275" t="n">
        <v>2012</v>
      </c>
      <c r="D8275" t="n">
        <v>6.44121280934117</v>
      </c>
    </row>
    <row r="8276">
      <c r="A8276" t="inlineStr">
        <is>
          <t>Pre-demographic dividend</t>
        </is>
      </c>
      <c r="B8276" t="inlineStr">
        <is>
          <t>PRE</t>
        </is>
      </c>
      <c r="C8276" t="n">
        <v>2013</v>
      </c>
      <c r="D8276" t="n">
        <v>4.63161619729461</v>
      </c>
    </row>
    <row r="8277">
      <c r="A8277" t="inlineStr">
        <is>
          <t>Pre-demographic dividend</t>
        </is>
      </c>
      <c r="B8277" t="inlineStr">
        <is>
          <t>PRE</t>
        </is>
      </c>
      <c r="C8277" t="n">
        <v>2014</v>
      </c>
      <c r="D8277" t="n">
        <v>3.30503762552982</v>
      </c>
    </row>
    <row r="8278">
      <c r="A8278" t="inlineStr">
        <is>
          <t>Pre-demographic dividend</t>
        </is>
      </c>
      <c r="B8278" t="inlineStr">
        <is>
          <t>PRE</t>
        </is>
      </c>
      <c r="C8278" t="n">
        <v>2015</v>
      </c>
      <c r="D8278" t="n">
        <v>3.40274327737188</v>
      </c>
    </row>
    <row r="8279">
      <c r="A8279" t="inlineStr">
        <is>
          <t>Pre-demographic dividend</t>
        </is>
      </c>
      <c r="B8279" t="inlineStr">
        <is>
          <t>PRE</t>
        </is>
      </c>
      <c r="C8279" t="n">
        <v>2016</v>
      </c>
      <c r="D8279" t="n">
        <v>4.66466235810216</v>
      </c>
    </row>
    <row r="8280">
      <c r="A8280" t="inlineStr">
        <is>
          <t>Pre-demographic dividend</t>
        </is>
      </c>
      <c r="B8280" t="inlineStr">
        <is>
          <t>PRE</t>
        </is>
      </c>
      <c r="C8280" t="n">
        <v>2017</v>
      </c>
      <c r="D8280" t="n">
        <v>4.97595150553833</v>
      </c>
    </row>
    <row r="8281">
      <c r="A8281" t="inlineStr">
        <is>
          <t>Pre-demographic dividend</t>
        </is>
      </c>
      <c r="B8281" t="inlineStr">
        <is>
          <t>PRE</t>
        </is>
      </c>
      <c r="C8281" t="n">
        <v>2018</v>
      </c>
      <c r="D8281" t="n">
        <v>2.96760366004456</v>
      </c>
    </row>
    <row r="8282">
      <c r="A8282" t="inlineStr">
        <is>
          <t>Pre-demographic dividend</t>
        </is>
      </c>
      <c r="B8282" t="inlineStr">
        <is>
          <t>PRE</t>
        </is>
      </c>
      <c r="C8282" t="n">
        <v>2019</v>
      </c>
      <c r="D8282" t="n">
        <v>2.45280214062732</v>
      </c>
    </row>
    <row r="8283">
      <c r="A8283" t="inlineStr">
        <is>
          <t>Pre-demographic dividend</t>
        </is>
      </c>
      <c r="B8283" t="inlineStr">
        <is>
          <t>PRE</t>
        </is>
      </c>
      <c r="C8283" t="n">
        <v>2020</v>
      </c>
      <c r="D8283" t="n">
        <v>3.48393567493204</v>
      </c>
    </row>
    <row r="8284">
      <c r="A8284" t="inlineStr">
        <is>
          <t>Pre-demographic dividend</t>
        </is>
      </c>
      <c r="B8284" t="inlineStr">
        <is>
          <t>PRE</t>
        </is>
      </c>
      <c r="C8284" t="n">
        <v>2021</v>
      </c>
      <c r="D8284" t="n">
        <v>4.25936417542868</v>
      </c>
    </row>
    <row r="8285">
      <c r="A8285" t="inlineStr">
        <is>
          <t>Pre-demographic dividend</t>
        </is>
      </c>
      <c r="B8285" t="inlineStr">
        <is>
          <t>PRE</t>
        </is>
      </c>
      <c r="C8285" t="n">
        <v>2022</v>
      </c>
      <c r="D8285" t="n">
        <v>8.160590319918439</v>
      </c>
    </row>
    <row r="8286">
      <c r="A8286" t="inlineStr">
        <is>
          <t>Pre-demographic dividend</t>
        </is>
      </c>
      <c r="B8286" t="inlineStr">
        <is>
          <t>PRE</t>
        </is>
      </c>
      <c r="C8286" t="n">
        <v>2023</v>
      </c>
      <c r="D8286" t="n">
        <v>6.53322640452533</v>
      </c>
    </row>
    <row r="8287">
      <c r="A8287" t="inlineStr">
        <is>
          <t>Portugal</t>
        </is>
      </c>
      <c r="B8287" t="inlineStr">
        <is>
          <t>PRT</t>
        </is>
      </c>
      <c r="C8287" t="n">
        <v>1960</v>
      </c>
      <c r="D8287" t="n">
        <v>3.046592778327</v>
      </c>
    </row>
    <row r="8288">
      <c r="A8288" t="inlineStr">
        <is>
          <t>Portugal</t>
        </is>
      </c>
      <c r="B8288" t="inlineStr">
        <is>
          <t>PRT</t>
        </is>
      </c>
      <c r="C8288" t="n">
        <v>1961</v>
      </c>
      <c r="D8288" t="n">
        <v>1.54899696989872</v>
      </c>
    </row>
    <row r="8289">
      <c r="A8289" t="inlineStr">
        <is>
          <t>Portugal</t>
        </is>
      </c>
      <c r="B8289" t="inlineStr">
        <is>
          <t>PRT</t>
        </is>
      </c>
      <c r="C8289" t="n">
        <v>1962</v>
      </c>
      <c r="D8289" t="n">
        <v>2.66206417934763</v>
      </c>
    </row>
    <row r="8290">
      <c r="A8290" t="inlineStr">
        <is>
          <t>Portugal</t>
        </is>
      </c>
      <c r="B8290" t="inlineStr">
        <is>
          <t>PRT</t>
        </is>
      </c>
      <c r="C8290" t="n">
        <v>1963</v>
      </c>
      <c r="D8290" t="n">
        <v>2.02158272759789</v>
      </c>
    </row>
    <row r="8291">
      <c r="A8291" t="inlineStr">
        <is>
          <t>Portugal</t>
        </is>
      </c>
      <c r="B8291" t="inlineStr">
        <is>
          <t>PRT</t>
        </is>
      </c>
      <c r="C8291" t="n">
        <v>1964</v>
      </c>
      <c r="D8291" t="n">
        <v>3.44489848222768</v>
      </c>
    </row>
    <row r="8292">
      <c r="A8292" t="inlineStr">
        <is>
          <t>Portugal</t>
        </is>
      </c>
      <c r="B8292" t="inlineStr">
        <is>
          <t>PRT</t>
        </is>
      </c>
      <c r="C8292" t="n">
        <v>1965</v>
      </c>
      <c r="D8292" t="n">
        <v>3.42492777745566</v>
      </c>
    </row>
    <row r="8293">
      <c r="A8293" t="inlineStr">
        <is>
          <t>Portugal</t>
        </is>
      </c>
      <c r="B8293" t="inlineStr">
        <is>
          <t>PRT</t>
        </is>
      </c>
      <c r="C8293" t="n">
        <v>1966</v>
      </c>
      <c r="D8293" t="n">
        <v>5.03926721858183</v>
      </c>
    </row>
    <row r="8294">
      <c r="A8294" t="inlineStr">
        <is>
          <t>Portugal</t>
        </is>
      </c>
      <c r="B8294" t="inlineStr">
        <is>
          <t>PRT</t>
        </is>
      </c>
      <c r="C8294" t="n">
        <v>1967</v>
      </c>
      <c r="D8294" t="n">
        <v>5.52647600753092</v>
      </c>
    </row>
    <row r="8295">
      <c r="A8295" t="inlineStr">
        <is>
          <t>Portugal</t>
        </is>
      </c>
      <c r="B8295" t="inlineStr">
        <is>
          <t>PRT</t>
        </is>
      </c>
      <c r="C8295" t="n">
        <v>1968</v>
      </c>
      <c r="D8295" t="n">
        <v>6.08136171148615</v>
      </c>
    </row>
    <row r="8296">
      <c r="A8296" t="inlineStr">
        <is>
          <t>Portugal</t>
        </is>
      </c>
      <c r="B8296" t="inlineStr">
        <is>
          <t>PRT</t>
        </is>
      </c>
      <c r="C8296" t="n">
        <v>1969</v>
      </c>
      <c r="D8296" t="n">
        <v>8.7827710555412</v>
      </c>
    </row>
    <row r="8297">
      <c r="A8297" t="inlineStr">
        <is>
          <t>Portugal</t>
        </is>
      </c>
      <c r="B8297" t="inlineStr">
        <is>
          <t>PRT</t>
        </is>
      </c>
      <c r="C8297" t="n">
        <v>1970</v>
      </c>
      <c r="D8297" t="n">
        <v>6.38014449001673</v>
      </c>
    </row>
    <row r="8298">
      <c r="A8298" t="inlineStr">
        <is>
          <t>Portugal</t>
        </is>
      </c>
      <c r="B8298" t="inlineStr">
        <is>
          <t>PRT</t>
        </is>
      </c>
      <c r="C8298" t="n">
        <v>1971</v>
      </c>
      <c r="D8298" t="n">
        <v>11.9468983654056</v>
      </c>
    </row>
    <row r="8299">
      <c r="A8299" t="inlineStr">
        <is>
          <t>Portugal</t>
        </is>
      </c>
      <c r="B8299" t="inlineStr">
        <is>
          <t>PRT</t>
        </is>
      </c>
      <c r="C8299" t="n">
        <v>1972</v>
      </c>
      <c r="D8299" t="n">
        <v>10.6633559759477</v>
      </c>
    </row>
    <row r="8300">
      <c r="A8300" t="inlineStr">
        <is>
          <t>Portugal</t>
        </is>
      </c>
      <c r="B8300" t="inlineStr">
        <is>
          <t>PRT</t>
        </is>
      </c>
      <c r="C8300" t="n">
        <v>1973</v>
      </c>
      <c r="D8300" t="n">
        <v>12.9746085239333</v>
      </c>
    </row>
    <row r="8301">
      <c r="A8301" t="inlineStr">
        <is>
          <t>Portugal</t>
        </is>
      </c>
      <c r="B8301" t="inlineStr">
        <is>
          <t>PRT</t>
        </is>
      </c>
      <c r="C8301" t="n">
        <v>1974</v>
      </c>
      <c r="D8301" t="n">
        <v>25.0827778589527</v>
      </c>
    </row>
    <row r="8302">
      <c r="A8302" t="inlineStr">
        <is>
          <t>Portugal</t>
        </is>
      </c>
      <c r="B8302" t="inlineStr">
        <is>
          <t>PRT</t>
        </is>
      </c>
      <c r="C8302" t="n">
        <v>1975</v>
      </c>
      <c r="D8302" t="n">
        <v>15.2716857518483</v>
      </c>
    </row>
    <row r="8303">
      <c r="A8303" t="inlineStr">
        <is>
          <t>Portugal</t>
        </is>
      </c>
      <c r="B8303" t="inlineStr">
        <is>
          <t>PRT</t>
        </is>
      </c>
      <c r="C8303" t="n">
        <v>1976</v>
      </c>
      <c r="D8303" t="n">
        <v>21.1419048031955</v>
      </c>
    </row>
    <row r="8304">
      <c r="A8304" t="inlineStr">
        <is>
          <t>Portugal</t>
        </is>
      </c>
      <c r="B8304" t="inlineStr">
        <is>
          <t>PRT</t>
        </is>
      </c>
      <c r="C8304" t="n">
        <v>1977</v>
      </c>
      <c r="D8304" t="n">
        <v>31.0167490988807</v>
      </c>
    </row>
    <row r="8305">
      <c r="A8305" t="inlineStr">
        <is>
          <t>Portugal</t>
        </is>
      </c>
      <c r="B8305" t="inlineStr">
        <is>
          <t>PRT</t>
        </is>
      </c>
      <c r="C8305" t="n">
        <v>1978</v>
      </c>
      <c r="D8305" t="n">
        <v>21.0387723599382</v>
      </c>
    </row>
    <row r="8306">
      <c r="A8306" t="inlineStr">
        <is>
          <t>Portugal</t>
        </is>
      </c>
      <c r="B8306" t="inlineStr">
        <is>
          <t>PRT</t>
        </is>
      </c>
      <c r="C8306" t="n">
        <v>1979</v>
      </c>
      <c r="D8306" t="n">
        <v>21.8992248062015</v>
      </c>
    </row>
    <row r="8307">
      <c r="A8307" t="inlineStr">
        <is>
          <t>Portugal</t>
        </is>
      </c>
      <c r="B8307" t="inlineStr">
        <is>
          <t>PRT</t>
        </is>
      </c>
      <c r="C8307" t="n">
        <v>1980</v>
      </c>
      <c r="D8307" t="n">
        <v>15.8674803836094</v>
      </c>
    </row>
    <row r="8308">
      <c r="A8308" t="inlineStr">
        <is>
          <t>Portugal</t>
        </is>
      </c>
      <c r="B8308" t="inlineStr">
        <is>
          <t>PRT</t>
        </is>
      </c>
      <c r="C8308" t="n">
        <v>1981</v>
      </c>
      <c r="D8308" t="n">
        <v>19.0404107466915</v>
      </c>
    </row>
    <row r="8309">
      <c r="A8309" t="inlineStr">
        <is>
          <t>Portugal</t>
        </is>
      </c>
      <c r="B8309" t="inlineStr">
        <is>
          <t>PRT</t>
        </is>
      </c>
      <c r="C8309" t="n">
        <v>1982</v>
      </c>
      <c r="D8309" t="n">
        <v>21.6792837277095</v>
      </c>
    </row>
    <row r="8310">
      <c r="A8310" t="inlineStr">
        <is>
          <t>Portugal</t>
        </is>
      </c>
      <c r="B8310" t="inlineStr">
        <is>
          <t>PRT</t>
        </is>
      </c>
      <c r="C8310" t="n">
        <v>1983</v>
      </c>
      <c r="D8310" t="n">
        <v>24.0027623802917</v>
      </c>
    </row>
    <row r="8311">
      <c r="A8311" t="inlineStr">
        <is>
          <t>Portugal</t>
        </is>
      </c>
      <c r="B8311" t="inlineStr">
        <is>
          <t>PRT</t>
        </is>
      </c>
      <c r="C8311" t="n">
        <v>1984</v>
      </c>
      <c r="D8311" t="n">
        <v>28.3846388897103</v>
      </c>
    </row>
    <row r="8312">
      <c r="A8312" t="inlineStr">
        <is>
          <t>Portugal</t>
        </is>
      </c>
      <c r="B8312" t="inlineStr">
        <is>
          <t>PRT</t>
        </is>
      </c>
      <c r="C8312" t="n">
        <v>1985</v>
      </c>
      <c r="D8312" t="n">
        <v>19.4614100078696</v>
      </c>
    </row>
    <row r="8313">
      <c r="A8313" t="inlineStr">
        <is>
          <t>Portugal</t>
        </is>
      </c>
      <c r="B8313" t="inlineStr">
        <is>
          <t>PRT</t>
        </is>
      </c>
      <c r="C8313" t="n">
        <v>1986</v>
      </c>
      <c r="D8313" t="n">
        <v>12.3313334897219</v>
      </c>
    </row>
    <row r="8314">
      <c r="A8314" t="inlineStr">
        <is>
          <t>Portugal</t>
        </is>
      </c>
      <c r="B8314" t="inlineStr">
        <is>
          <t>PRT</t>
        </is>
      </c>
      <c r="C8314" t="n">
        <v>1987</v>
      </c>
      <c r="D8314" t="n">
        <v>9.63483186245753</v>
      </c>
    </row>
    <row r="8315">
      <c r="A8315" t="inlineStr">
        <is>
          <t>Portugal</t>
        </is>
      </c>
      <c r="B8315" t="inlineStr">
        <is>
          <t>PRT</t>
        </is>
      </c>
      <c r="C8315" t="n">
        <v>1988</v>
      </c>
      <c r="D8315" t="n">
        <v>10.1016321152266</v>
      </c>
    </row>
    <row r="8316">
      <c r="A8316" t="inlineStr">
        <is>
          <t>Portugal</t>
        </is>
      </c>
      <c r="B8316" t="inlineStr">
        <is>
          <t>PRT</t>
        </is>
      </c>
      <c r="C8316" t="n">
        <v>1989</v>
      </c>
      <c r="D8316" t="n">
        <v>12.6863036456149</v>
      </c>
    </row>
    <row r="8317">
      <c r="A8317" t="inlineStr">
        <is>
          <t>Portugal</t>
        </is>
      </c>
      <c r="B8317" t="inlineStr">
        <is>
          <t>PRT</t>
        </is>
      </c>
      <c r="C8317" t="n">
        <v>1990</v>
      </c>
      <c r="D8317" t="n">
        <v>13.6305705693074</v>
      </c>
    </row>
    <row r="8318">
      <c r="A8318" t="inlineStr">
        <is>
          <t>Portugal</t>
        </is>
      </c>
      <c r="B8318" t="inlineStr">
        <is>
          <t>PRT</t>
        </is>
      </c>
      <c r="C8318" t="n">
        <v>1991</v>
      </c>
      <c r="D8318" t="n">
        <v>11.8494841773675</v>
      </c>
    </row>
    <row r="8319">
      <c r="A8319" t="inlineStr">
        <is>
          <t>Portugal</t>
        </is>
      </c>
      <c r="B8319" t="inlineStr">
        <is>
          <t>PRT</t>
        </is>
      </c>
      <c r="C8319" t="n">
        <v>1992</v>
      </c>
      <c r="D8319" t="n">
        <v>9.55926033177508</v>
      </c>
    </row>
    <row r="8320">
      <c r="A8320" t="inlineStr">
        <is>
          <t>Portugal</t>
        </is>
      </c>
      <c r="B8320" t="inlineStr">
        <is>
          <t>PRT</t>
        </is>
      </c>
      <c r="C8320" t="n">
        <v>1993</v>
      </c>
      <c r="D8320" t="n">
        <v>6.78377994665407</v>
      </c>
    </row>
    <row r="8321">
      <c r="A8321" t="inlineStr">
        <is>
          <t>Portugal</t>
        </is>
      </c>
      <c r="B8321" t="inlineStr">
        <is>
          <t>PRT</t>
        </is>
      </c>
      <c r="C8321" t="n">
        <v>1994</v>
      </c>
      <c r="D8321" t="n">
        <v>5.42044019241626</v>
      </c>
    </row>
    <row r="8322">
      <c r="A8322" t="inlineStr">
        <is>
          <t>Portugal</t>
        </is>
      </c>
      <c r="B8322" t="inlineStr">
        <is>
          <t>PRT</t>
        </is>
      </c>
      <c r="C8322" t="n">
        <v>1995</v>
      </c>
      <c r="D8322" t="n">
        <v>4.22281614099486</v>
      </c>
    </row>
    <row r="8323">
      <c r="A8323" t="inlineStr">
        <is>
          <t>Portugal</t>
        </is>
      </c>
      <c r="B8323" t="inlineStr">
        <is>
          <t>PRT</t>
        </is>
      </c>
      <c r="C8323" t="n">
        <v>1996</v>
      </c>
      <c r="D8323" t="n">
        <v>3.06897732509789</v>
      </c>
    </row>
    <row r="8324">
      <c r="A8324" t="inlineStr">
        <is>
          <t>Portugal</t>
        </is>
      </c>
      <c r="B8324" t="inlineStr">
        <is>
          <t>PRT</t>
        </is>
      </c>
      <c r="C8324" t="n">
        <v>1997</v>
      </c>
      <c r="D8324" t="n">
        <v>2.33686298314116</v>
      </c>
    </row>
    <row r="8325">
      <c r="A8325" t="inlineStr">
        <is>
          <t>Portugal</t>
        </is>
      </c>
      <c r="B8325" t="inlineStr">
        <is>
          <t>PRT</t>
        </is>
      </c>
      <c r="C8325" t="n">
        <v>1998</v>
      </c>
      <c r="D8325" t="n">
        <v>2.5727522590913</v>
      </c>
    </row>
    <row r="8326">
      <c r="A8326" t="inlineStr">
        <is>
          <t>Portugal</t>
        </is>
      </c>
      <c r="B8326" t="inlineStr">
        <is>
          <t>PRT</t>
        </is>
      </c>
      <c r="C8326" t="n">
        <v>1999</v>
      </c>
      <c r="D8326" t="n">
        <v>2.34009490312169</v>
      </c>
    </row>
    <row r="8327">
      <c r="A8327" t="inlineStr">
        <is>
          <t>Portugal</t>
        </is>
      </c>
      <c r="B8327" t="inlineStr">
        <is>
          <t>PRT</t>
        </is>
      </c>
      <c r="C8327" t="n">
        <v>2000</v>
      </c>
      <c r="D8327" t="n">
        <v>2.85303039287157</v>
      </c>
    </row>
    <row r="8328">
      <c r="A8328" t="inlineStr">
        <is>
          <t>Portugal</t>
        </is>
      </c>
      <c r="B8328" t="inlineStr">
        <is>
          <t>PRT</t>
        </is>
      </c>
      <c r="C8328" t="n">
        <v>2001</v>
      </c>
      <c r="D8328" t="n">
        <v>4.36990330551793</v>
      </c>
    </row>
    <row r="8329">
      <c r="A8329" t="inlineStr">
        <is>
          <t>Portugal</t>
        </is>
      </c>
      <c r="B8329" t="inlineStr">
        <is>
          <t>PRT</t>
        </is>
      </c>
      <c r="C8329" t="n">
        <v>2002</v>
      </c>
      <c r="D8329" t="n">
        <v>3.60034658290914</v>
      </c>
    </row>
    <row r="8330">
      <c r="A8330" t="inlineStr">
        <is>
          <t>Portugal</t>
        </is>
      </c>
      <c r="B8330" t="inlineStr">
        <is>
          <t>PRT</t>
        </is>
      </c>
      <c r="C8330" t="n">
        <v>2003</v>
      </c>
      <c r="D8330" t="n">
        <v>3.21899090682895</v>
      </c>
    </row>
    <row r="8331">
      <c r="A8331" t="inlineStr">
        <is>
          <t>Portugal</t>
        </is>
      </c>
      <c r="B8331" t="inlineStr">
        <is>
          <t>PRT</t>
        </is>
      </c>
      <c r="C8331" t="n">
        <v>2004</v>
      </c>
      <c r="D8331" t="n">
        <v>2.36536204097302</v>
      </c>
    </row>
    <row r="8332">
      <c r="A8332" t="inlineStr">
        <is>
          <t>Portugal</t>
        </is>
      </c>
      <c r="B8332" t="inlineStr">
        <is>
          <t>PRT</t>
        </is>
      </c>
      <c r="C8332" t="n">
        <v>2005</v>
      </c>
      <c r="D8332" t="n">
        <v>2.27716394887834</v>
      </c>
    </row>
    <row r="8333">
      <c r="A8333" t="inlineStr">
        <is>
          <t>Portugal</t>
        </is>
      </c>
      <c r="B8333" t="inlineStr">
        <is>
          <t>PRT</t>
        </is>
      </c>
      <c r="C8333" t="n">
        <v>2006</v>
      </c>
      <c r="D8333" t="n">
        <v>3.1076654587105</v>
      </c>
    </row>
    <row r="8334">
      <c r="A8334" t="inlineStr">
        <is>
          <t>Portugal</t>
        </is>
      </c>
      <c r="B8334" t="inlineStr">
        <is>
          <t>PRT</t>
        </is>
      </c>
      <c r="C8334" t="n">
        <v>2007</v>
      </c>
      <c r="D8334" t="n">
        <v>2.45396528138743</v>
      </c>
    </row>
    <row r="8335">
      <c r="A8335" t="inlineStr">
        <is>
          <t>Portugal</t>
        </is>
      </c>
      <c r="B8335" t="inlineStr">
        <is>
          <t>PRT</t>
        </is>
      </c>
      <c r="C8335" t="n">
        <v>2008</v>
      </c>
      <c r="D8335" t="n">
        <v>2.58850657657959</v>
      </c>
    </row>
    <row r="8336">
      <c r="A8336" t="inlineStr">
        <is>
          <t>Portugal</t>
        </is>
      </c>
      <c r="B8336" t="inlineStr">
        <is>
          <t>PRT</t>
        </is>
      </c>
      <c r="C8336" t="n">
        <v>2009</v>
      </c>
      <c r="D8336" t="n">
        <v>-0.835530021504157</v>
      </c>
    </row>
    <row r="8337">
      <c r="A8337" t="inlineStr">
        <is>
          <t>Portugal</t>
        </is>
      </c>
      <c r="B8337" t="inlineStr">
        <is>
          <t>PRT</t>
        </is>
      </c>
      <c r="C8337" t="n">
        <v>2010</v>
      </c>
      <c r="D8337" t="n">
        <v>1.40257289895369</v>
      </c>
    </row>
    <row r="8338">
      <c r="A8338" t="inlineStr">
        <is>
          <t>Portugal</t>
        </is>
      </c>
      <c r="B8338" t="inlineStr">
        <is>
          <t>PRT</t>
        </is>
      </c>
      <c r="C8338" t="n">
        <v>2011</v>
      </c>
      <c r="D8338" t="n">
        <v>3.65301100430724</v>
      </c>
    </row>
    <row r="8339">
      <c r="A8339" t="inlineStr">
        <is>
          <t>Portugal</t>
        </is>
      </c>
      <c r="B8339" t="inlineStr">
        <is>
          <t>PRT</t>
        </is>
      </c>
      <c r="C8339" t="n">
        <v>2012</v>
      </c>
      <c r="D8339" t="n">
        <v>2.77333854051586</v>
      </c>
    </row>
    <row r="8340">
      <c r="A8340" t="inlineStr">
        <is>
          <t>Portugal</t>
        </is>
      </c>
      <c r="B8340" t="inlineStr">
        <is>
          <t>PRT</t>
        </is>
      </c>
      <c r="C8340" t="n">
        <v>2013</v>
      </c>
      <c r="D8340" t="n">
        <v>0.274416666666663</v>
      </c>
    </row>
    <row r="8341">
      <c r="A8341" t="inlineStr">
        <is>
          <t>Portugal</t>
        </is>
      </c>
      <c r="B8341" t="inlineStr">
        <is>
          <t>PRT</t>
        </is>
      </c>
      <c r="C8341" t="n">
        <v>2014</v>
      </c>
      <c r="D8341" t="n">
        <v>-0.278153367467428</v>
      </c>
    </row>
    <row r="8342">
      <c r="A8342" t="inlineStr">
        <is>
          <t>Portugal</t>
        </is>
      </c>
      <c r="B8342" t="inlineStr">
        <is>
          <t>PRT</t>
        </is>
      </c>
      <c r="C8342" t="n">
        <v>2015</v>
      </c>
      <c r="D8342" t="n">
        <v>0.48793862390472</v>
      </c>
    </row>
    <row r="8343">
      <c r="A8343" t="inlineStr">
        <is>
          <t>Portugal</t>
        </is>
      </c>
      <c r="B8343" t="inlineStr">
        <is>
          <t>PRT</t>
        </is>
      </c>
      <c r="C8343" t="n">
        <v>2016</v>
      </c>
      <c r="D8343" t="n">
        <v>0.607397074641719</v>
      </c>
    </row>
    <row r="8344">
      <c r="A8344" t="inlineStr">
        <is>
          <t>Portugal</t>
        </is>
      </c>
      <c r="B8344" t="inlineStr">
        <is>
          <t>PRT</t>
        </is>
      </c>
      <c r="C8344" t="n">
        <v>2017</v>
      </c>
      <c r="D8344" t="n">
        <v>1.36861411643472</v>
      </c>
    </row>
    <row r="8345">
      <c r="A8345" t="inlineStr">
        <is>
          <t>Portugal</t>
        </is>
      </c>
      <c r="B8345" t="inlineStr">
        <is>
          <t>PRT</t>
        </is>
      </c>
      <c r="C8345" t="n">
        <v>2018</v>
      </c>
      <c r="D8345" t="n">
        <v>0.9937156834683259</v>
      </c>
    </row>
    <row r="8346">
      <c r="A8346" t="inlineStr">
        <is>
          <t>Portugal</t>
        </is>
      </c>
      <c r="B8346" t="inlineStr">
        <is>
          <t>PRT</t>
        </is>
      </c>
      <c r="C8346" t="n">
        <v>2019</v>
      </c>
      <c r="D8346" t="n">
        <v>0.338178410046034</v>
      </c>
    </row>
    <row r="8347">
      <c r="A8347" t="inlineStr">
        <is>
          <t>Portugal</t>
        </is>
      </c>
      <c r="B8347" t="inlineStr">
        <is>
          <t>PRT</t>
        </is>
      </c>
      <c r="C8347" t="n">
        <v>2020</v>
      </c>
      <c r="D8347" t="n">
        <v>-0.0124383299575305</v>
      </c>
    </row>
    <row r="8348">
      <c r="A8348" t="inlineStr">
        <is>
          <t>Portugal</t>
        </is>
      </c>
      <c r="B8348" t="inlineStr">
        <is>
          <t>PRT</t>
        </is>
      </c>
      <c r="C8348" t="n">
        <v>2021</v>
      </c>
      <c r="D8348" t="n">
        <v>1.26565719069044</v>
      </c>
    </row>
    <row r="8349">
      <c r="A8349" t="inlineStr">
        <is>
          <t>Portugal</t>
        </is>
      </c>
      <c r="B8349" t="inlineStr">
        <is>
          <t>PRT</t>
        </is>
      </c>
      <c r="C8349" t="n">
        <v>2022</v>
      </c>
      <c r="D8349" t="n">
        <v>7.83269124233323</v>
      </c>
    </row>
    <row r="8350">
      <c r="A8350" t="inlineStr">
        <is>
          <t>Portugal</t>
        </is>
      </c>
      <c r="B8350" t="inlineStr">
        <is>
          <t>PRT</t>
        </is>
      </c>
      <c r="C8350" t="n">
        <v>2023</v>
      </c>
      <c r="D8350" t="n">
        <v>4.31128191898672</v>
      </c>
    </row>
    <row r="8351">
      <c r="A8351" t="inlineStr">
        <is>
          <t>Portugal</t>
        </is>
      </c>
      <c r="B8351" t="inlineStr">
        <is>
          <t>PRT</t>
        </is>
      </c>
      <c r="C8351" t="n">
        <v>2024</v>
      </c>
      <c r="D8351" t="n">
        <v>2.41613187791884</v>
      </c>
    </row>
    <row r="8352">
      <c r="A8352" t="inlineStr">
        <is>
          <t>Paraguay</t>
        </is>
      </c>
      <c r="B8352" t="inlineStr">
        <is>
          <t>PRY</t>
        </is>
      </c>
      <c r="C8352" t="n">
        <v>1960</v>
      </c>
      <c r="D8352" t="n">
        <v>8.18181818181802</v>
      </c>
    </row>
    <row r="8353">
      <c r="A8353" t="inlineStr">
        <is>
          <t>Paraguay</t>
        </is>
      </c>
      <c r="B8353" t="inlineStr">
        <is>
          <t>PRY</t>
        </is>
      </c>
      <c r="C8353" t="n">
        <v>1961</v>
      </c>
      <c r="D8353" t="n">
        <v>18.4873949579832</v>
      </c>
    </row>
    <row r="8354">
      <c r="A8354" t="inlineStr">
        <is>
          <t>Paraguay</t>
        </is>
      </c>
      <c r="B8354" t="inlineStr">
        <is>
          <t>PRY</t>
        </is>
      </c>
      <c r="C8354" t="n">
        <v>1962</v>
      </c>
      <c r="D8354" t="n">
        <v>1.41843971631208</v>
      </c>
    </row>
    <row r="8355">
      <c r="A8355" t="inlineStr">
        <is>
          <t>Paraguay</t>
        </is>
      </c>
      <c r="B8355" t="inlineStr">
        <is>
          <t>PRY</t>
        </is>
      </c>
      <c r="C8355" t="n">
        <v>1963</v>
      </c>
      <c r="D8355" t="n">
        <v>2.09790209790211</v>
      </c>
    </row>
    <row r="8356">
      <c r="A8356" t="inlineStr">
        <is>
          <t>Paraguay</t>
        </is>
      </c>
      <c r="B8356" t="inlineStr">
        <is>
          <t>PRY</t>
        </is>
      </c>
      <c r="C8356" t="n">
        <v>1964</v>
      </c>
      <c r="D8356" t="n">
        <v>1.36986301369865</v>
      </c>
    </row>
    <row r="8357">
      <c r="A8357" t="inlineStr">
        <is>
          <t>Paraguay</t>
        </is>
      </c>
      <c r="B8357" t="inlineStr">
        <is>
          <t>PRY</t>
        </is>
      </c>
      <c r="C8357" t="n">
        <v>1965</v>
      </c>
      <c r="D8357" t="n">
        <v>3.8592981578052</v>
      </c>
    </row>
    <row r="8358">
      <c r="A8358" t="inlineStr">
        <is>
          <t>Paraguay</t>
        </is>
      </c>
      <c r="B8358" t="inlineStr">
        <is>
          <t>PRY</t>
        </is>
      </c>
      <c r="C8358" t="n">
        <v>1966</v>
      </c>
      <c r="D8358" t="n">
        <v>2.87319422160326</v>
      </c>
    </row>
    <row r="8359">
      <c r="A8359" t="inlineStr">
        <is>
          <t>Paraguay</t>
        </is>
      </c>
      <c r="B8359" t="inlineStr">
        <is>
          <t>PRY</t>
        </is>
      </c>
      <c r="C8359" t="n">
        <v>1967</v>
      </c>
      <c r="D8359" t="n">
        <v>1.36526759221905</v>
      </c>
    </row>
    <row r="8360">
      <c r="A8360" t="inlineStr">
        <is>
          <t>Paraguay</t>
        </is>
      </c>
      <c r="B8360" t="inlineStr">
        <is>
          <t>PRY</t>
        </is>
      </c>
      <c r="C8360" t="n">
        <v>1968</v>
      </c>
      <c r="D8360" t="n">
        <v>0.708073577854366</v>
      </c>
    </row>
    <row r="8361">
      <c r="A8361" t="inlineStr">
        <is>
          <t>Paraguay</t>
        </is>
      </c>
      <c r="B8361" t="inlineStr">
        <is>
          <t>PRY</t>
        </is>
      </c>
      <c r="C8361" t="n">
        <v>1969</v>
      </c>
      <c r="D8361" t="n">
        <v>2.24684753574717</v>
      </c>
    </row>
    <row r="8362">
      <c r="A8362" t="inlineStr">
        <is>
          <t>Paraguay</t>
        </is>
      </c>
      <c r="B8362" t="inlineStr">
        <is>
          <t>PRY</t>
        </is>
      </c>
      <c r="C8362" t="n">
        <v>1970</v>
      </c>
      <c r="D8362" t="n">
        <v>-0.859556021006909</v>
      </c>
    </row>
    <row r="8363">
      <c r="A8363" t="inlineStr">
        <is>
          <t>Paraguay</t>
        </is>
      </c>
      <c r="B8363" t="inlineStr">
        <is>
          <t>PRY</t>
        </is>
      </c>
      <c r="C8363" t="n">
        <v>1971</v>
      </c>
      <c r="D8363" t="n">
        <v>4.95325693640987</v>
      </c>
    </row>
    <row r="8364">
      <c r="A8364" t="inlineStr">
        <is>
          <t>Paraguay</t>
        </is>
      </c>
      <c r="B8364" t="inlineStr">
        <is>
          <t>PRY</t>
        </is>
      </c>
      <c r="C8364" t="n">
        <v>1972</v>
      </c>
      <c r="D8364" t="n">
        <v>9.18037497303685</v>
      </c>
    </row>
    <row r="8365">
      <c r="A8365" t="inlineStr">
        <is>
          <t>Paraguay</t>
        </is>
      </c>
      <c r="B8365" t="inlineStr">
        <is>
          <t>PRY</t>
        </is>
      </c>
      <c r="C8365" t="n">
        <v>1973</v>
      </c>
      <c r="D8365" t="n">
        <v>12.796894532602</v>
      </c>
    </row>
    <row r="8366">
      <c r="A8366" t="inlineStr">
        <is>
          <t>Paraguay</t>
        </is>
      </c>
      <c r="B8366" t="inlineStr">
        <is>
          <t>PRY</t>
        </is>
      </c>
      <c r="C8366" t="n">
        <v>1974</v>
      </c>
      <c r="D8366" t="n">
        <v>25.2333177791075</v>
      </c>
    </row>
    <row r="8367">
      <c r="A8367" t="inlineStr">
        <is>
          <t>Paraguay</t>
        </is>
      </c>
      <c r="B8367" t="inlineStr">
        <is>
          <t>PRY</t>
        </is>
      </c>
      <c r="C8367" t="n">
        <v>1975</v>
      </c>
      <c r="D8367" t="n">
        <v>6.69306008366748</v>
      </c>
    </row>
    <row r="8368">
      <c r="A8368" t="inlineStr">
        <is>
          <t>Paraguay</t>
        </is>
      </c>
      <c r="B8368" t="inlineStr">
        <is>
          <t>PRY</t>
        </is>
      </c>
      <c r="C8368" t="n">
        <v>1976</v>
      </c>
      <c r="D8368" t="n">
        <v>4.47461474664498</v>
      </c>
    </row>
    <row r="8369">
      <c r="A8369" t="inlineStr">
        <is>
          <t>Paraguay</t>
        </is>
      </c>
      <c r="B8369" t="inlineStr">
        <is>
          <t>PRY</t>
        </is>
      </c>
      <c r="C8369" t="n">
        <v>1977</v>
      </c>
      <c r="D8369" t="n">
        <v>9.35985291662838</v>
      </c>
    </row>
    <row r="8370">
      <c r="A8370" t="inlineStr">
        <is>
          <t>Paraguay</t>
        </is>
      </c>
      <c r="B8370" t="inlineStr">
        <is>
          <t>PRY</t>
        </is>
      </c>
      <c r="C8370" t="n">
        <v>1978</v>
      </c>
      <c r="D8370" t="n">
        <v>10.6602475929181</v>
      </c>
    </row>
    <row r="8371">
      <c r="A8371" t="inlineStr">
        <is>
          <t>Paraguay</t>
        </is>
      </c>
      <c r="B8371" t="inlineStr">
        <is>
          <t>PRY</t>
        </is>
      </c>
      <c r="C8371" t="n">
        <v>1979</v>
      </c>
      <c r="D8371" t="n">
        <v>28.1610386024436</v>
      </c>
    </row>
    <row r="8372">
      <c r="A8372" t="inlineStr">
        <is>
          <t>Paraguay</t>
        </is>
      </c>
      <c r="B8372" t="inlineStr">
        <is>
          <t>PRY</t>
        </is>
      </c>
      <c r="C8372" t="n">
        <v>1980</v>
      </c>
      <c r="D8372" t="n">
        <v>22.4473301362177</v>
      </c>
    </row>
    <row r="8373">
      <c r="A8373" t="inlineStr">
        <is>
          <t>Paraguay</t>
        </is>
      </c>
      <c r="B8373" t="inlineStr">
        <is>
          <t>PRY</t>
        </is>
      </c>
      <c r="C8373" t="n">
        <v>1981</v>
      </c>
      <c r="D8373" t="n">
        <v>12.9746974698193</v>
      </c>
    </row>
    <row r="8374">
      <c r="A8374" t="inlineStr">
        <is>
          <t>Paraguay</t>
        </is>
      </c>
      <c r="B8374" t="inlineStr">
        <is>
          <t>PRY</t>
        </is>
      </c>
      <c r="C8374" t="n">
        <v>1982</v>
      </c>
      <c r="D8374" t="n">
        <v>5.12006543713188</v>
      </c>
    </row>
    <row r="8375">
      <c r="A8375" t="inlineStr">
        <is>
          <t>Paraguay</t>
        </is>
      </c>
      <c r="B8375" t="inlineStr">
        <is>
          <t>PRY</t>
        </is>
      </c>
      <c r="C8375" t="n">
        <v>1983</v>
      </c>
      <c r="D8375" t="n">
        <v>13.4337555631631</v>
      </c>
    </row>
    <row r="8376">
      <c r="A8376" t="inlineStr">
        <is>
          <t>Paraguay</t>
        </is>
      </c>
      <c r="B8376" t="inlineStr">
        <is>
          <t>PRY</t>
        </is>
      </c>
      <c r="C8376" t="n">
        <v>1984</v>
      </c>
      <c r="D8376" t="n">
        <v>20.3114625460255</v>
      </c>
    </row>
    <row r="8377">
      <c r="A8377" t="inlineStr">
        <is>
          <t>Paraguay</t>
        </is>
      </c>
      <c r="B8377" t="inlineStr">
        <is>
          <t>PRY</t>
        </is>
      </c>
      <c r="C8377" t="n">
        <v>1985</v>
      </c>
      <c r="D8377" t="n">
        <v>25.2107164358818</v>
      </c>
    </row>
    <row r="8378">
      <c r="A8378" t="inlineStr">
        <is>
          <t>Paraguay</t>
        </is>
      </c>
      <c r="B8378" t="inlineStr">
        <is>
          <t>PRY</t>
        </is>
      </c>
      <c r="C8378" t="n">
        <v>1986</v>
      </c>
      <c r="D8378" t="n">
        <v>31.7425972672999</v>
      </c>
    </row>
    <row r="8379">
      <c r="A8379" t="inlineStr">
        <is>
          <t>Paraguay</t>
        </is>
      </c>
      <c r="B8379" t="inlineStr">
        <is>
          <t>PRY</t>
        </is>
      </c>
      <c r="C8379" t="n">
        <v>1987</v>
      </c>
      <c r="D8379" t="n">
        <v>21.8102740350983</v>
      </c>
    </row>
    <row r="8380">
      <c r="A8380" t="inlineStr">
        <is>
          <t>Paraguay</t>
        </is>
      </c>
      <c r="B8380" t="inlineStr">
        <is>
          <t>PRY</t>
        </is>
      </c>
      <c r="C8380" t="n">
        <v>1988</v>
      </c>
      <c r="D8380" t="n">
        <v>22.5942571785268</v>
      </c>
    </row>
    <row r="8381">
      <c r="A8381" t="inlineStr">
        <is>
          <t>Paraguay</t>
        </is>
      </c>
      <c r="B8381" t="inlineStr">
        <is>
          <t>PRY</t>
        </is>
      </c>
      <c r="C8381" t="n">
        <v>1989</v>
      </c>
      <c r="D8381" t="n">
        <v>26.4221267235586</v>
      </c>
    </row>
    <row r="8382">
      <c r="A8382" t="inlineStr">
        <is>
          <t>Paraguay</t>
        </is>
      </c>
      <c r="B8382" t="inlineStr">
        <is>
          <t>PRY</t>
        </is>
      </c>
      <c r="C8382" t="n">
        <v>1990</v>
      </c>
      <c r="D8382" t="n">
        <v>37.2599561799201</v>
      </c>
    </row>
    <row r="8383">
      <c r="A8383" t="inlineStr">
        <is>
          <t>Paraguay</t>
        </is>
      </c>
      <c r="B8383" t="inlineStr">
        <is>
          <t>PRY</t>
        </is>
      </c>
      <c r="C8383" t="n">
        <v>1991</v>
      </c>
      <c r="D8383" t="n">
        <v>24.2253521126763</v>
      </c>
    </row>
    <row r="8384">
      <c r="A8384" t="inlineStr">
        <is>
          <t>Paraguay</t>
        </is>
      </c>
      <c r="B8384" t="inlineStr">
        <is>
          <t>PRY</t>
        </is>
      </c>
      <c r="C8384" t="n">
        <v>1992</v>
      </c>
      <c r="D8384" t="n">
        <v>15.192743764172</v>
      </c>
    </row>
    <row r="8385">
      <c r="A8385" t="inlineStr">
        <is>
          <t>Paraguay</t>
        </is>
      </c>
      <c r="B8385" t="inlineStr">
        <is>
          <t>PRY</t>
        </is>
      </c>
      <c r="C8385" t="n">
        <v>1993</v>
      </c>
      <c r="D8385" t="n">
        <v>18.2086614173228</v>
      </c>
    </row>
    <row r="8386">
      <c r="A8386" t="inlineStr">
        <is>
          <t>Paraguay</t>
        </is>
      </c>
      <c r="B8386" t="inlineStr">
        <is>
          <t>PRY</t>
        </is>
      </c>
      <c r="C8386" t="n">
        <v>1994</v>
      </c>
      <c r="D8386" t="n">
        <v>20.5661948376355</v>
      </c>
    </row>
    <row r="8387">
      <c r="A8387" t="inlineStr">
        <is>
          <t>Paraguay</t>
        </is>
      </c>
      <c r="B8387" t="inlineStr">
        <is>
          <t>PRY</t>
        </is>
      </c>
      <c r="C8387" t="n">
        <v>1995</v>
      </c>
      <c r="D8387" t="n">
        <v>13.4254143646407</v>
      </c>
    </row>
    <row r="8388">
      <c r="A8388" t="inlineStr">
        <is>
          <t>Paraguay</t>
        </is>
      </c>
      <c r="B8388" t="inlineStr">
        <is>
          <t>PRY</t>
        </is>
      </c>
      <c r="C8388" t="n">
        <v>1996</v>
      </c>
      <c r="D8388" t="n">
        <v>9.79968339016083</v>
      </c>
    </row>
    <row r="8389">
      <c r="A8389" t="inlineStr">
        <is>
          <t>Paraguay</t>
        </is>
      </c>
      <c r="B8389" t="inlineStr">
        <is>
          <t>PRY</t>
        </is>
      </c>
      <c r="C8389" t="n">
        <v>1997</v>
      </c>
      <c r="D8389" t="n">
        <v>6.94956608534118</v>
      </c>
    </row>
    <row r="8390">
      <c r="A8390" t="inlineStr">
        <is>
          <t>Paraguay</t>
        </is>
      </c>
      <c r="B8390" t="inlineStr">
        <is>
          <t>PRY</t>
        </is>
      </c>
      <c r="C8390" t="n">
        <v>1998</v>
      </c>
      <c r="D8390" t="n">
        <v>11.5532684355839</v>
      </c>
    </row>
    <row r="8391">
      <c r="A8391" t="inlineStr">
        <is>
          <t>Paraguay</t>
        </is>
      </c>
      <c r="B8391" t="inlineStr">
        <is>
          <t>PRY</t>
        </is>
      </c>
      <c r="C8391" t="n">
        <v>1999</v>
      </c>
      <c r="D8391" t="n">
        <v>6.75226586102725</v>
      </c>
    </row>
    <row r="8392">
      <c r="A8392" t="inlineStr">
        <is>
          <t>Paraguay</t>
        </is>
      </c>
      <c r="B8392" t="inlineStr">
        <is>
          <t>PRY</t>
        </is>
      </c>
      <c r="C8392" t="n">
        <v>2000</v>
      </c>
      <c r="D8392" t="n">
        <v>8.982159767500219</v>
      </c>
    </row>
    <row r="8393">
      <c r="A8393" t="inlineStr">
        <is>
          <t>Paraguay</t>
        </is>
      </c>
      <c r="B8393" t="inlineStr">
        <is>
          <t>PRY</t>
        </is>
      </c>
      <c r="C8393" t="n">
        <v>2001</v>
      </c>
      <c r="D8393" t="n">
        <v>7.26806028584825</v>
      </c>
    </row>
    <row r="8394">
      <c r="A8394" t="inlineStr">
        <is>
          <t>Paraguay</t>
        </is>
      </c>
      <c r="B8394" t="inlineStr">
        <is>
          <t>PRY</t>
        </is>
      </c>
      <c r="C8394" t="n">
        <v>2002</v>
      </c>
      <c r="D8394" t="n">
        <v>10.5102420856612</v>
      </c>
    </row>
    <row r="8395">
      <c r="A8395" t="inlineStr">
        <is>
          <t>Paraguay</t>
        </is>
      </c>
      <c r="B8395" t="inlineStr">
        <is>
          <t>PRY</t>
        </is>
      </c>
      <c r="C8395" t="n">
        <v>2003</v>
      </c>
      <c r="D8395" t="n">
        <v>14.2367970499143</v>
      </c>
    </row>
    <row r="8396">
      <c r="A8396" t="inlineStr">
        <is>
          <t>Paraguay</t>
        </is>
      </c>
      <c r="B8396" t="inlineStr">
        <is>
          <t>PRY</t>
        </is>
      </c>
      <c r="C8396" t="n">
        <v>2004</v>
      </c>
      <c r="D8396" t="n">
        <v>4.32326492967491</v>
      </c>
    </row>
    <row r="8397">
      <c r="A8397" t="inlineStr">
        <is>
          <t>Paraguay</t>
        </is>
      </c>
      <c r="B8397" t="inlineStr">
        <is>
          <t>PRY</t>
        </is>
      </c>
      <c r="C8397" t="n">
        <v>2005</v>
      </c>
      <c r="D8397" t="n">
        <v>6.80738203116377</v>
      </c>
    </row>
    <row r="8398">
      <c r="A8398" t="inlineStr">
        <is>
          <t>Paraguay</t>
        </is>
      </c>
      <c r="B8398" t="inlineStr">
        <is>
          <t>PRY</t>
        </is>
      </c>
      <c r="C8398" t="n">
        <v>2006</v>
      </c>
      <c r="D8398" t="n">
        <v>9.589349411292289</v>
      </c>
    </row>
    <row r="8399">
      <c r="A8399" t="inlineStr">
        <is>
          <t>Paraguay</t>
        </is>
      </c>
      <c r="B8399" t="inlineStr">
        <is>
          <t>PRY</t>
        </is>
      </c>
      <c r="C8399" t="n">
        <v>2007</v>
      </c>
      <c r="D8399" t="n">
        <v>8.13047417698577</v>
      </c>
    </row>
    <row r="8400">
      <c r="A8400" t="inlineStr">
        <is>
          <t>Paraguay</t>
        </is>
      </c>
      <c r="B8400" t="inlineStr">
        <is>
          <t>PRY</t>
        </is>
      </c>
      <c r="C8400" t="n">
        <v>2008</v>
      </c>
      <c r="D8400" t="n">
        <v>10.1547846489023</v>
      </c>
    </row>
    <row r="8401">
      <c r="A8401" t="inlineStr">
        <is>
          <t>Paraguay</t>
        </is>
      </c>
      <c r="B8401" t="inlineStr">
        <is>
          <t>PRY</t>
        </is>
      </c>
      <c r="C8401" t="n">
        <v>2009</v>
      </c>
      <c r="D8401" t="n">
        <v>2.59194673430567</v>
      </c>
    </row>
    <row r="8402">
      <c r="A8402" t="inlineStr">
        <is>
          <t>Paraguay</t>
        </is>
      </c>
      <c r="B8402" t="inlineStr">
        <is>
          <t>PRY</t>
        </is>
      </c>
      <c r="C8402" t="n">
        <v>2010</v>
      </c>
      <c r="D8402" t="n">
        <v>4.65116279069765</v>
      </c>
    </row>
    <row r="8403">
      <c r="A8403" t="inlineStr">
        <is>
          <t>Paraguay</t>
        </is>
      </c>
      <c r="B8403" t="inlineStr">
        <is>
          <t>PRY</t>
        </is>
      </c>
      <c r="C8403" t="n">
        <v>2011</v>
      </c>
      <c r="D8403" t="n">
        <v>8.253968253968299</v>
      </c>
    </row>
    <row r="8404">
      <c r="A8404" t="inlineStr">
        <is>
          <t>Paraguay</t>
        </is>
      </c>
      <c r="B8404" t="inlineStr">
        <is>
          <t>PRY</t>
        </is>
      </c>
      <c r="C8404" t="n">
        <v>2012</v>
      </c>
      <c r="D8404" t="n">
        <v>3.67591897974496</v>
      </c>
    </row>
    <row r="8405">
      <c r="A8405" t="inlineStr">
        <is>
          <t>Paraguay</t>
        </is>
      </c>
      <c r="B8405" t="inlineStr">
        <is>
          <t>PRY</t>
        </is>
      </c>
      <c r="C8405" t="n">
        <v>2013</v>
      </c>
      <c r="D8405" t="n">
        <v>2.68385738718582</v>
      </c>
    </row>
    <row r="8406">
      <c r="A8406" t="inlineStr">
        <is>
          <t>Paraguay</t>
        </is>
      </c>
      <c r="B8406" t="inlineStr">
        <is>
          <t>PRY</t>
        </is>
      </c>
      <c r="C8406" t="n">
        <v>2014</v>
      </c>
      <c r="D8406" t="n">
        <v>5.02882767456766</v>
      </c>
    </row>
    <row r="8407">
      <c r="A8407" t="inlineStr">
        <is>
          <t>Paraguay</t>
        </is>
      </c>
      <c r="B8407" t="inlineStr">
        <is>
          <t>PRY</t>
        </is>
      </c>
      <c r="C8407" t="n">
        <v>2015</v>
      </c>
      <c r="D8407" t="n">
        <v>3.12900274473925</v>
      </c>
    </row>
    <row r="8408">
      <c r="A8408" t="inlineStr">
        <is>
          <t>Paraguay</t>
        </is>
      </c>
      <c r="B8408" t="inlineStr">
        <is>
          <t>PRY</t>
        </is>
      </c>
      <c r="C8408" t="n">
        <v>2016</v>
      </c>
      <c r="D8408" t="n">
        <v>4.08682280577241</v>
      </c>
    </row>
    <row r="8409">
      <c r="A8409" t="inlineStr">
        <is>
          <t>Paraguay</t>
        </is>
      </c>
      <c r="B8409" t="inlineStr">
        <is>
          <t>PRY</t>
        </is>
      </c>
      <c r="C8409" t="n">
        <v>2017</v>
      </c>
      <c r="D8409" t="n">
        <v>3.60247741348943</v>
      </c>
    </row>
    <row r="8410">
      <c r="A8410" t="inlineStr">
        <is>
          <t>Paraguay</t>
        </is>
      </c>
      <c r="B8410" t="inlineStr">
        <is>
          <t>PRY</t>
        </is>
      </c>
      <c r="C8410" t="n">
        <v>2018</v>
      </c>
      <c r="D8410" t="n">
        <v>3.97561015740694</v>
      </c>
    </row>
    <row r="8411">
      <c r="A8411" t="inlineStr">
        <is>
          <t>Paraguay</t>
        </is>
      </c>
      <c r="B8411" t="inlineStr">
        <is>
          <t>PRY</t>
        </is>
      </c>
      <c r="C8411" t="n">
        <v>2019</v>
      </c>
      <c r="D8411" t="n">
        <v>2.75709727562775</v>
      </c>
    </row>
    <row r="8412">
      <c r="A8412" t="inlineStr">
        <is>
          <t>Paraguay</t>
        </is>
      </c>
      <c r="B8412" t="inlineStr">
        <is>
          <t>PRY</t>
        </is>
      </c>
      <c r="C8412" t="n">
        <v>2020</v>
      </c>
      <c r="D8412" t="n">
        <v>1.76751592356698</v>
      </c>
    </row>
    <row r="8413">
      <c r="A8413" t="inlineStr">
        <is>
          <t>Paraguay</t>
        </is>
      </c>
      <c r="B8413" t="inlineStr">
        <is>
          <t>PRY</t>
        </is>
      </c>
      <c r="C8413" t="n">
        <v>2021</v>
      </c>
      <c r="D8413" t="n">
        <v>4.787983101236</v>
      </c>
    </row>
    <row r="8414">
      <c r="A8414" t="inlineStr">
        <is>
          <t>Paraguay</t>
        </is>
      </c>
      <c r="B8414" t="inlineStr">
        <is>
          <t>PRY</t>
        </is>
      </c>
      <c r="C8414" t="n">
        <v>2022</v>
      </c>
      <c r="D8414" t="n">
        <v>9.76556667164402</v>
      </c>
    </row>
    <row r="8415">
      <c r="A8415" t="inlineStr">
        <is>
          <t>Paraguay</t>
        </is>
      </c>
      <c r="B8415" t="inlineStr">
        <is>
          <t>PRY</t>
        </is>
      </c>
      <c r="C8415" t="n">
        <v>2023</v>
      </c>
      <c r="D8415" t="n">
        <v>4.63202285403356</v>
      </c>
    </row>
    <row r="8416">
      <c r="A8416" t="inlineStr">
        <is>
          <t>Paraguay</t>
        </is>
      </c>
      <c r="B8416" t="inlineStr">
        <is>
          <t>PRY</t>
        </is>
      </c>
      <c r="C8416" t="n">
        <v>2024</v>
      </c>
      <c r="D8416" t="n">
        <v>3.83540271728533</v>
      </c>
    </row>
    <row r="8417">
      <c r="A8417" t="inlineStr">
        <is>
          <t>West Bank and Gaza</t>
        </is>
      </c>
      <c r="B8417" t="inlineStr">
        <is>
          <t>PSE</t>
        </is>
      </c>
      <c r="C8417" t="n">
        <v>1997</v>
      </c>
      <c r="D8417" t="n">
        <v>7.08700591205709</v>
      </c>
    </row>
    <row r="8418">
      <c r="A8418" t="inlineStr">
        <is>
          <t>West Bank and Gaza</t>
        </is>
      </c>
      <c r="B8418" t="inlineStr">
        <is>
          <t>PSE</t>
        </is>
      </c>
      <c r="C8418" t="n">
        <v>1998</v>
      </c>
      <c r="D8418" t="n">
        <v>5.57964505838268</v>
      </c>
    </row>
    <row r="8419">
      <c r="A8419" t="inlineStr">
        <is>
          <t>West Bank and Gaza</t>
        </is>
      </c>
      <c r="B8419" t="inlineStr">
        <is>
          <t>PSE</t>
        </is>
      </c>
      <c r="C8419" t="n">
        <v>1999</v>
      </c>
      <c r="D8419" t="n">
        <v>5.54439180368747</v>
      </c>
    </row>
    <row r="8420">
      <c r="A8420" t="inlineStr">
        <is>
          <t>West Bank and Gaza</t>
        </is>
      </c>
      <c r="B8420" t="inlineStr">
        <is>
          <t>PSE</t>
        </is>
      </c>
      <c r="C8420" t="n">
        <v>2000</v>
      </c>
      <c r="D8420" t="n">
        <v>2.79819892435758</v>
      </c>
    </row>
    <row r="8421">
      <c r="A8421" t="inlineStr">
        <is>
          <t>West Bank and Gaza</t>
        </is>
      </c>
      <c r="B8421" t="inlineStr">
        <is>
          <t>PSE</t>
        </is>
      </c>
      <c r="C8421" t="n">
        <v>2001</v>
      </c>
      <c r="D8421" t="n">
        <v>1.22278475878898</v>
      </c>
    </row>
    <row r="8422">
      <c r="A8422" t="inlineStr">
        <is>
          <t>West Bank and Gaza</t>
        </is>
      </c>
      <c r="B8422" t="inlineStr">
        <is>
          <t>PSE</t>
        </is>
      </c>
      <c r="C8422" t="n">
        <v>2002</v>
      </c>
      <c r="D8422" t="n">
        <v>5.70951585976626</v>
      </c>
    </row>
    <row r="8423">
      <c r="A8423" t="inlineStr">
        <is>
          <t>West Bank and Gaza</t>
        </is>
      </c>
      <c r="B8423" t="inlineStr">
        <is>
          <t>PSE</t>
        </is>
      </c>
      <c r="C8423" t="n">
        <v>2003</v>
      </c>
      <c r="D8423" t="n">
        <v>4.40303221730888</v>
      </c>
    </row>
    <row r="8424">
      <c r="A8424" t="inlineStr">
        <is>
          <t>West Bank and Gaza</t>
        </is>
      </c>
      <c r="B8424" t="inlineStr">
        <is>
          <t>PSE</t>
        </is>
      </c>
      <c r="C8424" t="n">
        <v>2004</v>
      </c>
      <c r="D8424" t="n">
        <v>3.00417498638593</v>
      </c>
    </row>
    <row r="8425">
      <c r="A8425" t="inlineStr">
        <is>
          <t>West Bank and Gaza</t>
        </is>
      </c>
      <c r="B8425" t="inlineStr">
        <is>
          <t>PSE</t>
        </is>
      </c>
      <c r="C8425" t="n">
        <v>2005</v>
      </c>
      <c r="D8425" t="n">
        <v>4.10725070715931</v>
      </c>
    </row>
    <row r="8426">
      <c r="A8426" t="inlineStr">
        <is>
          <t>West Bank and Gaza</t>
        </is>
      </c>
      <c r="B8426" t="inlineStr">
        <is>
          <t>PSE</t>
        </is>
      </c>
      <c r="C8426" t="n">
        <v>2006</v>
      </c>
      <c r="D8426" t="n">
        <v>3.84234125624782</v>
      </c>
    </row>
    <row r="8427">
      <c r="A8427" t="inlineStr">
        <is>
          <t>West Bank and Gaza</t>
        </is>
      </c>
      <c r="B8427" t="inlineStr">
        <is>
          <t>PSE</t>
        </is>
      </c>
      <c r="C8427" t="n">
        <v>2007</v>
      </c>
      <c r="D8427" t="n">
        <v>1.85974379351111</v>
      </c>
    </row>
    <row r="8428">
      <c r="A8428" t="inlineStr">
        <is>
          <t>West Bank and Gaza</t>
        </is>
      </c>
      <c r="B8428" t="inlineStr">
        <is>
          <t>PSE</t>
        </is>
      </c>
      <c r="C8428" t="n">
        <v>2008</v>
      </c>
      <c r="D8428" t="n">
        <v>9.88999788691849</v>
      </c>
    </row>
    <row r="8429">
      <c r="A8429" t="inlineStr">
        <is>
          <t>West Bank and Gaza</t>
        </is>
      </c>
      <c r="B8429" t="inlineStr">
        <is>
          <t>PSE</t>
        </is>
      </c>
      <c r="C8429" t="n">
        <v>2009</v>
      </c>
      <c r="D8429" t="n">
        <v>2.75393485083151</v>
      </c>
    </row>
    <row r="8430">
      <c r="A8430" t="inlineStr">
        <is>
          <t>West Bank and Gaza</t>
        </is>
      </c>
      <c r="B8430" t="inlineStr">
        <is>
          <t>PSE</t>
        </is>
      </c>
      <c r="C8430" t="n">
        <v>2010</v>
      </c>
      <c r="D8430" t="n">
        <v>3.74915727597096</v>
      </c>
    </row>
    <row r="8431">
      <c r="A8431" t="inlineStr">
        <is>
          <t>West Bank and Gaza</t>
        </is>
      </c>
      <c r="B8431" t="inlineStr">
        <is>
          <t>PSE</t>
        </is>
      </c>
      <c r="C8431" t="n">
        <v>2011</v>
      </c>
      <c r="D8431" t="n">
        <v>2.8772435849594</v>
      </c>
    </row>
    <row r="8432">
      <c r="A8432" t="inlineStr">
        <is>
          <t>West Bank and Gaza</t>
        </is>
      </c>
      <c r="B8432" t="inlineStr">
        <is>
          <t>PSE</t>
        </is>
      </c>
      <c r="C8432" t="n">
        <v>2012</v>
      </c>
      <c r="D8432" t="n">
        <v>2.77908768282492</v>
      </c>
    </row>
    <row r="8433">
      <c r="A8433" t="inlineStr">
        <is>
          <t>West Bank and Gaza</t>
        </is>
      </c>
      <c r="B8433" t="inlineStr">
        <is>
          <t>PSE</t>
        </is>
      </c>
      <c r="C8433" t="n">
        <v>2013</v>
      </c>
      <c r="D8433" t="n">
        <v>1.72439933626931</v>
      </c>
    </row>
    <row r="8434">
      <c r="A8434" t="inlineStr">
        <is>
          <t>West Bank and Gaza</t>
        </is>
      </c>
      <c r="B8434" t="inlineStr">
        <is>
          <t>PSE</t>
        </is>
      </c>
      <c r="C8434" t="n">
        <v>2014</v>
      </c>
      <c r="D8434" t="n">
        <v>1.73298510037447</v>
      </c>
    </row>
    <row r="8435">
      <c r="A8435" t="inlineStr">
        <is>
          <t>West Bank and Gaza</t>
        </is>
      </c>
      <c r="B8435" t="inlineStr">
        <is>
          <t>PSE</t>
        </is>
      </c>
      <c r="C8435" t="n">
        <v>2015</v>
      </c>
      <c r="D8435" t="n">
        <v>1.43161145810476</v>
      </c>
    </row>
    <row r="8436">
      <c r="A8436" t="inlineStr">
        <is>
          <t>West Bank and Gaza</t>
        </is>
      </c>
      <c r="B8436" t="inlineStr">
        <is>
          <t>PSE</t>
        </is>
      </c>
      <c r="C8436" t="n">
        <v>2016</v>
      </c>
      <c r="D8436" t="n">
        <v>-0.219106604907316</v>
      </c>
    </row>
    <row r="8437">
      <c r="A8437" t="inlineStr">
        <is>
          <t>West Bank and Gaza</t>
        </is>
      </c>
      <c r="B8437" t="inlineStr">
        <is>
          <t>PSE</t>
        </is>
      </c>
      <c r="C8437" t="n">
        <v>2017</v>
      </c>
      <c r="D8437" t="n">
        <v>0.212570934228881</v>
      </c>
    </row>
    <row r="8438">
      <c r="A8438" t="inlineStr">
        <is>
          <t>West Bank and Gaza</t>
        </is>
      </c>
      <c r="B8438" t="inlineStr">
        <is>
          <t>PSE</t>
        </is>
      </c>
      <c r="C8438" t="n">
        <v>2018</v>
      </c>
      <c r="D8438" t="n">
        <v>-0.195107773730735</v>
      </c>
    </row>
    <row r="8439">
      <c r="A8439" t="inlineStr">
        <is>
          <t>West Bank and Gaza</t>
        </is>
      </c>
      <c r="B8439" t="inlineStr">
        <is>
          <t>PSE</t>
        </is>
      </c>
      <c r="C8439" t="n">
        <v>2019</v>
      </c>
      <c r="D8439" t="n">
        <v>1.58018333639455</v>
      </c>
    </row>
    <row r="8440">
      <c r="A8440" t="inlineStr">
        <is>
          <t>West Bank and Gaza</t>
        </is>
      </c>
      <c r="B8440" t="inlineStr">
        <is>
          <t>PSE</t>
        </is>
      </c>
      <c r="C8440" t="n">
        <v>2020</v>
      </c>
      <c r="D8440" t="n">
        <v>-0.735332001092191</v>
      </c>
    </row>
    <row r="8441">
      <c r="A8441" t="inlineStr">
        <is>
          <t>West Bank and Gaza</t>
        </is>
      </c>
      <c r="B8441" t="inlineStr">
        <is>
          <t>PSE</t>
        </is>
      </c>
      <c r="C8441" t="n">
        <v>2021</v>
      </c>
      <c r="D8441" t="n">
        <v>1.23748102831369</v>
      </c>
    </row>
    <row r="8442">
      <c r="A8442" t="inlineStr">
        <is>
          <t>West Bank and Gaza</t>
        </is>
      </c>
      <c r="B8442" t="inlineStr">
        <is>
          <t>PSE</t>
        </is>
      </c>
      <c r="C8442" t="n">
        <v>2022</v>
      </c>
      <c r="D8442" t="n">
        <v>3.74122391852077</v>
      </c>
    </row>
    <row r="8443">
      <c r="A8443" t="inlineStr">
        <is>
          <t>West Bank and Gaza</t>
        </is>
      </c>
      <c r="B8443" t="inlineStr">
        <is>
          <t>PSE</t>
        </is>
      </c>
      <c r="C8443" t="n">
        <v>2023</v>
      </c>
      <c r="D8443" t="n">
        <v>5.87110177678988</v>
      </c>
    </row>
    <row r="8444">
      <c r="A8444" t="inlineStr">
        <is>
          <t>Pacific island small states</t>
        </is>
      </c>
      <c r="B8444" t="inlineStr">
        <is>
          <t>PSS</t>
        </is>
      </c>
      <c r="C8444" t="n">
        <v>2000</v>
      </c>
      <c r="D8444" t="n">
        <v>2.34810327420263</v>
      </c>
    </row>
    <row r="8445">
      <c r="A8445" t="inlineStr">
        <is>
          <t>Pacific island small states</t>
        </is>
      </c>
      <c r="B8445" t="inlineStr">
        <is>
          <t>PSS</t>
        </is>
      </c>
      <c r="C8445" t="n">
        <v>2001</v>
      </c>
      <c r="D8445" t="n">
        <v>4.05547744166415</v>
      </c>
    </row>
    <row r="8446">
      <c r="A8446" t="inlineStr">
        <is>
          <t>Pacific island small states</t>
        </is>
      </c>
      <c r="B8446" t="inlineStr">
        <is>
          <t>PSS</t>
        </is>
      </c>
      <c r="C8446" t="n">
        <v>2002</v>
      </c>
      <c r="D8446" t="n">
        <v>1.96356754199195</v>
      </c>
    </row>
    <row r="8447">
      <c r="A8447" t="inlineStr">
        <is>
          <t>Pacific island small states</t>
        </is>
      </c>
      <c r="B8447" t="inlineStr">
        <is>
          <t>PSS</t>
        </is>
      </c>
      <c r="C8447" t="n">
        <v>2003</v>
      </c>
      <c r="D8447" t="n">
        <v>3.01624129930394</v>
      </c>
    </row>
    <row r="8448">
      <c r="A8448" t="inlineStr">
        <is>
          <t>Pacific island small states</t>
        </is>
      </c>
      <c r="B8448" t="inlineStr">
        <is>
          <t>PSS</t>
        </is>
      </c>
      <c r="C8448" t="n">
        <v>2004</v>
      </c>
      <c r="D8448" t="n">
        <v>4.96407576747217</v>
      </c>
    </row>
    <row r="8449">
      <c r="A8449" t="inlineStr">
        <is>
          <t>Pacific island small states</t>
        </is>
      </c>
      <c r="B8449" t="inlineStr">
        <is>
          <t>PSS</t>
        </is>
      </c>
      <c r="C8449" t="n">
        <v>2005</v>
      </c>
      <c r="D8449" t="n">
        <v>3.9514623522091</v>
      </c>
    </row>
    <row r="8450">
      <c r="A8450" t="inlineStr">
        <is>
          <t>Pacific island small states</t>
        </is>
      </c>
      <c r="B8450" t="inlineStr">
        <is>
          <t>PSS</t>
        </is>
      </c>
      <c r="C8450" t="n">
        <v>2006</v>
      </c>
      <c r="D8450" t="n">
        <v>4.42981143370254</v>
      </c>
    </row>
    <row r="8451">
      <c r="A8451" t="inlineStr">
        <is>
          <t>Pacific island small states</t>
        </is>
      </c>
      <c r="B8451" t="inlineStr">
        <is>
          <t>PSS</t>
        </is>
      </c>
      <c r="C8451" t="n">
        <v>2007</v>
      </c>
      <c r="D8451" t="n">
        <v>4.36959514201881</v>
      </c>
    </row>
    <row r="8452">
      <c r="A8452" t="inlineStr">
        <is>
          <t>Pacific island small states</t>
        </is>
      </c>
      <c r="B8452" t="inlineStr">
        <is>
          <t>PSS</t>
        </is>
      </c>
      <c r="C8452" t="n">
        <v>2008</v>
      </c>
      <c r="D8452" t="n">
        <v>11.0064471756381</v>
      </c>
    </row>
    <row r="8453">
      <c r="A8453" t="inlineStr">
        <is>
          <t>Pacific island small states</t>
        </is>
      </c>
      <c r="B8453" t="inlineStr">
        <is>
          <t>PSS</t>
        </is>
      </c>
      <c r="C8453" t="n">
        <v>2009</v>
      </c>
      <c r="D8453" t="n">
        <v>5.31100954595292</v>
      </c>
    </row>
    <row r="8454">
      <c r="A8454" t="inlineStr">
        <is>
          <t>Pacific island small states</t>
        </is>
      </c>
      <c r="B8454" t="inlineStr">
        <is>
          <t>PSS</t>
        </is>
      </c>
      <c r="C8454" t="n">
        <v>2010</v>
      </c>
      <c r="D8454" t="n">
        <v>2.10244243416258</v>
      </c>
    </row>
    <row r="8455">
      <c r="A8455" t="inlineStr">
        <is>
          <t>Pacific island small states</t>
        </is>
      </c>
      <c r="B8455" t="inlineStr">
        <is>
          <t>PSS</t>
        </is>
      </c>
      <c r="C8455" t="n">
        <v>2011</v>
      </c>
      <c r="D8455" t="n">
        <v>4.87864641704221</v>
      </c>
    </row>
    <row r="8456">
      <c r="A8456" t="inlineStr">
        <is>
          <t>Pacific island small states</t>
        </is>
      </c>
      <c r="B8456" t="inlineStr">
        <is>
          <t>PSS</t>
        </is>
      </c>
      <c r="C8456" t="n">
        <v>2012</v>
      </c>
      <c r="D8456" t="n">
        <v>2.0490188352116</v>
      </c>
    </row>
    <row r="8457">
      <c r="A8457" t="inlineStr">
        <is>
          <t>Pacific island small states</t>
        </is>
      </c>
      <c r="B8457" t="inlineStr">
        <is>
          <t>PSS</t>
        </is>
      </c>
      <c r="C8457" t="n">
        <v>2013</v>
      </c>
      <c r="D8457" t="n">
        <v>1.60563054554341</v>
      </c>
    </row>
    <row r="8458">
      <c r="A8458" t="inlineStr">
        <is>
          <t>Pacific island small states</t>
        </is>
      </c>
      <c r="B8458" t="inlineStr">
        <is>
          <t>PSS</t>
        </is>
      </c>
      <c r="C8458" t="n">
        <v>2014</v>
      </c>
      <c r="D8458" t="n">
        <v>1.45142452367373</v>
      </c>
    </row>
    <row r="8459">
      <c r="A8459" t="inlineStr">
        <is>
          <t>Pacific island small states</t>
        </is>
      </c>
      <c r="B8459" t="inlineStr">
        <is>
          <t>PSS</t>
        </is>
      </c>
      <c r="C8459" t="n">
        <v>2015</v>
      </c>
      <c r="D8459" t="n">
        <v>0.6482429392544929</v>
      </c>
    </row>
    <row r="8460">
      <c r="A8460" t="inlineStr">
        <is>
          <t>Pacific island small states</t>
        </is>
      </c>
      <c r="B8460" t="inlineStr">
        <is>
          <t>PSS</t>
        </is>
      </c>
      <c r="C8460" t="n">
        <v>2016</v>
      </c>
      <c r="D8460" t="n">
        <v>1.07339388853343</v>
      </c>
    </row>
    <row r="8461">
      <c r="A8461" t="inlineStr">
        <is>
          <t>Pacific island small states</t>
        </is>
      </c>
      <c r="B8461" t="inlineStr">
        <is>
          <t>PSS</t>
        </is>
      </c>
      <c r="C8461" t="n">
        <v>2017</v>
      </c>
      <c r="D8461" t="n">
        <v>1.58394248575813</v>
      </c>
    </row>
    <row r="8462">
      <c r="A8462" t="inlineStr">
        <is>
          <t>Pacific island small states</t>
        </is>
      </c>
      <c r="B8462" t="inlineStr">
        <is>
          <t>PSS</t>
        </is>
      </c>
      <c r="C8462" t="n">
        <v>2018</v>
      </c>
      <c r="D8462" t="n">
        <v>2.89621932270297</v>
      </c>
    </row>
    <row r="8463">
      <c r="A8463" t="inlineStr">
        <is>
          <t>Pacific island small states</t>
        </is>
      </c>
      <c r="B8463" t="inlineStr">
        <is>
          <t>PSS</t>
        </is>
      </c>
      <c r="C8463" t="n">
        <v>2019</v>
      </c>
      <c r="D8463" t="n">
        <v>1.40719939417027</v>
      </c>
    </row>
    <row r="8464">
      <c r="A8464" t="inlineStr">
        <is>
          <t>Pacific island small states</t>
        </is>
      </c>
      <c r="B8464" t="inlineStr">
        <is>
          <t>PSS</t>
        </is>
      </c>
      <c r="C8464" t="n">
        <v>2020</v>
      </c>
      <c r="D8464" t="n">
        <v>0.386388224517503</v>
      </c>
    </row>
    <row r="8465">
      <c r="A8465" t="inlineStr">
        <is>
          <t>Pacific island small states</t>
        </is>
      </c>
      <c r="B8465" t="inlineStr">
        <is>
          <t>PSS</t>
        </is>
      </c>
      <c r="C8465" t="n">
        <v>2021</v>
      </c>
      <c r="D8465" t="n">
        <v>2.47788271992717</v>
      </c>
    </row>
    <row r="8466">
      <c r="A8466" t="inlineStr">
        <is>
          <t>Pacific island small states</t>
        </is>
      </c>
      <c r="B8466" t="inlineStr">
        <is>
          <t>PSS</t>
        </is>
      </c>
      <c r="C8466" t="n">
        <v>2022</v>
      </c>
      <c r="D8466" t="n">
        <v>6.09871755232029</v>
      </c>
    </row>
    <row r="8467">
      <c r="A8467" t="inlineStr">
        <is>
          <t>Pacific island small states</t>
        </is>
      </c>
      <c r="B8467" t="inlineStr">
        <is>
          <t>PSS</t>
        </is>
      </c>
      <c r="C8467" t="n">
        <v>2023</v>
      </c>
      <c r="D8467" t="n">
        <v>7.92164684826777</v>
      </c>
    </row>
    <row r="8468">
      <c r="A8468" t="inlineStr">
        <is>
          <t>Post-demographic dividend</t>
        </is>
      </c>
      <c r="B8468" t="inlineStr">
        <is>
          <t>PST</t>
        </is>
      </c>
      <c r="C8468" t="n">
        <v>1960</v>
      </c>
      <c r="D8468" t="n">
        <v>1.53661234295201</v>
      </c>
    </row>
    <row r="8469">
      <c r="A8469" t="inlineStr">
        <is>
          <t>Post-demographic dividend</t>
        </is>
      </c>
      <c r="B8469" t="inlineStr">
        <is>
          <t>PST</t>
        </is>
      </c>
      <c r="C8469" t="n">
        <v>1961</v>
      </c>
      <c r="D8469" t="n">
        <v>2.07713833137861</v>
      </c>
    </row>
    <row r="8470">
      <c r="A8470" t="inlineStr">
        <is>
          <t>Post-demographic dividend</t>
        </is>
      </c>
      <c r="B8470" t="inlineStr">
        <is>
          <t>PST</t>
        </is>
      </c>
      <c r="C8470" t="n">
        <v>1962</v>
      </c>
      <c r="D8470" t="n">
        <v>3.51988454018806</v>
      </c>
    </row>
    <row r="8471">
      <c r="A8471" t="inlineStr">
        <is>
          <t>Post-demographic dividend</t>
        </is>
      </c>
      <c r="B8471" t="inlineStr">
        <is>
          <t>PST</t>
        </is>
      </c>
      <c r="C8471" t="n">
        <v>1963</v>
      </c>
      <c r="D8471" t="n">
        <v>2.87403140349219</v>
      </c>
    </row>
    <row r="8472">
      <c r="A8472" t="inlineStr">
        <is>
          <t>Post-demographic dividend</t>
        </is>
      </c>
      <c r="B8472" t="inlineStr">
        <is>
          <t>PST</t>
        </is>
      </c>
      <c r="C8472" t="n">
        <v>1964</v>
      </c>
      <c r="D8472" t="n">
        <v>3.33462462892781</v>
      </c>
    </row>
    <row r="8473">
      <c r="A8473" t="inlineStr">
        <is>
          <t>Post-demographic dividend</t>
        </is>
      </c>
      <c r="B8473" t="inlineStr">
        <is>
          <t>PST</t>
        </is>
      </c>
      <c r="C8473" t="n">
        <v>1965</v>
      </c>
      <c r="D8473" t="n">
        <v>3.66648280262594</v>
      </c>
    </row>
    <row r="8474">
      <c r="A8474" t="inlineStr">
        <is>
          <t>Post-demographic dividend</t>
        </is>
      </c>
      <c r="B8474" t="inlineStr">
        <is>
          <t>PST</t>
        </is>
      </c>
      <c r="C8474" t="n">
        <v>1966</v>
      </c>
      <c r="D8474" t="n">
        <v>3.84465654349889</v>
      </c>
    </row>
    <row r="8475">
      <c r="A8475" t="inlineStr">
        <is>
          <t>Post-demographic dividend</t>
        </is>
      </c>
      <c r="B8475" t="inlineStr">
        <is>
          <t>PST</t>
        </is>
      </c>
      <c r="C8475" t="n">
        <v>1967</v>
      </c>
      <c r="D8475" t="n">
        <v>3.63487515335757</v>
      </c>
    </row>
    <row r="8476">
      <c r="A8476" t="inlineStr">
        <is>
          <t>Post-demographic dividend</t>
        </is>
      </c>
      <c r="B8476" t="inlineStr">
        <is>
          <t>PST</t>
        </is>
      </c>
      <c r="C8476" t="n">
        <v>1968</v>
      </c>
      <c r="D8476" t="n">
        <v>3.72079328019141</v>
      </c>
    </row>
    <row r="8477">
      <c r="A8477" t="inlineStr">
        <is>
          <t>Post-demographic dividend</t>
        </is>
      </c>
      <c r="B8477" t="inlineStr">
        <is>
          <t>PST</t>
        </is>
      </c>
      <c r="C8477" t="n">
        <v>1969</v>
      </c>
      <c r="D8477" t="n">
        <v>3.27868852459016</v>
      </c>
    </row>
    <row r="8478">
      <c r="A8478" t="inlineStr">
        <is>
          <t>Post-demographic dividend</t>
        </is>
      </c>
      <c r="B8478" t="inlineStr">
        <is>
          <t>PST</t>
        </is>
      </c>
      <c r="C8478" t="n">
        <v>1970</v>
      </c>
      <c r="D8478" t="n">
        <v>4.96831987329335</v>
      </c>
    </row>
    <row r="8479">
      <c r="A8479" t="inlineStr">
        <is>
          <t>Post-demographic dividend</t>
        </is>
      </c>
      <c r="B8479" t="inlineStr">
        <is>
          <t>PST</t>
        </is>
      </c>
      <c r="C8479" t="n">
        <v>1971</v>
      </c>
      <c r="D8479" t="n">
        <v>6.13810741687984</v>
      </c>
    </row>
    <row r="8480">
      <c r="A8480" t="inlineStr">
        <is>
          <t>Post-demographic dividend</t>
        </is>
      </c>
      <c r="B8480" t="inlineStr">
        <is>
          <t>PST</t>
        </is>
      </c>
      <c r="C8480" t="n">
        <v>1972</v>
      </c>
      <c r="D8480" t="n">
        <v>6.06300309718187</v>
      </c>
    </row>
    <row r="8481">
      <c r="A8481" t="inlineStr">
        <is>
          <t>Post-demographic dividend</t>
        </is>
      </c>
      <c r="B8481" t="inlineStr">
        <is>
          <t>PST</t>
        </is>
      </c>
      <c r="C8481" t="n">
        <v>1973</v>
      </c>
      <c r="D8481" t="n">
        <v>8.094439616027969</v>
      </c>
    </row>
    <row r="8482">
      <c r="A8482" t="inlineStr">
        <is>
          <t>Post-demographic dividend</t>
        </is>
      </c>
      <c r="B8482" t="inlineStr">
        <is>
          <t>PST</t>
        </is>
      </c>
      <c r="C8482" t="n">
        <v>1974</v>
      </c>
      <c r="D8482" t="n">
        <v>13.1636026120796</v>
      </c>
    </row>
    <row r="8483">
      <c r="A8483" t="inlineStr">
        <is>
          <t>Post-demographic dividend</t>
        </is>
      </c>
      <c r="B8483" t="inlineStr">
        <is>
          <t>PST</t>
        </is>
      </c>
      <c r="C8483" t="n">
        <v>1975</v>
      </c>
      <c r="D8483" t="n">
        <v>11.6875753655041</v>
      </c>
    </row>
    <row r="8484">
      <c r="A8484" t="inlineStr">
        <is>
          <t>Post-demographic dividend</t>
        </is>
      </c>
      <c r="B8484" t="inlineStr">
        <is>
          <t>PST</t>
        </is>
      </c>
      <c r="C8484" t="n">
        <v>1976</v>
      </c>
      <c r="D8484" t="n">
        <v>9.267754575768979</v>
      </c>
    </row>
    <row r="8485">
      <c r="A8485" t="inlineStr">
        <is>
          <t>Post-demographic dividend</t>
        </is>
      </c>
      <c r="B8485" t="inlineStr">
        <is>
          <t>PST</t>
        </is>
      </c>
      <c r="C8485" t="n">
        <v>1977</v>
      </c>
      <c r="D8485" t="n">
        <v>9.29919719175366</v>
      </c>
    </row>
    <row r="8486">
      <c r="A8486" t="inlineStr">
        <is>
          <t>Post-demographic dividend</t>
        </is>
      </c>
      <c r="B8486" t="inlineStr">
        <is>
          <t>PST</t>
        </is>
      </c>
      <c r="C8486" t="n">
        <v>1978</v>
      </c>
      <c r="D8486" t="n">
        <v>8.083298825885301</v>
      </c>
    </row>
    <row r="8487">
      <c r="A8487" t="inlineStr">
        <is>
          <t>Post-demographic dividend</t>
        </is>
      </c>
      <c r="B8487" t="inlineStr">
        <is>
          <t>PST</t>
        </is>
      </c>
      <c r="C8487" t="n">
        <v>1979</v>
      </c>
      <c r="D8487" t="n">
        <v>9.049209594254091</v>
      </c>
    </row>
    <row r="8488">
      <c r="A8488" t="inlineStr">
        <is>
          <t>Post-demographic dividend</t>
        </is>
      </c>
      <c r="B8488" t="inlineStr">
        <is>
          <t>PST</t>
        </is>
      </c>
      <c r="C8488" t="n">
        <v>1980</v>
      </c>
      <c r="D8488" t="n">
        <v>11.9499716626145</v>
      </c>
    </row>
    <row r="8489">
      <c r="A8489" t="inlineStr">
        <is>
          <t>Post-demographic dividend</t>
        </is>
      </c>
      <c r="B8489" t="inlineStr">
        <is>
          <t>PST</t>
        </is>
      </c>
      <c r="C8489" t="n">
        <v>1981</v>
      </c>
      <c r="D8489" t="n">
        <v>11.7673874344181</v>
      </c>
    </row>
    <row r="8490">
      <c r="A8490" t="inlineStr">
        <is>
          <t>Post-demographic dividend</t>
        </is>
      </c>
      <c r="B8490" t="inlineStr">
        <is>
          <t>PST</t>
        </is>
      </c>
      <c r="C8490" t="n">
        <v>1982</v>
      </c>
      <c r="D8490" t="n">
        <v>9.470989320524129</v>
      </c>
    </row>
    <row r="8491">
      <c r="A8491" t="inlineStr">
        <is>
          <t>Post-demographic dividend</t>
        </is>
      </c>
      <c r="B8491" t="inlineStr">
        <is>
          <t>PST</t>
        </is>
      </c>
      <c r="C8491" t="n">
        <v>1983</v>
      </c>
      <c r="D8491" t="n">
        <v>7.31048579668418</v>
      </c>
    </row>
    <row r="8492">
      <c r="A8492" t="inlineStr">
        <is>
          <t>Post-demographic dividend</t>
        </is>
      </c>
      <c r="B8492" t="inlineStr">
        <is>
          <t>PST</t>
        </is>
      </c>
      <c r="C8492" t="n">
        <v>1984</v>
      </c>
      <c r="D8492" t="n">
        <v>6.19476379545977</v>
      </c>
    </row>
    <row r="8493">
      <c r="A8493" t="inlineStr">
        <is>
          <t>Post-demographic dividend</t>
        </is>
      </c>
      <c r="B8493" t="inlineStr">
        <is>
          <t>PST</t>
        </is>
      </c>
      <c r="C8493" t="n">
        <v>1985</v>
      </c>
      <c r="D8493" t="n">
        <v>4.77374272340097</v>
      </c>
    </row>
    <row r="8494">
      <c r="A8494" t="inlineStr">
        <is>
          <t>Post-demographic dividend</t>
        </is>
      </c>
      <c r="B8494" t="inlineStr">
        <is>
          <t>PST</t>
        </is>
      </c>
      <c r="C8494" t="n">
        <v>1986</v>
      </c>
      <c r="D8494" t="n">
        <v>3.1590972945193</v>
      </c>
    </row>
    <row r="8495">
      <c r="A8495" t="inlineStr">
        <is>
          <t>Post-demographic dividend</t>
        </is>
      </c>
      <c r="B8495" t="inlineStr">
        <is>
          <t>PST</t>
        </is>
      </c>
      <c r="C8495" t="n">
        <v>1987</v>
      </c>
      <c r="D8495" t="n">
        <v>4.0665111594411</v>
      </c>
    </row>
    <row r="8496">
      <c r="A8496" t="inlineStr">
        <is>
          <t>Post-demographic dividend</t>
        </is>
      </c>
      <c r="B8496" t="inlineStr">
        <is>
          <t>PST</t>
        </is>
      </c>
      <c r="C8496" t="n">
        <v>1988</v>
      </c>
      <c r="D8496" t="n">
        <v>4.6862018375304</v>
      </c>
    </row>
    <row r="8497">
      <c r="A8497" t="inlineStr">
        <is>
          <t>Post-demographic dividend</t>
        </is>
      </c>
      <c r="B8497" t="inlineStr">
        <is>
          <t>PST</t>
        </is>
      </c>
      <c r="C8497" t="n">
        <v>1989</v>
      </c>
      <c r="D8497" t="n">
        <v>5.7159915513563</v>
      </c>
    </row>
    <row r="8498">
      <c r="A8498" t="inlineStr">
        <is>
          <t>Post-demographic dividend</t>
        </is>
      </c>
      <c r="B8498" t="inlineStr">
        <is>
          <t>PST</t>
        </is>
      </c>
      <c r="C8498" t="n">
        <v>1990</v>
      </c>
      <c r="D8498" t="n">
        <v>6.09844414810204</v>
      </c>
    </row>
    <row r="8499">
      <c r="A8499" t="inlineStr">
        <is>
          <t>Post-demographic dividend</t>
        </is>
      </c>
      <c r="B8499" t="inlineStr">
        <is>
          <t>PST</t>
        </is>
      </c>
      <c r="C8499" t="n">
        <v>1991</v>
      </c>
      <c r="D8499" t="n">
        <v>5.62586408593005</v>
      </c>
    </row>
    <row r="8500">
      <c r="A8500" t="inlineStr">
        <is>
          <t>Post-demographic dividend</t>
        </is>
      </c>
      <c r="B8500" t="inlineStr">
        <is>
          <t>PST</t>
        </is>
      </c>
      <c r="C8500" t="n">
        <v>1992</v>
      </c>
      <c r="D8500" t="n">
        <v>4.03703020778739</v>
      </c>
    </row>
    <row r="8501">
      <c r="A8501" t="inlineStr">
        <is>
          <t>Post-demographic dividend</t>
        </is>
      </c>
      <c r="B8501" t="inlineStr">
        <is>
          <t>PST</t>
        </is>
      </c>
      <c r="C8501" t="n">
        <v>1993</v>
      </c>
      <c r="D8501" t="n">
        <v>4.14481954180488</v>
      </c>
    </row>
    <row r="8502">
      <c r="A8502" t="inlineStr">
        <is>
          <t>Post-demographic dividend</t>
        </is>
      </c>
      <c r="B8502" t="inlineStr">
        <is>
          <t>PST</t>
        </is>
      </c>
      <c r="C8502" t="n">
        <v>1994</v>
      </c>
      <c r="D8502" t="n">
        <v>2.95340936761079</v>
      </c>
    </row>
    <row r="8503">
      <c r="A8503" t="inlineStr">
        <is>
          <t>Post-demographic dividend</t>
        </is>
      </c>
      <c r="B8503" t="inlineStr">
        <is>
          <t>PST</t>
        </is>
      </c>
      <c r="C8503" t="n">
        <v>1995</v>
      </c>
      <c r="D8503" t="n">
        <v>3.75494413677554</v>
      </c>
    </row>
    <row r="8504">
      <c r="A8504" t="inlineStr">
        <is>
          <t>Post-demographic dividend</t>
        </is>
      </c>
      <c r="B8504" t="inlineStr">
        <is>
          <t>PST</t>
        </is>
      </c>
      <c r="C8504" t="n">
        <v>1996</v>
      </c>
      <c r="D8504" t="n">
        <v>2.61538461538461</v>
      </c>
    </row>
    <row r="8505">
      <c r="A8505" t="inlineStr">
        <is>
          <t>Post-demographic dividend</t>
        </is>
      </c>
      <c r="B8505" t="inlineStr">
        <is>
          <t>PST</t>
        </is>
      </c>
      <c r="C8505" t="n">
        <v>1997</v>
      </c>
      <c r="D8505" t="n">
        <v>2.20114313510882</v>
      </c>
    </row>
    <row r="8506">
      <c r="A8506" t="inlineStr">
        <is>
          <t>Post-demographic dividend</t>
        </is>
      </c>
      <c r="B8506" t="inlineStr">
        <is>
          <t>PST</t>
        </is>
      </c>
      <c r="C8506" t="n">
        <v>1998</v>
      </c>
      <c r="D8506" t="n">
        <v>1.8343299990841</v>
      </c>
    </row>
    <row r="8507">
      <c r="A8507" t="inlineStr">
        <is>
          <t>Post-demographic dividend</t>
        </is>
      </c>
      <c r="B8507" t="inlineStr">
        <is>
          <t>PST</t>
        </is>
      </c>
      <c r="C8507" t="n">
        <v>1999</v>
      </c>
      <c r="D8507" t="n">
        <v>1.6117611762866</v>
      </c>
    </row>
    <row r="8508">
      <c r="A8508" t="inlineStr">
        <is>
          <t>Post-demographic dividend</t>
        </is>
      </c>
      <c r="B8508" t="inlineStr">
        <is>
          <t>PST</t>
        </is>
      </c>
      <c r="C8508" t="n">
        <v>2000</v>
      </c>
      <c r="D8508" t="n">
        <v>2.57987611218614</v>
      </c>
    </row>
    <row r="8509">
      <c r="A8509" t="inlineStr">
        <is>
          <t>Post-demographic dividend</t>
        </is>
      </c>
      <c r="B8509" t="inlineStr">
        <is>
          <t>PST</t>
        </is>
      </c>
      <c r="C8509" t="n">
        <v>2001</v>
      </c>
      <c r="D8509" t="n">
        <v>2.65691093929316</v>
      </c>
    </row>
    <row r="8510">
      <c r="A8510" t="inlineStr">
        <is>
          <t>Post-demographic dividend</t>
        </is>
      </c>
      <c r="B8510" t="inlineStr">
        <is>
          <t>PST</t>
        </is>
      </c>
      <c r="C8510" t="n">
        <v>2002</v>
      </c>
      <c r="D8510" t="n">
        <v>1.99874921149352</v>
      </c>
    </row>
    <row r="8511">
      <c r="A8511" t="inlineStr">
        <is>
          <t>Post-demographic dividend</t>
        </is>
      </c>
      <c r="B8511" t="inlineStr">
        <is>
          <t>PST</t>
        </is>
      </c>
      <c r="C8511" t="n">
        <v>2003</v>
      </c>
      <c r="D8511" t="n">
        <v>2.02168542857986</v>
      </c>
    </row>
    <row r="8512">
      <c r="A8512" t="inlineStr">
        <is>
          <t>Post-demographic dividend</t>
        </is>
      </c>
      <c r="B8512" t="inlineStr">
        <is>
          <t>PST</t>
        </is>
      </c>
      <c r="C8512" t="n">
        <v>2004</v>
      </c>
      <c r="D8512" t="n">
        <v>2.07924464636088</v>
      </c>
    </row>
    <row r="8513">
      <c r="A8513" t="inlineStr">
        <is>
          <t>Post-demographic dividend</t>
        </is>
      </c>
      <c r="B8513" t="inlineStr">
        <is>
          <t>PST</t>
        </is>
      </c>
      <c r="C8513" t="n">
        <v>2005</v>
      </c>
      <c r="D8513" t="n">
        <v>2.3753195897788</v>
      </c>
    </row>
    <row r="8514">
      <c r="A8514" t="inlineStr">
        <is>
          <t>Post-demographic dividend</t>
        </is>
      </c>
      <c r="B8514" t="inlineStr">
        <is>
          <t>PST</t>
        </is>
      </c>
      <c r="C8514" t="n">
        <v>2006</v>
      </c>
      <c r="D8514" t="n">
        <v>2.45792444195865</v>
      </c>
    </row>
    <row r="8515">
      <c r="A8515" t="inlineStr">
        <is>
          <t>Post-demographic dividend</t>
        </is>
      </c>
      <c r="B8515" t="inlineStr">
        <is>
          <t>PST</t>
        </is>
      </c>
      <c r="C8515" t="n">
        <v>2007</v>
      </c>
      <c r="D8515" t="n">
        <v>2.32761128891476</v>
      </c>
    </row>
    <row r="8516">
      <c r="A8516" t="inlineStr">
        <is>
          <t>Post-demographic dividend</t>
        </is>
      </c>
      <c r="B8516" t="inlineStr">
        <is>
          <t>PST</t>
        </is>
      </c>
      <c r="C8516" t="n">
        <v>2008</v>
      </c>
      <c r="D8516" t="n">
        <v>4.15279708110293</v>
      </c>
    </row>
    <row r="8517">
      <c r="A8517" t="inlineStr">
        <is>
          <t>Post-demographic dividend</t>
        </is>
      </c>
      <c r="B8517" t="inlineStr">
        <is>
          <t>PST</t>
        </is>
      </c>
      <c r="C8517" t="n">
        <v>2009</v>
      </c>
      <c r="D8517" t="n">
        <v>0.8392622467938869</v>
      </c>
    </row>
    <row r="8518">
      <c r="A8518" t="inlineStr">
        <is>
          <t>Post-demographic dividend</t>
        </is>
      </c>
      <c r="B8518" t="inlineStr">
        <is>
          <t>PST</t>
        </is>
      </c>
      <c r="C8518" t="n">
        <v>2010</v>
      </c>
      <c r="D8518" t="n">
        <v>1.99621236745887</v>
      </c>
    </row>
    <row r="8519">
      <c r="A8519" t="inlineStr">
        <is>
          <t>Post-demographic dividend</t>
        </is>
      </c>
      <c r="B8519" t="inlineStr">
        <is>
          <t>PST</t>
        </is>
      </c>
      <c r="C8519" t="n">
        <v>2011</v>
      </c>
      <c r="D8519" t="n">
        <v>3.3298532335065</v>
      </c>
    </row>
    <row r="8520">
      <c r="A8520" t="inlineStr">
        <is>
          <t>Post-demographic dividend</t>
        </is>
      </c>
      <c r="B8520" t="inlineStr">
        <is>
          <t>PST</t>
        </is>
      </c>
      <c r="C8520" t="n">
        <v>2012</v>
      </c>
      <c r="D8520" t="n">
        <v>2.48567562177015</v>
      </c>
    </row>
    <row r="8521">
      <c r="A8521" t="inlineStr">
        <is>
          <t>Post-demographic dividend</t>
        </is>
      </c>
      <c r="B8521" t="inlineStr">
        <is>
          <t>PST</t>
        </is>
      </c>
      <c r="C8521" t="n">
        <v>2013</v>
      </c>
      <c r="D8521" t="n">
        <v>1.40858109183019</v>
      </c>
    </row>
    <row r="8522">
      <c r="A8522" t="inlineStr">
        <is>
          <t>Post-demographic dividend</t>
        </is>
      </c>
      <c r="B8522" t="inlineStr">
        <is>
          <t>PST</t>
        </is>
      </c>
      <c r="C8522" t="n">
        <v>2014</v>
      </c>
      <c r="D8522" t="n">
        <v>0.906794000434246</v>
      </c>
    </row>
    <row r="8523">
      <c r="A8523" t="inlineStr">
        <is>
          <t>Post-demographic dividend</t>
        </is>
      </c>
      <c r="B8523" t="inlineStr">
        <is>
          <t>PST</t>
        </is>
      </c>
      <c r="C8523" t="n">
        <v>2015</v>
      </c>
      <c r="D8523" t="n">
        <v>0.36804684232536</v>
      </c>
    </row>
    <row r="8524">
      <c r="A8524" t="inlineStr">
        <is>
          <t>Post-demographic dividend</t>
        </is>
      </c>
      <c r="B8524" t="inlineStr">
        <is>
          <t>PST</t>
        </is>
      </c>
      <c r="C8524" t="n">
        <v>2016</v>
      </c>
      <c r="D8524" t="n">
        <v>0.607397074641719</v>
      </c>
    </row>
    <row r="8525">
      <c r="A8525" t="inlineStr">
        <is>
          <t>Post-demographic dividend</t>
        </is>
      </c>
      <c r="B8525" t="inlineStr">
        <is>
          <t>PST</t>
        </is>
      </c>
      <c r="C8525" t="n">
        <v>2017</v>
      </c>
      <c r="D8525" t="n">
        <v>1.73079959118887</v>
      </c>
    </row>
    <row r="8526">
      <c r="A8526" t="inlineStr">
        <is>
          <t>Post-demographic dividend</t>
        </is>
      </c>
      <c r="B8526" t="inlineStr">
        <is>
          <t>PST</t>
        </is>
      </c>
      <c r="C8526" t="n">
        <v>2018</v>
      </c>
      <c r="D8526" t="n">
        <v>1.7386086198818</v>
      </c>
    </row>
    <row r="8527">
      <c r="A8527" t="inlineStr">
        <is>
          <t>Post-demographic dividend</t>
        </is>
      </c>
      <c r="B8527" t="inlineStr">
        <is>
          <t>PST</t>
        </is>
      </c>
      <c r="C8527" t="n">
        <v>2019</v>
      </c>
      <c r="D8527" t="n">
        <v>1.61963190184048</v>
      </c>
    </row>
    <row r="8528">
      <c r="A8528" t="inlineStr">
        <is>
          <t>Post-demographic dividend</t>
        </is>
      </c>
      <c r="B8528" t="inlineStr">
        <is>
          <t>PST</t>
        </is>
      </c>
      <c r="C8528" t="n">
        <v>2020</v>
      </c>
      <c r="D8528" t="n">
        <v>0.632267331911715</v>
      </c>
    </row>
    <row r="8529">
      <c r="A8529" t="inlineStr">
        <is>
          <t>Post-demographic dividend</t>
        </is>
      </c>
      <c r="B8529" t="inlineStr">
        <is>
          <t>PST</t>
        </is>
      </c>
      <c r="C8529" t="n">
        <v>2021</v>
      </c>
      <c r="D8529" t="n">
        <v>2.50835221473776</v>
      </c>
    </row>
    <row r="8530">
      <c r="A8530" t="inlineStr">
        <is>
          <t>Post-demographic dividend</t>
        </is>
      </c>
      <c r="B8530" t="inlineStr">
        <is>
          <t>PST</t>
        </is>
      </c>
      <c r="C8530" t="n">
        <v>2022</v>
      </c>
      <c r="D8530" t="n">
        <v>7.87737003690613</v>
      </c>
    </row>
    <row r="8531">
      <c r="A8531" t="inlineStr">
        <is>
          <t>Post-demographic dividend</t>
        </is>
      </c>
      <c r="B8531" t="inlineStr">
        <is>
          <t>PST</t>
        </is>
      </c>
      <c r="C8531" t="n">
        <v>2023</v>
      </c>
      <c r="D8531" t="n">
        <v>5.09396758978883</v>
      </c>
    </row>
    <row r="8532">
      <c r="A8532" t="inlineStr">
        <is>
          <t>Qatar</t>
        </is>
      </c>
      <c r="B8532" t="inlineStr">
        <is>
          <t>QAT</t>
        </is>
      </c>
      <c r="C8532" t="n">
        <v>1980</v>
      </c>
      <c r="D8532" t="n">
        <v>6.79999999900022</v>
      </c>
    </row>
    <row r="8533">
      <c r="A8533" t="inlineStr">
        <is>
          <t>Qatar</t>
        </is>
      </c>
      <c r="B8533" t="inlineStr">
        <is>
          <t>QAT</t>
        </is>
      </c>
      <c r="C8533" t="n">
        <v>1981</v>
      </c>
      <c r="D8533" t="n">
        <v>8.520599251016201</v>
      </c>
    </row>
    <row r="8534">
      <c r="A8534" t="inlineStr">
        <is>
          <t>Qatar</t>
        </is>
      </c>
      <c r="B8534" t="inlineStr">
        <is>
          <t>QAT</t>
        </is>
      </c>
      <c r="C8534" t="n">
        <v>1982</v>
      </c>
      <c r="D8534" t="n">
        <v>5.69999999999979</v>
      </c>
    </row>
    <row r="8535">
      <c r="A8535" t="inlineStr">
        <is>
          <t>Qatar</t>
        </is>
      </c>
      <c r="B8535" t="inlineStr">
        <is>
          <t>QAT</t>
        </is>
      </c>
      <c r="C8535" t="n">
        <v>1983</v>
      </c>
      <c r="D8535" t="n">
        <v>2.74361400094617</v>
      </c>
    </row>
    <row r="8536">
      <c r="A8536" t="inlineStr">
        <is>
          <t>Qatar</t>
        </is>
      </c>
      <c r="B8536" t="inlineStr">
        <is>
          <t>QAT</t>
        </is>
      </c>
      <c r="C8536" t="n">
        <v>1984</v>
      </c>
      <c r="D8536" t="n">
        <v>1.10497237570068</v>
      </c>
    </row>
    <row r="8537">
      <c r="A8537" t="inlineStr">
        <is>
          <t>Qatar</t>
        </is>
      </c>
      <c r="B8537" t="inlineStr">
        <is>
          <t>QAT</t>
        </is>
      </c>
      <c r="C8537" t="n">
        <v>1985</v>
      </c>
      <c r="D8537" t="n">
        <v>1.91256830693925</v>
      </c>
    </row>
    <row r="8538">
      <c r="A8538" t="inlineStr">
        <is>
          <t>Qatar</t>
        </is>
      </c>
      <c r="B8538" t="inlineStr">
        <is>
          <t>QAT</t>
        </is>
      </c>
      <c r="C8538" t="n">
        <v>1986</v>
      </c>
      <c r="D8538" t="n">
        <v>0.7575757575757091</v>
      </c>
    </row>
    <row r="8539">
      <c r="A8539" t="inlineStr">
        <is>
          <t>Qatar</t>
        </is>
      </c>
      <c r="B8539" t="inlineStr">
        <is>
          <t>QAT</t>
        </is>
      </c>
      <c r="C8539" t="n">
        <v>1987</v>
      </c>
      <c r="D8539" t="n">
        <v>2.6852846401719</v>
      </c>
    </row>
    <row r="8540">
      <c r="A8540" t="inlineStr">
        <is>
          <t>Qatar</t>
        </is>
      </c>
      <c r="B8540" t="inlineStr">
        <is>
          <t>QAT</t>
        </is>
      </c>
      <c r="C8540" t="n">
        <v>1988</v>
      </c>
      <c r="D8540" t="n">
        <v>4.60251046025085</v>
      </c>
    </row>
    <row r="8541">
      <c r="A8541" t="inlineStr">
        <is>
          <t>Qatar</t>
        </is>
      </c>
      <c r="B8541" t="inlineStr">
        <is>
          <t>QAT</t>
        </is>
      </c>
      <c r="C8541" t="n">
        <v>1989</v>
      </c>
      <c r="D8541" t="n">
        <v>3.30000000000015</v>
      </c>
    </row>
    <row r="8542">
      <c r="A8542" t="inlineStr">
        <is>
          <t>Qatar</t>
        </is>
      </c>
      <c r="B8542" t="inlineStr">
        <is>
          <t>QAT</t>
        </is>
      </c>
      <c r="C8542" t="n">
        <v>1990</v>
      </c>
      <c r="D8542" t="n">
        <v>3.0009680542111</v>
      </c>
    </row>
    <row r="8543">
      <c r="A8543" t="inlineStr">
        <is>
          <t>Qatar</t>
        </is>
      </c>
      <c r="B8543" t="inlineStr">
        <is>
          <t>QAT</t>
        </is>
      </c>
      <c r="C8543" t="n">
        <v>1991</v>
      </c>
      <c r="D8543" t="n">
        <v>4.41729323308255</v>
      </c>
    </row>
    <row r="8544">
      <c r="A8544" t="inlineStr">
        <is>
          <t>Qatar</t>
        </is>
      </c>
      <c r="B8544" t="inlineStr">
        <is>
          <t>QAT</t>
        </is>
      </c>
      <c r="C8544" t="n">
        <v>1992</v>
      </c>
      <c r="D8544" t="n">
        <v>3.06030603060311</v>
      </c>
    </row>
    <row r="8545">
      <c r="A8545" t="inlineStr">
        <is>
          <t>Qatar</t>
        </is>
      </c>
      <c r="B8545" t="inlineStr">
        <is>
          <t>QAT</t>
        </is>
      </c>
      <c r="C8545" t="n">
        <v>1993</v>
      </c>
      <c r="D8545" t="n">
        <v>-0.8733624454148</v>
      </c>
    </row>
    <row r="8546">
      <c r="A8546" t="inlineStr">
        <is>
          <t>Qatar</t>
        </is>
      </c>
      <c r="B8546" t="inlineStr">
        <is>
          <t>QAT</t>
        </is>
      </c>
      <c r="C8546" t="n">
        <v>1994</v>
      </c>
      <c r="D8546" t="n">
        <v>1.32158590308376</v>
      </c>
    </row>
    <row r="8547">
      <c r="A8547" t="inlineStr">
        <is>
          <t>Qatar</t>
        </is>
      </c>
      <c r="B8547" t="inlineStr">
        <is>
          <t>QAT</t>
        </is>
      </c>
      <c r="C8547" t="n">
        <v>1995</v>
      </c>
      <c r="D8547" t="n">
        <v>2.9565217391303</v>
      </c>
    </row>
    <row r="8548">
      <c r="A8548" t="inlineStr">
        <is>
          <t>Qatar</t>
        </is>
      </c>
      <c r="B8548" t="inlineStr">
        <is>
          <t>QAT</t>
        </is>
      </c>
      <c r="C8548" t="n">
        <v>1996</v>
      </c>
      <c r="D8548" t="n">
        <v>4.90453460620532</v>
      </c>
    </row>
    <row r="8549">
      <c r="A8549" t="inlineStr">
        <is>
          <t>Qatar</t>
        </is>
      </c>
      <c r="B8549" t="inlineStr">
        <is>
          <t>QAT</t>
        </is>
      </c>
      <c r="C8549" t="n">
        <v>1997</v>
      </c>
      <c r="D8549" t="n">
        <v>4.83448981913322</v>
      </c>
    </row>
    <row r="8550">
      <c r="A8550" t="inlineStr">
        <is>
          <t>Qatar</t>
        </is>
      </c>
      <c r="B8550" t="inlineStr">
        <is>
          <t>QAT</t>
        </is>
      </c>
      <c r="C8550" t="n">
        <v>1998</v>
      </c>
      <c r="D8550" t="n">
        <v>2.9513888888889</v>
      </c>
    </row>
    <row r="8551">
      <c r="A8551" t="inlineStr">
        <is>
          <t>Qatar</t>
        </is>
      </c>
      <c r="B8551" t="inlineStr">
        <is>
          <t>QAT</t>
        </is>
      </c>
      <c r="C8551" t="n">
        <v>1999</v>
      </c>
      <c r="D8551" t="n">
        <v>2.18170320404723</v>
      </c>
    </row>
    <row r="8552">
      <c r="A8552" t="inlineStr">
        <is>
          <t>Qatar</t>
        </is>
      </c>
      <c r="B8552" t="inlineStr">
        <is>
          <t>QAT</t>
        </is>
      </c>
      <c r="C8552" t="n">
        <v>2000</v>
      </c>
      <c r="D8552" t="n">
        <v>1.65033522434232</v>
      </c>
    </row>
    <row r="8553">
      <c r="A8553" t="inlineStr">
        <is>
          <t>Qatar</t>
        </is>
      </c>
      <c r="B8553" t="inlineStr">
        <is>
          <t>QAT</t>
        </is>
      </c>
      <c r="C8553" t="n">
        <v>2001</v>
      </c>
      <c r="D8553" t="n">
        <v>1.47133434804683</v>
      </c>
    </row>
    <row r="8554">
      <c r="A8554" t="inlineStr">
        <is>
          <t>Qatar</t>
        </is>
      </c>
      <c r="B8554" t="inlineStr">
        <is>
          <t>QAT</t>
        </is>
      </c>
      <c r="C8554" t="n">
        <v>2002</v>
      </c>
      <c r="D8554" t="n">
        <v>0.239999999999952</v>
      </c>
    </row>
    <row r="8555">
      <c r="A8555" t="inlineStr">
        <is>
          <t>Qatar</t>
        </is>
      </c>
      <c r="B8555" t="inlineStr">
        <is>
          <t>QAT</t>
        </is>
      </c>
      <c r="C8555" t="n">
        <v>2003</v>
      </c>
      <c r="D8555" t="n">
        <v>2.26456504389469</v>
      </c>
    </row>
    <row r="8556">
      <c r="A8556" t="inlineStr">
        <is>
          <t>Qatar</t>
        </is>
      </c>
      <c r="B8556" t="inlineStr">
        <is>
          <t>QAT</t>
        </is>
      </c>
      <c r="C8556" t="n">
        <v>2004</v>
      </c>
      <c r="D8556" t="n">
        <v>6.79933665008279</v>
      </c>
    </row>
    <row r="8557">
      <c r="A8557" t="inlineStr">
        <is>
          <t>Qatar</t>
        </is>
      </c>
      <c r="B8557" t="inlineStr">
        <is>
          <t>QAT</t>
        </is>
      </c>
      <c r="C8557" t="n">
        <v>2005</v>
      </c>
      <c r="D8557" t="n">
        <v>8.81439532334683</v>
      </c>
    </row>
    <row r="8558">
      <c r="A8558" t="inlineStr">
        <is>
          <t>Qatar</t>
        </is>
      </c>
      <c r="B8558" t="inlineStr">
        <is>
          <t>QAT</t>
        </is>
      </c>
      <c r="C8558" t="n">
        <v>2006</v>
      </c>
      <c r="D8558" t="n">
        <v>11.8358096197431</v>
      </c>
    </row>
    <row r="8559">
      <c r="A8559" t="inlineStr">
        <is>
          <t>Qatar</t>
        </is>
      </c>
      <c r="B8559" t="inlineStr">
        <is>
          <t>QAT</t>
        </is>
      </c>
      <c r="C8559" t="n">
        <v>2007</v>
      </c>
      <c r="D8559" t="n">
        <v>13.7581625759964</v>
      </c>
    </row>
    <row r="8560">
      <c r="A8560" t="inlineStr">
        <is>
          <t>Qatar</t>
        </is>
      </c>
      <c r="B8560" t="inlineStr">
        <is>
          <t>QAT</t>
        </is>
      </c>
      <c r="C8560" t="n">
        <v>2008</v>
      </c>
      <c r="D8560" t="n">
        <v>15.0501451570333</v>
      </c>
    </row>
    <row r="8561">
      <c r="A8561" t="inlineStr">
        <is>
          <t>Qatar</t>
        </is>
      </c>
      <c r="B8561" t="inlineStr">
        <is>
          <t>QAT</t>
        </is>
      </c>
      <c r="C8561" t="n">
        <v>2009</v>
      </c>
      <c r="D8561" t="n">
        <v>-4.86327801622565</v>
      </c>
    </row>
    <row r="8562">
      <c r="A8562" t="inlineStr">
        <is>
          <t>Qatar</t>
        </is>
      </c>
      <c r="B8562" t="inlineStr">
        <is>
          <t>QAT</t>
        </is>
      </c>
      <c r="C8562" t="n">
        <v>2010</v>
      </c>
      <c r="D8562" t="n">
        <v>-2.42525675161714</v>
      </c>
    </row>
    <row r="8563">
      <c r="A8563" t="inlineStr">
        <is>
          <t>Qatar</t>
        </is>
      </c>
      <c r="B8563" t="inlineStr">
        <is>
          <t>QAT</t>
        </is>
      </c>
      <c r="C8563" t="n">
        <v>2011</v>
      </c>
      <c r="D8563" t="n">
        <v>1.13836623529202</v>
      </c>
    </row>
    <row r="8564">
      <c r="A8564" t="inlineStr">
        <is>
          <t>Qatar</t>
        </is>
      </c>
      <c r="B8564" t="inlineStr">
        <is>
          <t>QAT</t>
        </is>
      </c>
      <c r="C8564" t="n">
        <v>2012</v>
      </c>
      <c r="D8564" t="n">
        <v>2.31534853431661</v>
      </c>
    </row>
    <row r="8565">
      <c r="A8565" t="inlineStr">
        <is>
          <t>Qatar</t>
        </is>
      </c>
      <c r="B8565" t="inlineStr">
        <is>
          <t>QAT</t>
        </is>
      </c>
      <c r="C8565" t="n">
        <v>2013</v>
      </c>
      <c r="D8565" t="n">
        <v>3.22197756829293</v>
      </c>
    </row>
    <row r="8566">
      <c r="A8566" t="inlineStr">
        <is>
          <t>Qatar</t>
        </is>
      </c>
      <c r="B8566" t="inlineStr">
        <is>
          <t>QAT</t>
        </is>
      </c>
      <c r="C8566" t="n">
        <v>2014</v>
      </c>
      <c r="D8566" t="n">
        <v>3.34972085659523</v>
      </c>
    </row>
    <row r="8567">
      <c r="A8567" t="inlineStr">
        <is>
          <t>Qatar</t>
        </is>
      </c>
      <c r="B8567" t="inlineStr">
        <is>
          <t>QAT</t>
        </is>
      </c>
      <c r="C8567" t="n">
        <v>2015</v>
      </c>
      <c r="D8567" t="n">
        <v>1.8140772393776</v>
      </c>
    </row>
    <row r="8568">
      <c r="A8568" t="inlineStr">
        <is>
          <t>Qatar</t>
        </is>
      </c>
      <c r="B8568" t="inlineStr">
        <is>
          <t>QAT</t>
        </is>
      </c>
      <c r="C8568" t="n">
        <v>2016</v>
      </c>
      <c r="D8568" t="n">
        <v>2.6765917009819</v>
      </c>
    </row>
    <row r="8569">
      <c r="A8569" t="inlineStr">
        <is>
          <t>Qatar</t>
        </is>
      </c>
      <c r="B8569" t="inlineStr">
        <is>
          <t>QAT</t>
        </is>
      </c>
      <c r="C8569" t="n">
        <v>2017</v>
      </c>
      <c r="D8569" t="n">
        <v>0.394878914083005</v>
      </c>
    </row>
    <row r="8570">
      <c r="A8570" t="inlineStr">
        <is>
          <t>Qatar</t>
        </is>
      </c>
      <c r="B8570" t="inlineStr">
        <is>
          <t>QAT</t>
        </is>
      </c>
      <c r="C8570" t="n">
        <v>2018</v>
      </c>
      <c r="D8570" t="n">
        <v>0.255815382724408</v>
      </c>
    </row>
    <row r="8571">
      <c r="A8571" t="inlineStr">
        <is>
          <t>Qatar</t>
        </is>
      </c>
      <c r="B8571" t="inlineStr">
        <is>
          <t>QAT</t>
        </is>
      </c>
      <c r="C8571" t="n">
        <v>2019</v>
      </c>
      <c r="D8571" t="n">
        <v>-0.666641124861147</v>
      </c>
    </row>
    <row r="8572">
      <c r="A8572" t="inlineStr">
        <is>
          <t>Qatar</t>
        </is>
      </c>
      <c r="B8572" t="inlineStr">
        <is>
          <t>QAT</t>
        </is>
      </c>
      <c r="C8572" t="n">
        <v>2020</v>
      </c>
      <c r="D8572" t="n">
        <v>-2.5403150300476</v>
      </c>
    </row>
    <row r="8573">
      <c r="A8573" t="inlineStr">
        <is>
          <t>Qatar</t>
        </is>
      </c>
      <c r="B8573" t="inlineStr">
        <is>
          <t>QAT</t>
        </is>
      </c>
      <c r="C8573" t="n">
        <v>2021</v>
      </c>
      <c r="D8573" t="n">
        <v>2.30446565742003</v>
      </c>
    </row>
    <row r="8574">
      <c r="A8574" t="inlineStr">
        <is>
          <t>Qatar</t>
        </is>
      </c>
      <c r="B8574" t="inlineStr">
        <is>
          <t>QAT</t>
        </is>
      </c>
      <c r="C8574" t="n">
        <v>2022</v>
      </c>
      <c r="D8574" t="n">
        <v>4.99527553740761</v>
      </c>
    </row>
    <row r="8575">
      <c r="A8575" t="inlineStr">
        <is>
          <t>Qatar</t>
        </is>
      </c>
      <c r="B8575" t="inlineStr">
        <is>
          <t>QAT</t>
        </is>
      </c>
      <c r="C8575" t="n">
        <v>2023</v>
      </c>
      <c r="D8575" t="n">
        <v>3.02764899198902</v>
      </c>
    </row>
    <row r="8576">
      <c r="A8576" t="inlineStr">
        <is>
          <t>Qatar</t>
        </is>
      </c>
      <c r="B8576" t="inlineStr">
        <is>
          <t>QAT</t>
        </is>
      </c>
      <c r="C8576" t="n">
        <v>2024</v>
      </c>
      <c r="D8576" t="n">
        <v>1.26734310292375</v>
      </c>
    </row>
    <row r="8577">
      <c r="A8577" t="inlineStr">
        <is>
          <t>Romania</t>
        </is>
      </c>
      <c r="B8577" t="inlineStr">
        <is>
          <t>ROU</t>
        </is>
      </c>
      <c r="C8577" t="n">
        <v>1991</v>
      </c>
      <c r="D8577" t="n">
        <v>230.622494900178</v>
      </c>
    </row>
    <row r="8578">
      <c r="A8578" t="inlineStr">
        <is>
          <t>Romania</t>
        </is>
      </c>
      <c r="B8578" t="inlineStr">
        <is>
          <t>ROU</t>
        </is>
      </c>
      <c r="C8578" t="n">
        <v>1992</v>
      </c>
      <c r="D8578" t="n">
        <v>211.205587610082</v>
      </c>
    </row>
    <row r="8579">
      <c r="A8579" t="inlineStr">
        <is>
          <t>Romania</t>
        </is>
      </c>
      <c r="B8579" t="inlineStr">
        <is>
          <t>ROU</t>
        </is>
      </c>
      <c r="C8579" t="n">
        <v>1993</v>
      </c>
      <c r="D8579" t="n">
        <v>255.166861826698</v>
      </c>
    </row>
    <row r="8580">
      <c r="A8580" t="inlineStr">
        <is>
          <t>Romania</t>
        </is>
      </c>
      <c r="B8580" t="inlineStr">
        <is>
          <t>ROU</t>
        </is>
      </c>
      <c r="C8580" t="n">
        <v>1994</v>
      </c>
      <c r="D8580" t="n">
        <v>136.759392815441</v>
      </c>
    </row>
    <row r="8581">
      <c r="A8581" t="inlineStr">
        <is>
          <t>Romania</t>
        </is>
      </c>
      <c r="B8581" t="inlineStr">
        <is>
          <t>ROU</t>
        </is>
      </c>
      <c r="C8581" t="n">
        <v>1995</v>
      </c>
      <c r="D8581" t="n">
        <v>32.2424847257597</v>
      </c>
    </row>
    <row r="8582">
      <c r="A8582" t="inlineStr">
        <is>
          <t>Romania</t>
        </is>
      </c>
      <c r="B8582" t="inlineStr">
        <is>
          <t>ROU</t>
        </is>
      </c>
      <c r="C8582" t="n">
        <v>1996</v>
      </c>
      <c r="D8582" t="n">
        <v>38.8293013382852</v>
      </c>
    </row>
    <row r="8583">
      <c r="A8583" t="inlineStr">
        <is>
          <t>Romania</t>
        </is>
      </c>
      <c r="B8583" t="inlineStr">
        <is>
          <t>ROU</t>
        </is>
      </c>
      <c r="C8583" t="n">
        <v>1997</v>
      </c>
      <c r="D8583" t="n">
        <v>154.763480436309</v>
      </c>
    </row>
    <row r="8584">
      <c r="A8584" t="inlineStr">
        <is>
          <t>Romania</t>
        </is>
      </c>
      <c r="B8584" t="inlineStr">
        <is>
          <t>ROU</t>
        </is>
      </c>
      <c r="C8584" t="n">
        <v>1998</v>
      </c>
      <c r="D8584" t="n">
        <v>59.0965827541167</v>
      </c>
    </row>
    <row r="8585">
      <c r="A8585" t="inlineStr">
        <is>
          <t>Romania</t>
        </is>
      </c>
      <c r="B8585" t="inlineStr">
        <is>
          <t>ROU</t>
        </is>
      </c>
      <c r="C8585" t="n">
        <v>1999</v>
      </c>
      <c r="D8585" t="n">
        <v>45.8037811326363</v>
      </c>
    </row>
    <row r="8586">
      <c r="A8586" t="inlineStr">
        <is>
          <t>Romania</t>
        </is>
      </c>
      <c r="B8586" t="inlineStr">
        <is>
          <t>ROU</t>
        </is>
      </c>
      <c r="C8586" t="n">
        <v>2000</v>
      </c>
      <c r="D8586" t="n">
        <v>45.6665940440238</v>
      </c>
    </row>
    <row r="8587">
      <c r="A8587" t="inlineStr">
        <is>
          <t>Romania</t>
        </is>
      </c>
      <c r="B8587" t="inlineStr">
        <is>
          <t>ROU</t>
        </is>
      </c>
      <c r="C8587" t="n">
        <v>2001</v>
      </c>
      <c r="D8587" t="n">
        <v>34.4770123493527</v>
      </c>
    </row>
    <row r="8588">
      <c r="A8588" t="inlineStr">
        <is>
          <t>Romania</t>
        </is>
      </c>
      <c r="B8588" t="inlineStr">
        <is>
          <t>ROU</t>
        </is>
      </c>
      <c r="C8588" t="n">
        <v>2002</v>
      </c>
      <c r="D8588" t="n">
        <v>22.5398862605386</v>
      </c>
    </row>
    <row r="8589">
      <c r="A8589" t="inlineStr">
        <is>
          <t>Romania</t>
        </is>
      </c>
      <c r="B8589" t="inlineStr">
        <is>
          <t>ROU</t>
        </is>
      </c>
      <c r="C8589" t="n">
        <v>2003</v>
      </c>
      <c r="D8589" t="n">
        <v>15.2734889936255</v>
      </c>
    </row>
    <row r="8590">
      <c r="A8590" t="inlineStr">
        <is>
          <t>Romania</t>
        </is>
      </c>
      <c r="B8590" t="inlineStr">
        <is>
          <t>ROU</t>
        </is>
      </c>
      <c r="C8590" t="n">
        <v>2004</v>
      </c>
      <c r="D8590" t="n">
        <v>11.8743635936399</v>
      </c>
    </row>
    <row r="8591">
      <c r="A8591" t="inlineStr">
        <is>
          <t>Romania</t>
        </is>
      </c>
      <c r="B8591" t="inlineStr">
        <is>
          <t>ROU</t>
        </is>
      </c>
      <c r="C8591" t="n">
        <v>2005</v>
      </c>
      <c r="D8591" t="n">
        <v>9.01491283343835</v>
      </c>
    </row>
    <row r="8592">
      <c r="A8592" t="inlineStr">
        <is>
          <t>Romania</t>
        </is>
      </c>
      <c r="B8592" t="inlineStr">
        <is>
          <t>ROU</t>
        </is>
      </c>
      <c r="C8592" t="n">
        <v>2006</v>
      </c>
      <c r="D8592" t="n">
        <v>6.55851412276983</v>
      </c>
    </row>
    <row r="8593">
      <c r="A8593" t="inlineStr">
        <is>
          <t>Romania</t>
        </is>
      </c>
      <c r="B8593" t="inlineStr">
        <is>
          <t>ROU</t>
        </is>
      </c>
      <c r="C8593" t="n">
        <v>2007</v>
      </c>
      <c r="D8593" t="n">
        <v>4.83732928313989</v>
      </c>
    </row>
    <row r="8594">
      <c r="A8594" t="inlineStr">
        <is>
          <t>Romania</t>
        </is>
      </c>
      <c r="B8594" t="inlineStr">
        <is>
          <t>ROU</t>
        </is>
      </c>
      <c r="C8594" t="n">
        <v>2008</v>
      </c>
      <c r="D8594" t="n">
        <v>7.85080255714482</v>
      </c>
    </row>
    <row r="8595">
      <c r="A8595" t="inlineStr">
        <is>
          <t>Romania</t>
        </is>
      </c>
      <c r="B8595" t="inlineStr">
        <is>
          <t>ROU</t>
        </is>
      </c>
      <c r="C8595" t="n">
        <v>2009</v>
      </c>
      <c r="D8595" t="n">
        <v>5.58742004264393</v>
      </c>
    </row>
    <row r="8596">
      <c r="A8596" t="inlineStr">
        <is>
          <t>Romania</t>
        </is>
      </c>
      <c r="B8596" t="inlineStr">
        <is>
          <t>ROU</t>
        </is>
      </c>
      <c r="C8596" t="n">
        <v>2010</v>
      </c>
      <c r="D8596" t="n">
        <v>6.09141668601891</v>
      </c>
    </row>
    <row r="8597">
      <c r="A8597" t="inlineStr">
        <is>
          <t>Romania</t>
        </is>
      </c>
      <c r="B8597" t="inlineStr">
        <is>
          <t>ROU</t>
        </is>
      </c>
      <c r="C8597" t="n">
        <v>2011</v>
      </c>
      <c r="D8597" t="n">
        <v>5.7892532881588</v>
      </c>
    </row>
    <row r="8598">
      <c r="A8598" t="inlineStr">
        <is>
          <t>Romania</t>
        </is>
      </c>
      <c r="B8598" t="inlineStr">
        <is>
          <t>ROU</t>
        </is>
      </c>
      <c r="C8598" t="n">
        <v>2012</v>
      </c>
      <c r="D8598" t="n">
        <v>3.33492267693442</v>
      </c>
    </row>
    <row r="8599">
      <c r="A8599" t="inlineStr">
        <is>
          <t>Romania</t>
        </is>
      </c>
      <c r="B8599" t="inlineStr">
        <is>
          <t>ROU</t>
        </is>
      </c>
      <c r="C8599" t="n">
        <v>2013</v>
      </c>
      <c r="D8599" t="n">
        <v>3.9847123554813</v>
      </c>
    </row>
    <row r="8600">
      <c r="A8600" t="inlineStr">
        <is>
          <t>Romania</t>
        </is>
      </c>
      <c r="B8600" t="inlineStr">
        <is>
          <t>ROU</t>
        </is>
      </c>
      <c r="C8600" t="n">
        <v>2014</v>
      </c>
      <c r="D8600" t="n">
        <v>1.06830987684298</v>
      </c>
    </row>
    <row r="8601">
      <c r="A8601" t="inlineStr">
        <is>
          <t>Romania</t>
        </is>
      </c>
      <c r="B8601" t="inlineStr">
        <is>
          <t>ROU</t>
        </is>
      </c>
      <c r="C8601" t="n">
        <v>2015</v>
      </c>
      <c r="D8601" t="n">
        <v>-0.594156437495203</v>
      </c>
    </row>
    <row r="8602">
      <c r="A8602" t="inlineStr">
        <is>
          <t>Romania</t>
        </is>
      </c>
      <c r="B8602" t="inlineStr">
        <is>
          <t>ROU</t>
        </is>
      </c>
      <c r="C8602" t="n">
        <v>2016</v>
      </c>
      <c r="D8602" t="n">
        <v>-1.54479666813897</v>
      </c>
    </row>
    <row r="8603">
      <c r="A8603" t="inlineStr">
        <is>
          <t>Romania</t>
        </is>
      </c>
      <c r="B8603" t="inlineStr">
        <is>
          <t>ROU</t>
        </is>
      </c>
      <c r="C8603" t="n">
        <v>2017</v>
      </c>
      <c r="D8603" t="n">
        <v>1.3390212110439</v>
      </c>
    </row>
    <row r="8604">
      <c r="A8604" t="inlineStr">
        <is>
          <t>Romania</t>
        </is>
      </c>
      <c r="B8604" t="inlineStr">
        <is>
          <t>ROU</t>
        </is>
      </c>
      <c r="C8604" t="n">
        <v>2018</v>
      </c>
      <c r="D8604" t="n">
        <v>4.62548443137779</v>
      </c>
    </row>
    <row r="8605">
      <c r="A8605" t="inlineStr">
        <is>
          <t>Romania</t>
        </is>
      </c>
      <c r="B8605" t="inlineStr">
        <is>
          <t>ROU</t>
        </is>
      </c>
      <c r="C8605" t="n">
        <v>2019</v>
      </c>
      <c r="D8605" t="n">
        <v>3.82785432599438</v>
      </c>
    </row>
    <row r="8606">
      <c r="A8606" t="inlineStr">
        <is>
          <t>Romania</t>
        </is>
      </c>
      <c r="B8606" t="inlineStr">
        <is>
          <t>ROU</t>
        </is>
      </c>
      <c r="C8606" t="n">
        <v>2020</v>
      </c>
      <c r="D8606" t="n">
        <v>2.63107311184743</v>
      </c>
    </row>
    <row r="8607">
      <c r="A8607" t="inlineStr">
        <is>
          <t>Romania</t>
        </is>
      </c>
      <c r="B8607" t="inlineStr">
        <is>
          <t>ROU</t>
        </is>
      </c>
      <c r="C8607" t="n">
        <v>2021</v>
      </c>
      <c r="D8607" t="n">
        <v>5.05232876096582</v>
      </c>
    </row>
    <row r="8608">
      <c r="A8608" t="inlineStr">
        <is>
          <t>Romania</t>
        </is>
      </c>
      <c r="B8608" t="inlineStr">
        <is>
          <t>ROU</t>
        </is>
      </c>
      <c r="C8608" t="n">
        <v>2022</v>
      </c>
      <c r="D8608" t="n">
        <v>13.7954887432521</v>
      </c>
    </row>
    <row r="8609">
      <c r="A8609" t="inlineStr">
        <is>
          <t>Romania</t>
        </is>
      </c>
      <c r="B8609" t="inlineStr">
        <is>
          <t>ROU</t>
        </is>
      </c>
      <c r="C8609" t="n">
        <v>2023</v>
      </c>
      <c r="D8609" t="n">
        <v>10.3971874764996</v>
      </c>
    </row>
    <row r="8610">
      <c r="A8610" t="inlineStr">
        <is>
          <t>Romania</t>
        </is>
      </c>
      <c r="B8610" t="inlineStr">
        <is>
          <t>ROU</t>
        </is>
      </c>
      <c r="C8610" t="n">
        <v>2024</v>
      </c>
      <c r="D8610" t="n">
        <v>-4.5191101423114</v>
      </c>
    </row>
    <row r="8611">
      <c r="A8611" t="inlineStr">
        <is>
          <t>Russian Federation</t>
        </is>
      </c>
      <c r="B8611" t="inlineStr">
        <is>
          <t>RUS</t>
        </is>
      </c>
      <c r="C8611" t="n">
        <v>1993</v>
      </c>
      <c r="D8611" t="n">
        <v>874.245720380188</v>
      </c>
    </row>
    <row r="8612">
      <c r="A8612" t="inlineStr">
        <is>
          <t>Russian Federation</t>
        </is>
      </c>
      <c r="B8612" t="inlineStr">
        <is>
          <t>RUS</t>
        </is>
      </c>
      <c r="C8612" t="n">
        <v>1994</v>
      </c>
      <c r="D8612" t="n">
        <v>307.722635553193</v>
      </c>
    </row>
    <row r="8613">
      <c r="A8613" t="inlineStr">
        <is>
          <t>Russian Federation</t>
        </is>
      </c>
      <c r="B8613" t="inlineStr">
        <is>
          <t>RUS</t>
        </is>
      </c>
      <c r="C8613" t="n">
        <v>1995</v>
      </c>
      <c r="D8613" t="n">
        <v>197.414268084251</v>
      </c>
    </row>
    <row r="8614">
      <c r="A8614" t="inlineStr">
        <is>
          <t>Russian Federation</t>
        </is>
      </c>
      <c r="B8614" t="inlineStr">
        <is>
          <t>RUS</t>
        </is>
      </c>
      <c r="C8614" t="n">
        <v>1996</v>
      </c>
      <c r="D8614" t="n">
        <v>47.7520122009939</v>
      </c>
    </row>
    <row r="8615">
      <c r="A8615" t="inlineStr">
        <is>
          <t>Russian Federation</t>
        </is>
      </c>
      <c r="B8615" t="inlineStr">
        <is>
          <t>RUS</t>
        </is>
      </c>
      <c r="C8615" t="n">
        <v>1997</v>
      </c>
      <c r="D8615" t="n">
        <v>14.761329268806</v>
      </c>
    </row>
    <row r="8616">
      <c r="A8616" t="inlineStr">
        <is>
          <t>Russian Federation</t>
        </is>
      </c>
      <c r="B8616" t="inlineStr">
        <is>
          <t>RUS</t>
        </is>
      </c>
      <c r="C8616" t="n">
        <v>1998</v>
      </c>
      <c r="D8616" t="n">
        <v>27.6856798076742</v>
      </c>
    </row>
    <row r="8617">
      <c r="A8617" t="inlineStr">
        <is>
          <t>Russian Federation</t>
        </is>
      </c>
      <c r="B8617" t="inlineStr">
        <is>
          <t>RUS</t>
        </is>
      </c>
      <c r="C8617" t="n">
        <v>1999</v>
      </c>
      <c r="D8617" t="n">
        <v>85.7464940960636</v>
      </c>
    </row>
    <row r="8618">
      <c r="A8618" t="inlineStr">
        <is>
          <t>Russian Federation</t>
        </is>
      </c>
      <c r="B8618" t="inlineStr">
        <is>
          <t>RUS</t>
        </is>
      </c>
      <c r="C8618" t="n">
        <v>2000</v>
      </c>
      <c r="D8618" t="n">
        <v>20.7987606558704</v>
      </c>
    </row>
    <row r="8619">
      <c r="A8619" t="inlineStr">
        <is>
          <t>Russian Federation</t>
        </is>
      </c>
      <c r="B8619" t="inlineStr">
        <is>
          <t>RUS</t>
        </is>
      </c>
      <c r="C8619" t="n">
        <v>2001</v>
      </c>
      <c r="D8619" t="n">
        <v>21.4770072117159</v>
      </c>
    </row>
    <row r="8620">
      <c r="A8620" t="inlineStr">
        <is>
          <t>Russian Federation</t>
        </is>
      </c>
      <c r="B8620" t="inlineStr">
        <is>
          <t>RUS</t>
        </is>
      </c>
      <c r="C8620" t="n">
        <v>2002</v>
      </c>
      <c r="D8620" t="n">
        <v>15.7887307914463</v>
      </c>
    </row>
    <row r="8621">
      <c r="A8621" t="inlineStr">
        <is>
          <t>Russian Federation</t>
        </is>
      </c>
      <c r="B8621" t="inlineStr">
        <is>
          <t>RUS</t>
        </is>
      </c>
      <c r="C8621" t="n">
        <v>2003</v>
      </c>
      <c r="D8621" t="n">
        <v>13.6632930228666</v>
      </c>
    </row>
    <row r="8622">
      <c r="A8622" t="inlineStr">
        <is>
          <t>Russian Federation</t>
        </is>
      </c>
      <c r="B8622" t="inlineStr">
        <is>
          <t>RUS</t>
        </is>
      </c>
      <c r="C8622" t="n">
        <v>2004</v>
      </c>
      <c r="D8622" t="n">
        <v>10.8886157326216</v>
      </c>
    </row>
    <row r="8623">
      <c r="A8623" t="inlineStr">
        <is>
          <t>Russian Federation</t>
        </is>
      </c>
      <c r="B8623" t="inlineStr">
        <is>
          <t>RUS</t>
        </is>
      </c>
      <c r="C8623" t="n">
        <v>2005</v>
      </c>
      <c r="D8623" t="n">
        <v>12.6853039507349</v>
      </c>
    </row>
    <row r="8624">
      <c r="A8624" t="inlineStr">
        <is>
          <t>Russian Federation</t>
        </is>
      </c>
      <c r="B8624" t="inlineStr">
        <is>
          <t>RUS</t>
        </is>
      </c>
      <c r="C8624" t="n">
        <v>2006</v>
      </c>
      <c r="D8624" t="n">
        <v>9.66865454789265</v>
      </c>
    </row>
    <row r="8625">
      <c r="A8625" t="inlineStr">
        <is>
          <t>Russian Federation</t>
        </is>
      </c>
      <c r="B8625" t="inlineStr">
        <is>
          <t>RUS</t>
        </is>
      </c>
      <c r="C8625" t="n">
        <v>2007</v>
      </c>
      <c r="D8625" t="n">
        <v>9.00729868861079</v>
      </c>
    </row>
    <row r="8626">
      <c r="A8626" t="inlineStr">
        <is>
          <t>Russian Federation</t>
        </is>
      </c>
      <c r="B8626" t="inlineStr">
        <is>
          <t>RUS</t>
        </is>
      </c>
      <c r="C8626" t="n">
        <v>2008</v>
      </c>
      <c r="D8626" t="n">
        <v>14.1107677840442</v>
      </c>
    </row>
    <row r="8627">
      <c r="A8627" t="inlineStr">
        <is>
          <t>Russian Federation</t>
        </is>
      </c>
      <c r="B8627" t="inlineStr">
        <is>
          <t>RUS</t>
        </is>
      </c>
      <c r="C8627" t="n">
        <v>2009</v>
      </c>
      <c r="D8627" t="n">
        <v>11.6473295764118</v>
      </c>
    </row>
    <row r="8628">
      <c r="A8628" t="inlineStr">
        <is>
          <t>Russian Federation</t>
        </is>
      </c>
      <c r="B8628" t="inlineStr">
        <is>
          <t>RUS</t>
        </is>
      </c>
      <c r="C8628" t="n">
        <v>2010</v>
      </c>
      <c r="D8628" t="n">
        <v>6.84939230255025</v>
      </c>
    </row>
    <row r="8629">
      <c r="A8629" t="inlineStr">
        <is>
          <t>Russian Federation</t>
        </is>
      </c>
      <c r="B8629" t="inlineStr">
        <is>
          <t>RUS</t>
        </is>
      </c>
      <c r="C8629" t="n">
        <v>2011</v>
      </c>
      <c r="D8629" t="n">
        <v>8.440464859325701</v>
      </c>
    </row>
    <row r="8630">
      <c r="A8630" t="inlineStr">
        <is>
          <t>Russian Federation</t>
        </is>
      </c>
      <c r="B8630" t="inlineStr">
        <is>
          <t>RUS</t>
        </is>
      </c>
      <c r="C8630" t="n">
        <v>2012</v>
      </c>
      <c r="D8630" t="n">
        <v>5.07474300799149</v>
      </c>
    </row>
    <row r="8631">
      <c r="A8631" t="inlineStr">
        <is>
          <t>Russian Federation</t>
        </is>
      </c>
      <c r="B8631" t="inlineStr">
        <is>
          <t>RUS</t>
        </is>
      </c>
      <c r="C8631" t="n">
        <v>2013</v>
      </c>
      <c r="D8631" t="n">
        <v>6.75371026220942</v>
      </c>
    </row>
    <row r="8632">
      <c r="A8632" t="inlineStr">
        <is>
          <t>Russian Federation</t>
        </is>
      </c>
      <c r="B8632" t="inlineStr">
        <is>
          <t>RUS</t>
        </is>
      </c>
      <c r="C8632" t="n">
        <v>2014</v>
      </c>
      <c r="D8632" t="n">
        <v>7.82341183865513</v>
      </c>
    </row>
    <row r="8633">
      <c r="A8633" t="inlineStr">
        <is>
          <t>Russian Federation</t>
        </is>
      </c>
      <c r="B8633" t="inlineStr">
        <is>
          <t>RUS</t>
        </is>
      </c>
      <c r="C8633" t="n">
        <v>2015</v>
      </c>
      <c r="D8633" t="n">
        <v>15.5344050528403</v>
      </c>
    </row>
    <row r="8634">
      <c r="A8634" t="inlineStr">
        <is>
          <t>Russian Federation</t>
        </is>
      </c>
      <c r="B8634" t="inlineStr">
        <is>
          <t>RUS</t>
        </is>
      </c>
      <c r="C8634" t="n">
        <v>2016</v>
      </c>
      <c r="D8634" t="n">
        <v>7.04244762954799</v>
      </c>
    </row>
    <row r="8635">
      <c r="A8635" t="inlineStr">
        <is>
          <t>Russian Federation</t>
        </is>
      </c>
      <c r="B8635" t="inlineStr">
        <is>
          <t>RUS</t>
        </is>
      </c>
      <c r="C8635" t="n">
        <v>2017</v>
      </c>
      <c r="D8635" t="n">
        <v>3.68332944412233</v>
      </c>
    </row>
    <row r="8636">
      <c r="A8636" t="inlineStr">
        <is>
          <t>Russian Federation</t>
        </is>
      </c>
      <c r="B8636" t="inlineStr">
        <is>
          <t>RUS</t>
        </is>
      </c>
      <c r="C8636" t="n">
        <v>2018</v>
      </c>
      <c r="D8636" t="n">
        <v>2.87829723647884</v>
      </c>
    </row>
    <row r="8637">
      <c r="A8637" t="inlineStr">
        <is>
          <t>Russian Federation</t>
        </is>
      </c>
      <c r="B8637" t="inlineStr">
        <is>
          <t>RUS</t>
        </is>
      </c>
      <c r="C8637" t="n">
        <v>2019</v>
      </c>
      <c r="D8637" t="n">
        <v>4.47036660760173</v>
      </c>
    </row>
    <row r="8638">
      <c r="A8638" t="inlineStr">
        <is>
          <t>Russian Federation</t>
        </is>
      </c>
      <c r="B8638" t="inlineStr">
        <is>
          <t>RUS</t>
        </is>
      </c>
      <c r="C8638" t="n">
        <v>2020</v>
      </c>
      <c r="D8638" t="n">
        <v>3.38165937237898</v>
      </c>
    </row>
    <row r="8639">
      <c r="A8639" t="inlineStr">
        <is>
          <t>Russian Federation</t>
        </is>
      </c>
      <c r="B8639" t="inlineStr">
        <is>
          <t>RUS</t>
        </is>
      </c>
      <c r="C8639" t="n">
        <v>2021</v>
      </c>
      <c r="D8639" t="n">
        <v>6.69445891957612</v>
      </c>
    </row>
    <row r="8640">
      <c r="A8640" t="inlineStr">
        <is>
          <t>Rwanda</t>
        </is>
      </c>
      <c r="B8640" t="inlineStr">
        <is>
          <t>RWA</t>
        </is>
      </c>
      <c r="C8640" t="n">
        <v>1967</v>
      </c>
      <c r="D8640" t="n">
        <v>1.45292730022852</v>
      </c>
    </row>
    <row r="8641">
      <c r="A8641" t="inlineStr">
        <is>
          <t>Rwanda</t>
        </is>
      </c>
      <c r="B8641" t="inlineStr">
        <is>
          <t>RWA</t>
        </is>
      </c>
      <c r="C8641" t="n">
        <v>1968</v>
      </c>
      <c r="D8641" t="n">
        <v>3.16193697269933</v>
      </c>
    </row>
    <row r="8642">
      <c r="A8642" t="inlineStr">
        <is>
          <t>Rwanda</t>
        </is>
      </c>
      <c r="B8642" t="inlineStr">
        <is>
          <t>RWA</t>
        </is>
      </c>
      <c r="C8642" t="n">
        <v>1969</v>
      </c>
      <c r="D8642" t="n">
        <v>0.484939553317571</v>
      </c>
    </row>
    <row r="8643">
      <c r="A8643" t="inlineStr">
        <is>
          <t>Rwanda</t>
        </is>
      </c>
      <c r="B8643" t="inlineStr">
        <is>
          <t>RWA</t>
        </is>
      </c>
      <c r="C8643" t="n">
        <v>1970</v>
      </c>
      <c r="D8643" t="n">
        <v>0.514885808022463</v>
      </c>
    </row>
    <row r="8644">
      <c r="A8644" t="inlineStr">
        <is>
          <t>Rwanda</t>
        </is>
      </c>
      <c r="B8644" t="inlineStr">
        <is>
          <t>RWA</t>
        </is>
      </c>
      <c r="C8644" t="n">
        <v>1971</v>
      </c>
      <c r="D8644" t="n">
        <v>0.488580074222891</v>
      </c>
    </row>
    <row r="8645">
      <c r="A8645" t="inlineStr">
        <is>
          <t>Rwanda</t>
        </is>
      </c>
      <c r="B8645" t="inlineStr">
        <is>
          <t>RWA</t>
        </is>
      </c>
      <c r="C8645" t="n">
        <v>1972</v>
      </c>
      <c r="D8645" t="n">
        <v>3.092193808935</v>
      </c>
    </row>
    <row r="8646">
      <c r="A8646" t="inlineStr">
        <is>
          <t>Rwanda</t>
        </is>
      </c>
      <c r="B8646" t="inlineStr">
        <is>
          <t>RWA</t>
        </is>
      </c>
      <c r="C8646" t="n">
        <v>1973</v>
      </c>
      <c r="D8646" t="n">
        <v>9.3736740756774</v>
      </c>
    </row>
    <row r="8647">
      <c r="A8647" t="inlineStr">
        <is>
          <t>Rwanda</t>
        </is>
      </c>
      <c r="B8647" t="inlineStr">
        <is>
          <t>RWA</t>
        </is>
      </c>
      <c r="C8647" t="n">
        <v>1974</v>
      </c>
      <c r="D8647" t="n">
        <v>31.0882993654484</v>
      </c>
    </row>
    <row r="8648">
      <c r="A8648" t="inlineStr">
        <is>
          <t>Rwanda</t>
        </is>
      </c>
      <c r="B8648" t="inlineStr">
        <is>
          <t>RWA</t>
        </is>
      </c>
      <c r="C8648" t="n">
        <v>1975</v>
      </c>
      <c r="D8648" t="n">
        <v>30.2260465749065</v>
      </c>
    </row>
    <row r="8649">
      <c r="A8649" t="inlineStr">
        <is>
          <t>Rwanda</t>
        </is>
      </c>
      <c r="B8649" t="inlineStr">
        <is>
          <t>RWA</t>
        </is>
      </c>
      <c r="C8649" t="n">
        <v>1976</v>
      </c>
      <c r="D8649" t="n">
        <v>7.1658615138318</v>
      </c>
    </row>
    <row r="8650">
      <c r="A8650" t="inlineStr">
        <is>
          <t>Rwanda</t>
        </is>
      </c>
      <c r="B8650" t="inlineStr">
        <is>
          <t>RWA</t>
        </is>
      </c>
      <c r="C8650" t="n">
        <v>1977</v>
      </c>
      <c r="D8650" t="n">
        <v>13.6551465066428</v>
      </c>
    </row>
    <row r="8651">
      <c r="A8651" t="inlineStr">
        <is>
          <t>Rwanda</t>
        </is>
      </c>
      <c r="B8651" t="inlineStr">
        <is>
          <t>RWA</t>
        </is>
      </c>
      <c r="C8651" t="n">
        <v>1978</v>
      </c>
      <c r="D8651" t="n">
        <v>13.2705337973878</v>
      </c>
    </row>
    <row r="8652">
      <c r="A8652" t="inlineStr">
        <is>
          <t>Rwanda</t>
        </is>
      </c>
      <c r="B8652" t="inlineStr">
        <is>
          <t>RWA</t>
        </is>
      </c>
      <c r="C8652" t="n">
        <v>1979</v>
      </c>
      <c r="D8652" t="n">
        <v>15.6733294423726</v>
      </c>
    </row>
    <row r="8653">
      <c r="A8653" t="inlineStr">
        <is>
          <t>Rwanda</t>
        </is>
      </c>
      <c r="B8653" t="inlineStr">
        <is>
          <t>RWA</t>
        </is>
      </c>
      <c r="C8653" t="n">
        <v>1980</v>
      </c>
      <c r="D8653" t="n">
        <v>7.24939299325274</v>
      </c>
    </row>
    <row r="8654">
      <c r="A8654" t="inlineStr">
        <is>
          <t>Rwanda</t>
        </is>
      </c>
      <c r="B8654" t="inlineStr">
        <is>
          <t>RWA</t>
        </is>
      </c>
      <c r="C8654" t="n">
        <v>1981</v>
      </c>
      <c r="D8654" t="n">
        <v>6.4506644718119</v>
      </c>
    </row>
    <row r="8655">
      <c r="A8655" t="inlineStr">
        <is>
          <t>Rwanda</t>
        </is>
      </c>
      <c r="B8655" t="inlineStr">
        <is>
          <t>RWA</t>
        </is>
      </c>
      <c r="C8655" t="n">
        <v>1982</v>
      </c>
      <c r="D8655" t="n">
        <v>12.5651365334134</v>
      </c>
    </row>
    <row r="8656">
      <c r="A8656" t="inlineStr">
        <is>
          <t>Rwanda</t>
        </is>
      </c>
      <c r="B8656" t="inlineStr">
        <is>
          <t>RWA</t>
        </is>
      </c>
      <c r="C8656" t="n">
        <v>1983</v>
      </c>
      <c r="D8656" t="n">
        <v>6.59300214307078</v>
      </c>
    </row>
    <row r="8657">
      <c r="A8657" t="inlineStr">
        <is>
          <t>Rwanda</t>
        </is>
      </c>
      <c r="B8657" t="inlineStr">
        <is>
          <t>RWA</t>
        </is>
      </c>
      <c r="C8657" t="n">
        <v>1984</v>
      </c>
      <c r="D8657" t="n">
        <v>5.36957038827376</v>
      </c>
    </row>
    <row r="8658">
      <c r="A8658" t="inlineStr">
        <is>
          <t>Rwanda</t>
        </is>
      </c>
      <c r="B8658" t="inlineStr">
        <is>
          <t>RWA</t>
        </is>
      </c>
      <c r="C8658" t="n">
        <v>1985</v>
      </c>
      <c r="D8658" t="n">
        <v>1.75933005651688</v>
      </c>
    </row>
    <row r="8659">
      <c r="A8659" t="inlineStr">
        <is>
          <t>Rwanda</t>
        </is>
      </c>
      <c r="B8659" t="inlineStr">
        <is>
          <t>RWA</t>
        </is>
      </c>
      <c r="C8659" t="n">
        <v>1986</v>
      </c>
      <c r="D8659" t="n">
        <v>-1.11706657280676</v>
      </c>
    </row>
    <row r="8660">
      <c r="A8660" t="inlineStr">
        <is>
          <t>Rwanda</t>
        </is>
      </c>
      <c r="B8660" t="inlineStr">
        <is>
          <t>RWA</t>
        </is>
      </c>
      <c r="C8660" t="n">
        <v>1987</v>
      </c>
      <c r="D8660" t="n">
        <v>4.13301490809125</v>
      </c>
    </row>
    <row r="8661">
      <c r="A8661" t="inlineStr">
        <is>
          <t>Rwanda</t>
        </is>
      </c>
      <c r="B8661" t="inlineStr">
        <is>
          <t>RWA</t>
        </is>
      </c>
      <c r="C8661" t="n">
        <v>1988</v>
      </c>
      <c r="D8661" t="n">
        <v>2.97864355658034</v>
      </c>
    </row>
    <row r="8662">
      <c r="A8662" t="inlineStr">
        <is>
          <t>Rwanda</t>
        </is>
      </c>
      <c r="B8662" t="inlineStr">
        <is>
          <t>RWA</t>
        </is>
      </c>
      <c r="C8662" t="n">
        <v>1989</v>
      </c>
      <c r="D8662" t="n">
        <v>1.01027824831114</v>
      </c>
    </row>
    <row r="8663">
      <c r="A8663" t="inlineStr">
        <is>
          <t>Rwanda</t>
        </is>
      </c>
      <c r="B8663" t="inlineStr">
        <is>
          <t>RWA</t>
        </is>
      </c>
      <c r="C8663" t="n">
        <v>1990</v>
      </c>
      <c r="D8663" t="n">
        <v>4.18576372649948</v>
      </c>
    </row>
    <row r="8664">
      <c r="A8664" t="inlineStr">
        <is>
          <t>Rwanda</t>
        </is>
      </c>
      <c r="B8664" t="inlineStr">
        <is>
          <t>RWA</t>
        </is>
      </c>
      <c r="C8664" t="n">
        <v>1991</v>
      </c>
      <c r="D8664" t="n">
        <v>19.6371658148373</v>
      </c>
    </row>
    <row r="8665">
      <c r="A8665" t="inlineStr">
        <is>
          <t>Rwanda</t>
        </is>
      </c>
      <c r="B8665" t="inlineStr">
        <is>
          <t>RWA</t>
        </is>
      </c>
      <c r="C8665" t="n">
        <v>1992</v>
      </c>
      <c r="D8665" t="n">
        <v>9.56041187600816</v>
      </c>
    </row>
    <row r="8666">
      <c r="A8666" t="inlineStr">
        <is>
          <t>Rwanda</t>
        </is>
      </c>
      <c r="B8666" t="inlineStr">
        <is>
          <t>RWA</t>
        </is>
      </c>
      <c r="C8666" t="n">
        <v>1993</v>
      </c>
      <c r="D8666" t="n">
        <v>12.3543887630448</v>
      </c>
    </row>
    <row r="8667">
      <c r="A8667" t="inlineStr">
        <is>
          <t>Rwanda</t>
        </is>
      </c>
      <c r="B8667" t="inlineStr">
        <is>
          <t>RWA</t>
        </is>
      </c>
      <c r="C8667" t="n">
        <v>1996</v>
      </c>
      <c r="D8667" t="n">
        <v>7.41137173526642</v>
      </c>
    </row>
    <row r="8668">
      <c r="A8668" t="inlineStr">
        <is>
          <t>Rwanda</t>
        </is>
      </c>
      <c r="B8668" t="inlineStr">
        <is>
          <t>RWA</t>
        </is>
      </c>
      <c r="C8668" t="n">
        <v>1997</v>
      </c>
      <c r="D8668" t="n">
        <v>12.0154225195686</v>
      </c>
    </row>
    <row r="8669">
      <c r="A8669" t="inlineStr">
        <is>
          <t>Rwanda</t>
        </is>
      </c>
      <c r="B8669" t="inlineStr">
        <is>
          <t>RWA</t>
        </is>
      </c>
      <c r="C8669" t="n">
        <v>1998</v>
      </c>
      <c r="D8669" t="n">
        <v>6.2100670945581</v>
      </c>
    </row>
    <row r="8670">
      <c r="A8670" t="inlineStr">
        <is>
          <t>Rwanda</t>
        </is>
      </c>
      <c r="B8670" t="inlineStr">
        <is>
          <t>RWA</t>
        </is>
      </c>
      <c r="C8670" t="n">
        <v>1999</v>
      </c>
      <c r="D8670" t="n">
        <v>-2.40593209742259</v>
      </c>
    </row>
    <row r="8671">
      <c r="A8671" t="inlineStr">
        <is>
          <t>Rwanda</t>
        </is>
      </c>
      <c r="B8671" t="inlineStr">
        <is>
          <t>RWA</t>
        </is>
      </c>
      <c r="C8671" t="n">
        <v>2000</v>
      </c>
      <c r="D8671" t="n">
        <v>3.89952980284712</v>
      </c>
    </row>
    <row r="8672">
      <c r="A8672" t="inlineStr">
        <is>
          <t>Rwanda</t>
        </is>
      </c>
      <c r="B8672" t="inlineStr">
        <is>
          <t>RWA</t>
        </is>
      </c>
      <c r="C8672" t="n">
        <v>2001</v>
      </c>
      <c r="D8672" t="n">
        <v>3.34285506749409</v>
      </c>
    </row>
    <row r="8673">
      <c r="A8673" t="inlineStr">
        <is>
          <t>Rwanda</t>
        </is>
      </c>
      <c r="B8673" t="inlineStr">
        <is>
          <t>RWA</t>
        </is>
      </c>
      <c r="C8673" t="n">
        <v>2002</v>
      </c>
      <c r="D8673" t="n">
        <v>1.99258542453993</v>
      </c>
    </row>
    <row r="8674">
      <c r="A8674" t="inlineStr">
        <is>
          <t>Rwanda</t>
        </is>
      </c>
      <c r="B8674" t="inlineStr">
        <is>
          <t>RWA</t>
        </is>
      </c>
      <c r="C8674" t="n">
        <v>2003</v>
      </c>
      <c r="D8674" t="n">
        <v>7.44970014007366</v>
      </c>
    </row>
    <row r="8675">
      <c r="A8675" t="inlineStr">
        <is>
          <t>Rwanda</t>
        </is>
      </c>
      <c r="B8675" t="inlineStr">
        <is>
          <t>RWA</t>
        </is>
      </c>
      <c r="C8675" t="n">
        <v>2004</v>
      </c>
      <c r="D8675" t="n">
        <v>12.2507102894391</v>
      </c>
    </row>
    <row r="8676">
      <c r="A8676" t="inlineStr">
        <is>
          <t>Rwanda</t>
        </is>
      </c>
      <c r="B8676" t="inlineStr">
        <is>
          <t>RWA</t>
        </is>
      </c>
      <c r="C8676" t="n">
        <v>2005</v>
      </c>
      <c r="D8676" t="n">
        <v>9.01408918092339</v>
      </c>
    </row>
    <row r="8677">
      <c r="A8677" t="inlineStr">
        <is>
          <t>Rwanda</t>
        </is>
      </c>
      <c r="B8677" t="inlineStr">
        <is>
          <t>RWA</t>
        </is>
      </c>
      <c r="C8677" t="n">
        <v>2006</v>
      </c>
      <c r="D8677" t="n">
        <v>8.88282654777923</v>
      </c>
    </row>
    <row r="8678">
      <c r="A8678" t="inlineStr">
        <is>
          <t>Rwanda</t>
        </is>
      </c>
      <c r="B8678" t="inlineStr">
        <is>
          <t>RWA</t>
        </is>
      </c>
      <c r="C8678" t="n">
        <v>2007</v>
      </c>
      <c r="D8678" t="n">
        <v>9.080722058731579</v>
      </c>
    </row>
    <row r="8679">
      <c r="A8679" t="inlineStr">
        <is>
          <t>Rwanda</t>
        </is>
      </c>
      <c r="B8679" t="inlineStr">
        <is>
          <t>RWA</t>
        </is>
      </c>
      <c r="C8679" t="n">
        <v>2008</v>
      </c>
      <c r="D8679" t="n">
        <v>15.4382138709255</v>
      </c>
    </row>
    <row r="8680">
      <c r="A8680" t="inlineStr">
        <is>
          <t>Rwanda</t>
        </is>
      </c>
      <c r="B8680" t="inlineStr">
        <is>
          <t>RWA</t>
        </is>
      </c>
      <c r="C8680" t="n">
        <v>2009</v>
      </c>
      <c r="D8680" t="n">
        <v>12.9443978401712</v>
      </c>
    </row>
    <row r="8681">
      <c r="A8681" t="inlineStr">
        <is>
          <t>Rwanda</t>
        </is>
      </c>
      <c r="B8681" t="inlineStr">
        <is>
          <t>RWA</t>
        </is>
      </c>
      <c r="C8681" t="n">
        <v>2010</v>
      </c>
      <c r="D8681" t="n">
        <v>-0.246128693436934</v>
      </c>
    </row>
    <row r="8682">
      <c r="A8682" t="inlineStr">
        <is>
          <t>Rwanda</t>
        </is>
      </c>
      <c r="B8682" t="inlineStr">
        <is>
          <t>RWA</t>
        </is>
      </c>
      <c r="C8682" t="n">
        <v>2011</v>
      </c>
      <c r="D8682" t="n">
        <v>3.0801706924026</v>
      </c>
    </row>
    <row r="8683">
      <c r="A8683" t="inlineStr">
        <is>
          <t>Rwanda</t>
        </is>
      </c>
      <c r="B8683" t="inlineStr">
        <is>
          <t>RWA</t>
        </is>
      </c>
      <c r="C8683" t="n">
        <v>2012</v>
      </c>
      <c r="D8683" t="n">
        <v>10.2710182318876</v>
      </c>
    </row>
    <row r="8684">
      <c r="A8684" t="inlineStr">
        <is>
          <t>Rwanda</t>
        </is>
      </c>
      <c r="B8684" t="inlineStr">
        <is>
          <t>RWA</t>
        </is>
      </c>
      <c r="C8684" t="n">
        <v>2013</v>
      </c>
      <c r="D8684" t="n">
        <v>5.92426867984854</v>
      </c>
    </row>
    <row r="8685">
      <c r="A8685" t="inlineStr">
        <is>
          <t>Rwanda</t>
        </is>
      </c>
      <c r="B8685" t="inlineStr">
        <is>
          <t>RWA</t>
        </is>
      </c>
      <c r="C8685" t="n">
        <v>2014</v>
      </c>
      <c r="D8685" t="n">
        <v>2.35449052820358</v>
      </c>
    </row>
    <row r="8686">
      <c r="A8686" t="inlineStr">
        <is>
          <t>Rwanda</t>
        </is>
      </c>
      <c r="B8686" t="inlineStr">
        <is>
          <t>RWA</t>
        </is>
      </c>
      <c r="C8686" t="n">
        <v>2015</v>
      </c>
      <c r="D8686" t="n">
        <v>2.52850284192421</v>
      </c>
    </row>
    <row r="8687">
      <c r="A8687" t="inlineStr">
        <is>
          <t>Rwanda</t>
        </is>
      </c>
      <c r="B8687" t="inlineStr">
        <is>
          <t>RWA</t>
        </is>
      </c>
      <c r="C8687" t="n">
        <v>2016</v>
      </c>
      <c r="D8687" t="n">
        <v>7.17434301982009</v>
      </c>
    </row>
    <row r="8688">
      <c r="A8688" t="inlineStr">
        <is>
          <t>Rwanda</t>
        </is>
      </c>
      <c r="B8688" t="inlineStr">
        <is>
          <t>RWA</t>
        </is>
      </c>
      <c r="C8688" t="n">
        <v>2017</v>
      </c>
      <c r="D8688" t="n">
        <v>8.27953672260832</v>
      </c>
    </row>
    <row r="8689">
      <c r="A8689" t="inlineStr">
        <is>
          <t>Rwanda</t>
        </is>
      </c>
      <c r="B8689" t="inlineStr">
        <is>
          <t>RWA</t>
        </is>
      </c>
      <c r="C8689" t="n">
        <v>2018</v>
      </c>
      <c r="D8689" t="n">
        <v>-0.311210160390699</v>
      </c>
    </row>
    <row r="8690">
      <c r="A8690" t="inlineStr">
        <is>
          <t>Rwanda</t>
        </is>
      </c>
      <c r="B8690" t="inlineStr">
        <is>
          <t>RWA</t>
        </is>
      </c>
      <c r="C8690" t="n">
        <v>2019</v>
      </c>
      <c r="D8690" t="n">
        <v>3.34787655037648</v>
      </c>
    </row>
    <row r="8691">
      <c r="A8691" t="inlineStr">
        <is>
          <t>Rwanda</t>
        </is>
      </c>
      <c r="B8691" t="inlineStr">
        <is>
          <t>RWA</t>
        </is>
      </c>
      <c r="C8691" t="n">
        <v>2020</v>
      </c>
      <c r="D8691" t="n">
        <v>9.850399022742071</v>
      </c>
    </row>
    <row r="8692">
      <c r="A8692" t="inlineStr">
        <is>
          <t>Rwanda</t>
        </is>
      </c>
      <c r="B8692" t="inlineStr">
        <is>
          <t>RWA</t>
        </is>
      </c>
      <c r="C8692" t="n">
        <v>2021</v>
      </c>
      <c r="D8692" t="n">
        <v>-0.391346748300791</v>
      </c>
    </row>
    <row r="8693">
      <c r="A8693" t="inlineStr">
        <is>
          <t>Rwanda</t>
        </is>
      </c>
      <c r="B8693" t="inlineStr">
        <is>
          <t>RWA</t>
        </is>
      </c>
      <c r="C8693" t="n">
        <v>2022</v>
      </c>
      <c r="D8693" t="n">
        <v>17.6892095588153</v>
      </c>
    </row>
    <row r="8694">
      <c r="A8694" t="inlineStr">
        <is>
          <t>Rwanda</t>
        </is>
      </c>
      <c r="B8694" t="inlineStr">
        <is>
          <t>RWA</t>
        </is>
      </c>
      <c r="C8694" t="n">
        <v>2023</v>
      </c>
      <c r="D8694" t="n">
        <v>19.789546746467</v>
      </c>
    </row>
    <row r="8695">
      <c r="A8695" t="inlineStr">
        <is>
          <t>Rwanda</t>
        </is>
      </c>
      <c r="B8695" t="inlineStr">
        <is>
          <t>RWA</t>
        </is>
      </c>
      <c r="C8695" t="n">
        <v>2024</v>
      </c>
      <c r="D8695" t="n">
        <v>1.77029240198635</v>
      </c>
    </row>
    <row r="8696">
      <c r="A8696" t="inlineStr">
        <is>
          <t>South Asia</t>
        </is>
      </c>
      <c r="B8696" t="inlineStr">
        <is>
          <t>SAS</t>
        </is>
      </c>
      <c r="C8696" t="n">
        <v>1965</v>
      </c>
      <c r="D8696" t="n">
        <v>7.02025240391421</v>
      </c>
    </row>
    <row r="8697">
      <c r="A8697" t="inlineStr">
        <is>
          <t>South Asia</t>
        </is>
      </c>
      <c r="B8697" t="inlineStr">
        <is>
          <t>SAS</t>
        </is>
      </c>
      <c r="C8697" t="n">
        <v>1966</v>
      </c>
      <c r="D8697" t="n">
        <v>9.01473497340578</v>
      </c>
    </row>
    <row r="8698">
      <c r="A8698" t="inlineStr">
        <is>
          <t>South Asia</t>
        </is>
      </c>
      <c r="B8698" t="inlineStr">
        <is>
          <t>SAS</t>
        </is>
      </c>
      <c r="C8698" t="n">
        <v>1967</v>
      </c>
      <c r="D8698" t="n">
        <v>4.50031948316103</v>
      </c>
    </row>
    <row r="8699">
      <c r="A8699" t="inlineStr">
        <is>
          <t>South Asia</t>
        </is>
      </c>
      <c r="B8699" t="inlineStr">
        <is>
          <t>SAS</t>
        </is>
      </c>
      <c r="C8699" t="n">
        <v>1968</v>
      </c>
      <c r="D8699" t="n">
        <v>2.20864119998775</v>
      </c>
    </row>
    <row r="8700">
      <c r="A8700" t="inlineStr">
        <is>
          <t>South Asia</t>
        </is>
      </c>
      <c r="B8700" t="inlineStr">
        <is>
          <t>SAS</t>
        </is>
      </c>
      <c r="C8700" t="n">
        <v>1969</v>
      </c>
      <c r="D8700" t="n">
        <v>3.62228920927622</v>
      </c>
    </row>
    <row r="8701">
      <c r="A8701" t="inlineStr">
        <is>
          <t>South Asia</t>
        </is>
      </c>
      <c r="B8701" t="inlineStr">
        <is>
          <t>SAS</t>
        </is>
      </c>
      <c r="C8701" t="n">
        <v>1970</v>
      </c>
      <c r="D8701" t="n">
        <v>5.60839849374493</v>
      </c>
    </row>
    <row r="8702">
      <c r="A8702" t="inlineStr">
        <is>
          <t>South Asia</t>
        </is>
      </c>
      <c r="B8702" t="inlineStr">
        <is>
          <t>SAS</t>
        </is>
      </c>
      <c r="C8702" t="n">
        <v>1971</v>
      </c>
      <c r="D8702" t="n">
        <v>2.87265944633264</v>
      </c>
    </row>
    <row r="8703">
      <c r="A8703" t="inlineStr">
        <is>
          <t>South Asia</t>
        </is>
      </c>
      <c r="B8703" t="inlineStr">
        <is>
          <t>SAS</t>
        </is>
      </c>
      <c r="C8703" t="n">
        <v>1972</v>
      </c>
      <c r="D8703" t="n">
        <v>6.39579175585928</v>
      </c>
    </row>
    <row r="8704">
      <c r="A8704" t="inlineStr">
        <is>
          <t>South Asia</t>
        </is>
      </c>
      <c r="B8704" t="inlineStr">
        <is>
          <t>SAS</t>
        </is>
      </c>
      <c r="C8704" t="n">
        <v>1973</v>
      </c>
      <c r="D8704" t="n">
        <v>14.1852942525168</v>
      </c>
    </row>
    <row r="8705">
      <c r="A8705" t="inlineStr">
        <is>
          <t>South Asia</t>
        </is>
      </c>
      <c r="B8705" t="inlineStr">
        <is>
          <t>SAS</t>
        </is>
      </c>
      <c r="C8705" t="n">
        <v>1974</v>
      </c>
      <c r="D8705" t="n">
        <v>23.2346864409169</v>
      </c>
    </row>
    <row r="8706">
      <c r="A8706" t="inlineStr">
        <is>
          <t>South Asia</t>
        </is>
      </c>
      <c r="B8706" t="inlineStr">
        <is>
          <t>SAS</t>
        </is>
      </c>
      <c r="C8706" t="n">
        <v>1975</v>
      </c>
      <c r="D8706" t="n">
        <v>7.10598888336972</v>
      </c>
    </row>
    <row r="8707">
      <c r="A8707" t="inlineStr">
        <is>
          <t>South Asia</t>
        </is>
      </c>
      <c r="B8707" t="inlineStr">
        <is>
          <t>SAS</t>
        </is>
      </c>
      <c r="C8707" t="n">
        <v>1976</v>
      </c>
      <c r="D8707" t="n">
        <v>-0.89185852634482</v>
      </c>
    </row>
    <row r="8708">
      <c r="A8708" t="inlineStr">
        <is>
          <t>South Asia</t>
        </is>
      </c>
      <c r="B8708" t="inlineStr">
        <is>
          <t>SAS</t>
        </is>
      </c>
      <c r="C8708" t="n">
        <v>1977</v>
      </c>
      <c r="D8708" t="n">
        <v>9.10316146742325</v>
      </c>
    </row>
    <row r="8709">
      <c r="A8709" t="inlineStr">
        <is>
          <t>South Asia</t>
        </is>
      </c>
      <c r="B8709" t="inlineStr">
        <is>
          <t>SAS</t>
        </is>
      </c>
      <c r="C8709" t="n">
        <v>1978</v>
      </c>
      <c r="D8709" t="n">
        <v>6.74239195913019</v>
      </c>
    </row>
    <row r="8710">
      <c r="A8710" t="inlineStr">
        <is>
          <t>South Asia</t>
        </is>
      </c>
      <c r="B8710" t="inlineStr">
        <is>
          <t>SAS</t>
        </is>
      </c>
      <c r="C8710" t="n">
        <v>1979</v>
      </c>
      <c r="D8710" t="n">
        <v>7.27136517189954</v>
      </c>
    </row>
    <row r="8711">
      <c r="A8711" t="inlineStr">
        <is>
          <t>South Asia</t>
        </is>
      </c>
      <c r="B8711" t="inlineStr">
        <is>
          <t>SAS</t>
        </is>
      </c>
      <c r="C8711" t="n">
        <v>1980</v>
      </c>
      <c r="D8711" t="n">
        <v>13.3113668435427</v>
      </c>
    </row>
    <row r="8712">
      <c r="A8712" t="inlineStr">
        <is>
          <t>South Asia</t>
        </is>
      </c>
      <c r="B8712" t="inlineStr">
        <is>
          <t>SAS</t>
        </is>
      </c>
      <c r="C8712" t="n">
        <v>1981</v>
      </c>
      <c r="D8712" t="n">
        <v>11.8799135925283</v>
      </c>
    </row>
    <row r="8713">
      <c r="A8713" t="inlineStr">
        <is>
          <t>South Asia</t>
        </is>
      </c>
      <c r="B8713" t="inlineStr">
        <is>
          <t>SAS</t>
        </is>
      </c>
      <c r="C8713" t="n">
        <v>1982</v>
      </c>
      <c r="D8713" t="n">
        <v>9.84677216779704</v>
      </c>
    </row>
    <row r="8714">
      <c r="A8714" t="inlineStr">
        <is>
          <t>South Asia</t>
        </is>
      </c>
      <c r="B8714" t="inlineStr">
        <is>
          <t>SAS</t>
        </is>
      </c>
      <c r="C8714" t="n">
        <v>1983</v>
      </c>
      <c r="D8714" t="n">
        <v>12.3772380782713</v>
      </c>
    </row>
    <row r="8715">
      <c r="A8715" t="inlineStr">
        <is>
          <t>South Asia</t>
        </is>
      </c>
      <c r="B8715" t="inlineStr">
        <is>
          <t>SAS</t>
        </is>
      </c>
      <c r="C8715" t="n">
        <v>1984</v>
      </c>
      <c r="D8715" t="n">
        <v>7.03770661157025</v>
      </c>
    </row>
    <row r="8716">
      <c r="A8716" t="inlineStr">
        <is>
          <t>South Asia</t>
        </is>
      </c>
      <c r="B8716" t="inlineStr">
        <is>
          <t>SAS</t>
        </is>
      </c>
      <c r="C8716" t="n">
        <v>1985</v>
      </c>
      <c r="D8716" t="n">
        <v>5.55642423236554</v>
      </c>
    </row>
    <row r="8717">
      <c r="A8717" t="inlineStr">
        <is>
          <t>South Asia</t>
        </is>
      </c>
      <c r="B8717" t="inlineStr">
        <is>
          <t>SAS</t>
        </is>
      </c>
      <c r="C8717" t="n">
        <v>1986</v>
      </c>
      <c r="D8717" t="n">
        <v>9.225957001905719</v>
      </c>
    </row>
    <row r="8718">
      <c r="A8718" t="inlineStr">
        <is>
          <t>South Asia</t>
        </is>
      </c>
      <c r="B8718" t="inlineStr">
        <is>
          <t>SAS</t>
        </is>
      </c>
      <c r="C8718" t="n">
        <v>1987</v>
      </c>
      <c r="D8718" t="n">
        <v>8.801125812518331</v>
      </c>
    </row>
    <row r="8719">
      <c r="A8719" t="inlineStr">
        <is>
          <t>South Asia</t>
        </is>
      </c>
      <c r="B8719" t="inlineStr">
        <is>
          <t>SAS</t>
        </is>
      </c>
      <c r="C8719" t="n">
        <v>1988</v>
      </c>
      <c r="D8719" t="n">
        <v>8.98300338208989</v>
      </c>
    </row>
    <row r="8720">
      <c r="A8720" t="inlineStr">
        <is>
          <t>South Asia</t>
        </is>
      </c>
      <c r="B8720" t="inlineStr">
        <is>
          <t>SAS</t>
        </is>
      </c>
      <c r="C8720" t="n">
        <v>1989</v>
      </c>
      <c r="D8720" t="n">
        <v>7.84426473740044</v>
      </c>
    </row>
    <row r="8721">
      <c r="A8721" t="inlineStr">
        <is>
          <t>South Asia</t>
        </is>
      </c>
      <c r="B8721" t="inlineStr">
        <is>
          <t>SAS</t>
        </is>
      </c>
      <c r="C8721" t="n">
        <v>1990</v>
      </c>
      <c r="D8721" t="n">
        <v>8.9712325027325</v>
      </c>
    </row>
    <row r="8722">
      <c r="A8722" t="inlineStr">
        <is>
          <t>South Asia</t>
        </is>
      </c>
      <c r="B8722" t="inlineStr">
        <is>
          <t>SAS</t>
        </is>
      </c>
      <c r="C8722" t="n">
        <v>1991</v>
      </c>
      <c r="D8722" t="n">
        <v>12.2751729438893</v>
      </c>
    </row>
    <row r="8723">
      <c r="A8723" t="inlineStr">
        <is>
          <t>South Asia</t>
        </is>
      </c>
      <c r="B8723" t="inlineStr">
        <is>
          <t>SAS</t>
        </is>
      </c>
      <c r="C8723" t="n">
        <v>1992</v>
      </c>
      <c r="D8723" t="n">
        <v>11.7878170418134</v>
      </c>
    </row>
    <row r="8724">
      <c r="A8724" t="inlineStr">
        <is>
          <t>South Asia</t>
        </is>
      </c>
      <c r="B8724" t="inlineStr">
        <is>
          <t>SAS</t>
        </is>
      </c>
      <c r="C8724" t="n">
        <v>1993</v>
      </c>
      <c r="D8724" t="n">
        <v>9.97366476029209</v>
      </c>
    </row>
    <row r="8725">
      <c r="A8725" t="inlineStr">
        <is>
          <t>South Asia</t>
        </is>
      </c>
      <c r="B8725" t="inlineStr">
        <is>
          <t>SAS</t>
        </is>
      </c>
      <c r="C8725" t="n">
        <v>1994</v>
      </c>
      <c r="D8725" t="n">
        <v>8.34928672883386</v>
      </c>
    </row>
    <row r="8726">
      <c r="A8726" t="inlineStr">
        <is>
          <t>South Asia</t>
        </is>
      </c>
      <c r="B8726" t="inlineStr">
        <is>
          <t>SAS</t>
        </is>
      </c>
      <c r="C8726" t="n">
        <v>1995</v>
      </c>
      <c r="D8726" t="n">
        <v>9.487548367893689</v>
      </c>
    </row>
    <row r="8727">
      <c r="A8727" t="inlineStr">
        <is>
          <t>South Asia</t>
        </is>
      </c>
      <c r="B8727" t="inlineStr">
        <is>
          <t>SAS</t>
        </is>
      </c>
      <c r="C8727" t="n">
        <v>1996</v>
      </c>
      <c r="D8727" t="n">
        <v>8.97715233826453</v>
      </c>
    </row>
    <row r="8728">
      <c r="A8728" t="inlineStr">
        <is>
          <t>South Asia</t>
        </is>
      </c>
      <c r="B8728" t="inlineStr">
        <is>
          <t>SAS</t>
        </is>
      </c>
      <c r="C8728" t="n">
        <v>1997</v>
      </c>
      <c r="D8728" t="n">
        <v>7.16425211462724</v>
      </c>
    </row>
    <row r="8729">
      <c r="A8729" t="inlineStr">
        <is>
          <t>South Asia</t>
        </is>
      </c>
      <c r="B8729" t="inlineStr">
        <is>
          <t>SAS</t>
        </is>
      </c>
      <c r="C8729" t="n">
        <v>1998</v>
      </c>
      <c r="D8729" t="n">
        <v>9.364243006832289</v>
      </c>
    </row>
    <row r="8730">
      <c r="A8730" t="inlineStr">
        <is>
          <t>South Asia</t>
        </is>
      </c>
      <c r="B8730" t="inlineStr">
        <is>
          <t>SAS</t>
        </is>
      </c>
      <c r="C8730" t="n">
        <v>1999</v>
      </c>
      <c r="D8730" t="n">
        <v>4.69170563048438</v>
      </c>
    </row>
    <row r="8731">
      <c r="A8731" t="inlineStr">
        <is>
          <t>South Asia</t>
        </is>
      </c>
      <c r="B8731" t="inlineStr">
        <is>
          <t>SAS</t>
        </is>
      </c>
      <c r="C8731" t="n">
        <v>2000</v>
      </c>
      <c r="D8731" t="n">
        <v>4.0094359104519</v>
      </c>
    </row>
    <row r="8732">
      <c r="A8732" t="inlineStr">
        <is>
          <t>South Asia</t>
        </is>
      </c>
      <c r="B8732" t="inlineStr">
        <is>
          <t>SAS</t>
        </is>
      </c>
      <c r="C8732" t="n">
        <v>2001</v>
      </c>
      <c r="D8732" t="n">
        <v>3.14826144590618</v>
      </c>
    </row>
    <row r="8733">
      <c r="A8733" t="inlineStr">
        <is>
          <t>South Asia</t>
        </is>
      </c>
      <c r="B8733" t="inlineStr">
        <is>
          <t>SAS</t>
        </is>
      </c>
      <c r="C8733" t="n">
        <v>2002</v>
      </c>
      <c r="D8733" t="n">
        <v>3.33256493271913</v>
      </c>
    </row>
    <row r="8734">
      <c r="A8734" t="inlineStr">
        <is>
          <t>South Asia</t>
        </is>
      </c>
      <c r="B8734" t="inlineStr">
        <is>
          <t>SAS</t>
        </is>
      </c>
      <c r="C8734" t="n">
        <v>2003</v>
      </c>
      <c r="D8734" t="n">
        <v>3.80585899528851</v>
      </c>
    </row>
    <row r="8735">
      <c r="A8735" t="inlineStr">
        <is>
          <t>South Asia</t>
        </is>
      </c>
      <c r="B8735" t="inlineStr">
        <is>
          <t>SAS</t>
        </is>
      </c>
      <c r="C8735" t="n">
        <v>2004</v>
      </c>
      <c r="D8735" t="n">
        <v>4.10593698272958</v>
      </c>
    </row>
    <row r="8736">
      <c r="A8736" t="inlineStr">
        <is>
          <t>South Asia</t>
        </is>
      </c>
      <c r="B8736" t="inlineStr">
        <is>
          <t>SAS</t>
        </is>
      </c>
      <c r="C8736" t="n">
        <v>2005</v>
      </c>
      <c r="D8736" t="n">
        <v>6.94147541057457</v>
      </c>
    </row>
    <row r="8737">
      <c r="A8737" t="inlineStr">
        <is>
          <t>South Asia</t>
        </is>
      </c>
      <c r="B8737" t="inlineStr">
        <is>
          <t>SAS</t>
        </is>
      </c>
      <c r="C8737" t="n">
        <v>2006</v>
      </c>
      <c r="D8737" t="n">
        <v>6.77492886028206</v>
      </c>
    </row>
    <row r="8738">
      <c r="A8738" t="inlineStr">
        <is>
          <t>South Asia</t>
        </is>
      </c>
      <c r="B8738" t="inlineStr">
        <is>
          <t>SAS</t>
        </is>
      </c>
      <c r="C8738" t="n">
        <v>2007</v>
      </c>
      <c r="D8738" t="n">
        <v>7.19672897490471</v>
      </c>
    </row>
    <row r="8739">
      <c r="A8739" t="inlineStr">
        <is>
          <t>South Asia</t>
        </is>
      </c>
      <c r="B8739" t="inlineStr">
        <is>
          <t>SAS</t>
        </is>
      </c>
      <c r="C8739" t="n">
        <v>2008</v>
      </c>
      <c r="D8739" t="n">
        <v>10.9746442017878</v>
      </c>
    </row>
    <row r="8740">
      <c r="A8740" t="inlineStr">
        <is>
          <t>South Asia</t>
        </is>
      </c>
      <c r="B8740" t="inlineStr">
        <is>
          <t>SAS</t>
        </is>
      </c>
      <c r="C8740" t="n">
        <v>2009</v>
      </c>
      <c r="D8740" t="n">
        <v>4.9768244765374</v>
      </c>
    </row>
    <row r="8741">
      <c r="A8741" t="inlineStr">
        <is>
          <t>South Asia</t>
        </is>
      </c>
      <c r="B8741" t="inlineStr">
        <is>
          <t>SAS</t>
        </is>
      </c>
      <c r="C8741" t="n">
        <v>2010</v>
      </c>
      <c r="D8741" t="n">
        <v>7.58152977621468</v>
      </c>
    </row>
    <row r="8742">
      <c r="A8742" t="inlineStr">
        <is>
          <t>South Asia</t>
        </is>
      </c>
      <c r="B8742" t="inlineStr">
        <is>
          <t>SAS</t>
        </is>
      </c>
      <c r="C8742" t="n">
        <v>2011</v>
      </c>
      <c r="D8742" t="n">
        <v>10.2502450334266</v>
      </c>
    </row>
    <row r="8743">
      <c r="A8743" t="inlineStr">
        <is>
          <t>South Asia</t>
        </is>
      </c>
      <c r="B8743" t="inlineStr">
        <is>
          <t>SAS</t>
        </is>
      </c>
      <c r="C8743" t="n">
        <v>2012</v>
      </c>
      <c r="D8743" t="n">
        <v>9.46940335888468</v>
      </c>
    </row>
    <row r="8744">
      <c r="A8744" t="inlineStr">
        <is>
          <t>South Asia</t>
        </is>
      </c>
      <c r="B8744" t="inlineStr">
        <is>
          <t>SAS</t>
        </is>
      </c>
      <c r="C8744" t="n">
        <v>2013</v>
      </c>
      <c r="D8744" t="n">
        <v>7.61128126406368</v>
      </c>
    </row>
    <row r="8745">
      <c r="A8745" t="inlineStr">
        <is>
          <t>South Asia</t>
        </is>
      </c>
      <c r="B8745" t="inlineStr">
        <is>
          <t>SAS</t>
        </is>
      </c>
      <c r="C8745" t="n">
        <v>2014</v>
      </c>
      <c r="D8745" t="n">
        <v>6.82864780544374</v>
      </c>
    </row>
    <row r="8746">
      <c r="A8746" t="inlineStr">
        <is>
          <t>South Asia</t>
        </is>
      </c>
      <c r="B8746" t="inlineStr">
        <is>
          <t>SAS</t>
        </is>
      </c>
      <c r="C8746" t="n">
        <v>2015</v>
      </c>
      <c r="D8746" t="n">
        <v>4.15825589072151</v>
      </c>
    </row>
    <row r="8747">
      <c r="A8747" t="inlineStr">
        <is>
          <t>South Asia</t>
        </is>
      </c>
      <c r="B8747" t="inlineStr">
        <is>
          <t>SAS</t>
        </is>
      </c>
      <c r="C8747" t="n">
        <v>2016</v>
      </c>
      <c r="D8747" t="n">
        <v>4.17139021053493</v>
      </c>
    </row>
    <row r="8748">
      <c r="A8748" t="inlineStr">
        <is>
          <t>South Asia</t>
        </is>
      </c>
      <c r="B8748" t="inlineStr">
        <is>
          <t>SAS</t>
        </is>
      </c>
      <c r="C8748" t="n">
        <v>2017</v>
      </c>
      <c r="D8748" t="n">
        <v>4.52022867508868</v>
      </c>
    </row>
    <row r="8749">
      <c r="A8749" t="inlineStr">
        <is>
          <t>South Asia</t>
        </is>
      </c>
      <c r="B8749" t="inlineStr">
        <is>
          <t>SAS</t>
        </is>
      </c>
      <c r="C8749" t="n">
        <v>2018</v>
      </c>
      <c r="D8749" t="n">
        <v>3.33139516437672</v>
      </c>
    </row>
    <row r="8750">
      <c r="A8750" t="inlineStr">
        <is>
          <t>South Asia</t>
        </is>
      </c>
      <c r="B8750" t="inlineStr">
        <is>
          <t>SAS</t>
        </is>
      </c>
      <c r="C8750" t="n">
        <v>2019</v>
      </c>
      <c r="D8750" t="n">
        <v>3.6289496588547</v>
      </c>
    </row>
    <row r="8751">
      <c r="A8751" t="inlineStr">
        <is>
          <t>South Asia</t>
        </is>
      </c>
      <c r="B8751" t="inlineStr">
        <is>
          <t>SAS</t>
        </is>
      </c>
      <c r="C8751" t="n">
        <v>2020</v>
      </c>
      <c r="D8751" t="n">
        <v>5.6602199868936</v>
      </c>
    </row>
    <row r="8752">
      <c r="A8752" t="inlineStr">
        <is>
          <t>South Asia</t>
        </is>
      </c>
      <c r="B8752" t="inlineStr">
        <is>
          <t>SAS</t>
        </is>
      </c>
      <c r="C8752" t="n">
        <v>2021</v>
      </c>
      <c r="D8752" t="n">
        <v>5.33942885799218</v>
      </c>
    </row>
    <row r="8753">
      <c r="A8753" t="inlineStr">
        <is>
          <t>South Asia</t>
        </is>
      </c>
      <c r="B8753" t="inlineStr">
        <is>
          <t>SAS</t>
        </is>
      </c>
      <c r="C8753" t="n">
        <v>2022</v>
      </c>
      <c r="D8753" t="n">
        <v>7.67387306987714</v>
      </c>
    </row>
    <row r="8754">
      <c r="A8754" t="inlineStr">
        <is>
          <t>South Asia</t>
        </is>
      </c>
      <c r="B8754" t="inlineStr">
        <is>
          <t>SAS</t>
        </is>
      </c>
      <c r="C8754" t="n">
        <v>2023</v>
      </c>
      <c r="D8754" t="n">
        <v>6.38195135323062</v>
      </c>
    </row>
    <row r="8755">
      <c r="A8755" t="inlineStr">
        <is>
          <t>Saudi Arabia</t>
        </is>
      </c>
      <c r="B8755" t="inlineStr">
        <is>
          <t>SAU</t>
        </is>
      </c>
      <c r="C8755" t="n">
        <v>1964</v>
      </c>
      <c r="D8755" t="n">
        <v>2.7999999989998</v>
      </c>
    </row>
    <row r="8756">
      <c r="A8756" t="inlineStr">
        <is>
          <t>Saudi Arabia</t>
        </is>
      </c>
      <c r="B8756" t="inlineStr">
        <is>
          <t>SAU</t>
        </is>
      </c>
      <c r="C8756" t="n">
        <v>1965</v>
      </c>
      <c r="D8756" t="n">
        <v>0.389105059342261</v>
      </c>
    </row>
    <row r="8757">
      <c r="A8757" t="inlineStr">
        <is>
          <t>Saudi Arabia</t>
        </is>
      </c>
      <c r="B8757" t="inlineStr">
        <is>
          <t>SAU</t>
        </is>
      </c>
      <c r="C8757" t="n">
        <v>1966</v>
      </c>
      <c r="D8757" t="n">
        <v>1.55038759593052</v>
      </c>
    </row>
    <row r="8758">
      <c r="A8758" t="inlineStr">
        <is>
          <t>Saudi Arabia</t>
        </is>
      </c>
      <c r="B8758" t="inlineStr">
        <is>
          <t>SAU</t>
        </is>
      </c>
      <c r="C8758" t="n">
        <v>1967</v>
      </c>
      <c r="D8758" t="n">
        <v>2.0992366421952</v>
      </c>
    </row>
    <row r="8759">
      <c r="A8759" t="inlineStr">
        <is>
          <t>Saudi Arabia</t>
        </is>
      </c>
      <c r="B8759" t="inlineStr">
        <is>
          <t>SAU</t>
        </is>
      </c>
      <c r="C8759" t="n">
        <v>1968</v>
      </c>
      <c r="D8759" t="n">
        <v>1.58878504672939</v>
      </c>
    </row>
    <row r="8760">
      <c r="A8760" t="inlineStr">
        <is>
          <t>Saudi Arabia</t>
        </is>
      </c>
      <c r="B8760" t="inlineStr">
        <is>
          <t>SAU</t>
        </is>
      </c>
      <c r="C8760" t="n">
        <v>1969</v>
      </c>
      <c r="D8760" t="n">
        <v>3.49586016559325</v>
      </c>
    </row>
    <row r="8761">
      <c r="A8761" t="inlineStr">
        <is>
          <t>Saudi Arabia</t>
        </is>
      </c>
      <c r="B8761" t="inlineStr">
        <is>
          <t>SAU</t>
        </is>
      </c>
      <c r="C8761" t="n">
        <v>1970</v>
      </c>
      <c r="D8761" t="n">
        <v>0.177777777777795</v>
      </c>
    </row>
    <row r="8762">
      <c r="A8762" t="inlineStr">
        <is>
          <t>Saudi Arabia</t>
        </is>
      </c>
      <c r="B8762" t="inlineStr">
        <is>
          <t>SAU</t>
        </is>
      </c>
      <c r="C8762" t="n">
        <v>1971</v>
      </c>
      <c r="D8762" t="n">
        <v>4.47499999975001</v>
      </c>
    </row>
    <row r="8763">
      <c r="A8763" t="inlineStr">
        <is>
          <t>Saudi Arabia</t>
        </is>
      </c>
      <c r="B8763" t="inlineStr">
        <is>
          <t>SAU</t>
        </is>
      </c>
      <c r="C8763" t="n">
        <v>1972</v>
      </c>
      <c r="D8763" t="n">
        <v>4.33117970783491</v>
      </c>
    </row>
    <row r="8764">
      <c r="A8764" t="inlineStr">
        <is>
          <t>Saudi Arabia</t>
        </is>
      </c>
      <c r="B8764" t="inlineStr">
        <is>
          <t>SAU</t>
        </is>
      </c>
      <c r="C8764" t="n">
        <v>1973</v>
      </c>
      <c r="D8764" t="n">
        <v>16.5137614681954</v>
      </c>
    </row>
    <row r="8765">
      <c r="A8765" t="inlineStr">
        <is>
          <t>Saudi Arabia</t>
        </is>
      </c>
      <c r="B8765" t="inlineStr">
        <is>
          <t>SAU</t>
        </is>
      </c>
      <c r="C8765" t="n">
        <v>1974</v>
      </c>
      <c r="D8765" t="n">
        <v>21.4370078736641</v>
      </c>
    </row>
    <row r="8766">
      <c r="A8766" t="inlineStr">
        <is>
          <t>Saudi Arabia</t>
        </is>
      </c>
      <c r="B8766" t="inlineStr">
        <is>
          <t>SAU</t>
        </is>
      </c>
      <c r="C8766" t="n">
        <v>1975</v>
      </c>
      <c r="D8766" t="n">
        <v>34.5761063381485</v>
      </c>
    </row>
    <row r="8767">
      <c r="A8767" t="inlineStr">
        <is>
          <t>Saudi Arabia</t>
        </is>
      </c>
      <c r="B8767" t="inlineStr">
        <is>
          <t>SAU</t>
        </is>
      </c>
      <c r="C8767" t="n">
        <v>1976</v>
      </c>
      <c r="D8767" t="n">
        <v>31.5586605641125</v>
      </c>
    </row>
    <row r="8768">
      <c r="A8768" t="inlineStr">
        <is>
          <t>Saudi Arabia</t>
        </is>
      </c>
      <c r="B8768" t="inlineStr">
        <is>
          <t>SAU</t>
        </is>
      </c>
      <c r="C8768" t="n">
        <v>1977</v>
      </c>
      <c r="D8768" t="n">
        <v>11.3990111699532</v>
      </c>
    </row>
    <row r="8769">
      <c r="A8769" t="inlineStr">
        <is>
          <t>Saudi Arabia</t>
        </is>
      </c>
      <c r="B8769" t="inlineStr">
        <is>
          <t>SAU</t>
        </is>
      </c>
      <c r="C8769" t="n">
        <v>1978</v>
      </c>
      <c r="D8769" t="n">
        <v>-1.58360185022085</v>
      </c>
    </row>
    <row r="8770">
      <c r="A8770" t="inlineStr">
        <is>
          <t>Saudi Arabia</t>
        </is>
      </c>
      <c r="B8770" t="inlineStr">
        <is>
          <t>SAU</t>
        </is>
      </c>
      <c r="C8770" t="n">
        <v>1979</v>
      </c>
      <c r="D8770" t="n">
        <v>1.08156690288337</v>
      </c>
    </row>
    <row r="8771">
      <c r="A8771" t="inlineStr">
        <is>
          <t>Saudi Arabia</t>
        </is>
      </c>
      <c r="B8771" t="inlineStr">
        <is>
          <t>SAU</t>
        </is>
      </c>
      <c r="C8771" t="n">
        <v>1980</v>
      </c>
      <c r="D8771" t="n">
        <v>4.16926655363289</v>
      </c>
    </row>
    <row r="8772">
      <c r="A8772" t="inlineStr">
        <is>
          <t>Saudi Arabia</t>
        </is>
      </c>
      <c r="B8772" t="inlineStr">
        <is>
          <t>SAU</t>
        </is>
      </c>
      <c r="C8772" t="n">
        <v>1981</v>
      </c>
      <c r="D8772" t="n">
        <v>2.79898218829486</v>
      </c>
    </row>
    <row r="8773">
      <c r="A8773" t="inlineStr">
        <is>
          <t>Saudi Arabia</t>
        </is>
      </c>
      <c r="B8773" t="inlineStr">
        <is>
          <t>SAU</t>
        </is>
      </c>
      <c r="C8773" t="n">
        <v>1982</v>
      </c>
      <c r="D8773" t="n">
        <v>1.02103960396038</v>
      </c>
    </row>
    <row r="8774">
      <c r="A8774" t="inlineStr">
        <is>
          <t>Saudi Arabia</t>
        </is>
      </c>
      <c r="B8774" t="inlineStr">
        <is>
          <t>SAU</t>
        </is>
      </c>
      <c r="C8774" t="n">
        <v>1983</v>
      </c>
      <c r="D8774" t="n">
        <v>0.191424196019035</v>
      </c>
    </row>
    <row r="8775">
      <c r="A8775" t="inlineStr">
        <is>
          <t>Saudi Arabia</t>
        </is>
      </c>
      <c r="B8775" t="inlineStr">
        <is>
          <t>SAU</t>
        </is>
      </c>
      <c r="C8775" t="n">
        <v>1984</v>
      </c>
      <c r="D8775" t="n">
        <v>-1.55903706534203</v>
      </c>
    </row>
    <row r="8776">
      <c r="A8776" t="inlineStr">
        <is>
          <t>Saudi Arabia</t>
        </is>
      </c>
      <c r="B8776" t="inlineStr">
        <is>
          <t>SAU</t>
        </is>
      </c>
      <c r="C8776" t="n">
        <v>1985</v>
      </c>
      <c r="D8776" t="n">
        <v>-3.0587687291366</v>
      </c>
    </row>
    <row r="8777">
      <c r="A8777" t="inlineStr">
        <is>
          <t>Saudi Arabia</t>
        </is>
      </c>
      <c r="B8777" t="inlineStr">
        <is>
          <t>SAU</t>
        </is>
      </c>
      <c r="C8777" t="n">
        <v>1986</v>
      </c>
      <c r="D8777" t="n">
        <v>-3.20333146472299</v>
      </c>
    </row>
    <row r="8778">
      <c r="A8778" t="inlineStr">
        <is>
          <t>Saudi Arabia</t>
        </is>
      </c>
      <c r="B8778" t="inlineStr">
        <is>
          <t>SAU</t>
        </is>
      </c>
      <c r="C8778" t="n">
        <v>1987</v>
      </c>
      <c r="D8778" t="n">
        <v>-1.54711673699019</v>
      </c>
    </row>
    <row r="8779">
      <c r="A8779" t="inlineStr">
        <is>
          <t>Saudi Arabia</t>
        </is>
      </c>
      <c r="B8779" t="inlineStr">
        <is>
          <t>SAU</t>
        </is>
      </c>
      <c r="C8779" t="n">
        <v>1988</v>
      </c>
      <c r="D8779" t="n">
        <v>0.907563025210514</v>
      </c>
    </row>
    <row r="8780">
      <c r="A8780" t="inlineStr">
        <is>
          <t>Saudi Arabia</t>
        </is>
      </c>
      <c r="B8780" t="inlineStr">
        <is>
          <t>SAU</t>
        </is>
      </c>
      <c r="C8780" t="n">
        <v>1989</v>
      </c>
      <c r="D8780" t="n">
        <v>1.03264490339738</v>
      </c>
    </row>
    <row r="8781">
      <c r="A8781" t="inlineStr">
        <is>
          <t>Saudi Arabia</t>
        </is>
      </c>
      <c r="B8781" t="inlineStr">
        <is>
          <t>SAU</t>
        </is>
      </c>
      <c r="C8781" t="n">
        <v>1990</v>
      </c>
      <c r="D8781" t="n">
        <v>2.07715133531159</v>
      </c>
    </row>
    <row r="8782">
      <c r="A8782" t="inlineStr">
        <is>
          <t>Saudi Arabia</t>
        </is>
      </c>
      <c r="B8782" t="inlineStr">
        <is>
          <t>SAU</t>
        </is>
      </c>
      <c r="C8782" t="n">
        <v>1991</v>
      </c>
      <c r="D8782" t="n">
        <v>4.86111111111136</v>
      </c>
    </row>
    <row r="8783">
      <c r="A8783" t="inlineStr">
        <is>
          <t>Saudi Arabia</t>
        </is>
      </c>
      <c r="B8783" t="inlineStr">
        <is>
          <t>SAU</t>
        </is>
      </c>
      <c r="C8783" t="n">
        <v>1992</v>
      </c>
      <c r="D8783" t="n">
        <v>-0.0770060064690777</v>
      </c>
    </row>
    <row r="8784">
      <c r="A8784" t="inlineStr">
        <is>
          <t>Saudi Arabia</t>
        </is>
      </c>
      <c r="B8784" t="inlineStr">
        <is>
          <t>SAU</t>
        </is>
      </c>
      <c r="C8784" t="n">
        <v>1993</v>
      </c>
      <c r="D8784" t="n">
        <v>1.05579531442694</v>
      </c>
    </row>
    <row r="8785">
      <c r="A8785" t="inlineStr">
        <is>
          <t>Saudi Arabia</t>
        </is>
      </c>
      <c r="B8785" t="inlineStr">
        <is>
          <t>SAU</t>
        </is>
      </c>
      <c r="C8785" t="n">
        <v>1994</v>
      </c>
      <c r="D8785" t="n">
        <v>0.564325478533144</v>
      </c>
    </row>
    <row r="8786">
      <c r="A8786" t="inlineStr">
        <is>
          <t>Saudi Arabia</t>
        </is>
      </c>
      <c r="B8786" t="inlineStr">
        <is>
          <t>SAU</t>
        </is>
      </c>
      <c r="C8786" t="n">
        <v>1995</v>
      </c>
      <c r="D8786" t="n">
        <v>4.8684310305603</v>
      </c>
    </row>
    <row r="8787">
      <c r="A8787" t="inlineStr">
        <is>
          <t>Saudi Arabia</t>
        </is>
      </c>
      <c r="B8787" t="inlineStr">
        <is>
          <t>SAU</t>
        </is>
      </c>
      <c r="C8787" t="n">
        <v>1996</v>
      </c>
      <c r="D8787" t="n">
        <v>1.22206988451309</v>
      </c>
    </row>
    <row r="8788">
      <c r="A8788" t="inlineStr">
        <is>
          <t>Saudi Arabia</t>
        </is>
      </c>
      <c r="B8788" t="inlineStr">
        <is>
          <t>SAU</t>
        </is>
      </c>
      <c r="C8788" t="n">
        <v>1997</v>
      </c>
      <c r="D8788" t="n">
        <v>0.05715470377076</v>
      </c>
    </row>
    <row r="8789">
      <c r="A8789" t="inlineStr">
        <is>
          <t>Saudi Arabia</t>
        </is>
      </c>
      <c r="B8789" t="inlineStr">
        <is>
          <t>SAU</t>
        </is>
      </c>
      <c r="C8789" t="n">
        <v>1998</v>
      </c>
      <c r="D8789" t="n">
        <v>-0.371269734983814</v>
      </c>
    </row>
    <row r="8790">
      <c r="A8790" t="inlineStr">
        <is>
          <t>Saudi Arabia</t>
        </is>
      </c>
      <c r="B8790" t="inlineStr">
        <is>
          <t>SAU</t>
        </is>
      </c>
      <c r="C8790" t="n">
        <v>1999</v>
      </c>
      <c r="D8790" t="n">
        <v>-1.33376350229422</v>
      </c>
    </row>
    <row r="8791">
      <c r="A8791" t="inlineStr">
        <is>
          <t>Saudi Arabia</t>
        </is>
      </c>
      <c r="B8791" t="inlineStr">
        <is>
          <t>SAU</t>
        </is>
      </c>
      <c r="C8791" t="n">
        <v>2000</v>
      </c>
      <c r="D8791" t="n">
        <v>-1.12499477854774</v>
      </c>
    </row>
    <row r="8792">
      <c r="A8792" t="inlineStr">
        <is>
          <t>Saudi Arabia</t>
        </is>
      </c>
      <c r="B8792" t="inlineStr">
        <is>
          <t>SAU</t>
        </is>
      </c>
      <c r="C8792" t="n">
        <v>2001</v>
      </c>
      <c r="D8792" t="n">
        <v>-1.12094477457175</v>
      </c>
    </row>
    <row r="8793">
      <c r="A8793" t="inlineStr">
        <is>
          <t>Saudi Arabia</t>
        </is>
      </c>
      <c r="B8793" t="inlineStr">
        <is>
          <t>SAU</t>
        </is>
      </c>
      <c r="C8793" t="n">
        <v>2002</v>
      </c>
      <c r="D8793" t="n">
        <v>0.24718651429923</v>
      </c>
    </row>
    <row r="8794">
      <c r="A8794" t="inlineStr">
        <is>
          <t>Saudi Arabia</t>
        </is>
      </c>
      <c r="B8794" t="inlineStr">
        <is>
          <t>SAU</t>
        </is>
      </c>
      <c r="C8794" t="n">
        <v>2003</v>
      </c>
      <c r="D8794" t="n">
        <v>0.612194395125212</v>
      </c>
    </row>
    <row r="8795">
      <c r="A8795" t="inlineStr">
        <is>
          <t>Saudi Arabia</t>
        </is>
      </c>
      <c r="B8795" t="inlineStr">
        <is>
          <t>SAU</t>
        </is>
      </c>
      <c r="C8795" t="n">
        <v>2004</v>
      </c>
      <c r="D8795" t="n">
        <v>0.515506766998081</v>
      </c>
    </row>
    <row r="8796">
      <c r="A8796" t="inlineStr">
        <is>
          <t>Saudi Arabia</t>
        </is>
      </c>
      <c r="B8796" t="inlineStr">
        <is>
          <t>SAU</t>
        </is>
      </c>
      <c r="C8796" t="n">
        <v>2005</v>
      </c>
      <c r="D8796" t="n">
        <v>0.479230397826084</v>
      </c>
    </row>
    <row r="8797">
      <c r="A8797" t="inlineStr">
        <is>
          <t>Saudi Arabia</t>
        </is>
      </c>
      <c r="B8797" t="inlineStr">
        <is>
          <t>SAU</t>
        </is>
      </c>
      <c r="C8797" t="n">
        <v>2006</v>
      </c>
      <c r="D8797" t="n">
        <v>2.20902407871182</v>
      </c>
    </row>
    <row r="8798">
      <c r="A8798" t="inlineStr">
        <is>
          <t>Saudi Arabia</t>
        </is>
      </c>
      <c r="B8798" t="inlineStr">
        <is>
          <t>SAU</t>
        </is>
      </c>
      <c r="C8798" t="n">
        <v>2007</v>
      </c>
      <c r="D8798" t="n">
        <v>4.16782330119979</v>
      </c>
    </row>
    <row r="8799">
      <c r="A8799" t="inlineStr">
        <is>
          <t>Saudi Arabia</t>
        </is>
      </c>
      <c r="B8799" t="inlineStr">
        <is>
          <t>SAU</t>
        </is>
      </c>
      <c r="C8799" t="n">
        <v>2008</v>
      </c>
      <c r="D8799" t="n">
        <v>9.87024791275994</v>
      </c>
    </row>
    <row r="8800">
      <c r="A8800" t="inlineStr">
        <is>
          <t>Saudi Arabia</t>
        </is>
      </c>
      <c r="B8800" t="inlineStr">
        <is>
          <t>SAU</t>
        </is>
      </c>
      <c r="C8800" t="n">
        <v>2009</v>
      </c>
      <c r="D8800" t="n">
        <v>5.05722314693633</v>
      </c>
    </row>
    <row r="8801">
      <c r="A8801" t="inlineStr">
        <is>
          <t>Saudi Arabia</t>
        </is>
      </c>
      <c r="B8801" t="inlineStr">
        <is>
          <t>SAU</t>
        </is>
      </c>
      <c r="C8801" t="n">
        <v>2010</v>
      </c>
      <c r="D8801" t="n">
        <v>5.33941680637454</v>
      </c>
    </row>
    <row r="8802">
      <c r="A8802" t="inlineStr">
        <is>
          <t>Saudi Arabia</t>
        </is>
      </c>
      <c r="B8802" t="inlineStr">
        <is>
          <t>SAU</t>
        </is>
      </c>
      <c r="C8802" t="n">
        <v>2011</v>
      </c>
      <c r="D8802" t="n">
        <v>5.82621608838862</v>
      </c>
    </row>
    <row r="8803">
      <c r="A8803" t="inlineStr">
        <is>
          <t>Saudi Arabia</t>
        </is>
      </c>
      <c r="B8803" t="inlineStr">
        <is>
          <t>SAU</t>
        </is>
      </c>
      <c r="C8803" t="n">
        <v>2012</v>
      </c>
      <c r="D8803" t="n">
        <v>2.86626887489915</v>
      </c>
    </row>
    <row r="8804">
      <c r="A8804" t="inlineStr">
        <is>
          <t>Saudi Arabia</t>
        </is>
      </c>
      <c r="B8804" t="inlineStr">
        <is>
          <t>SAU</t>
        </is>
      </c>
      <c r="C8804" t="n">
        <v>2013</v>
      </c>
      <c r="D8804" t="n">
        <v>3.53252470694918</v>
      </c>
    </row>
    <row r="8805">
      <c r="A8805" t="inlineStr">
        <is>
          <t>Saudi Arabia</t>
        </is>
      </c>
      <c r="B8805" t="inlineStr">
        <is>
          <t>SAU</t>
        </is>
      </c>
      <c r="C8805" t="n">
        <v>2014</v>
      </c>
      <c r="D8805" t="n">
        <v>2.23629031536978</v>
      </c>
    </row>
    <row r="8806">
      <c r="A8806" t="inlineStr">
        <is>
          <t>Saudi Arabia</t>
        </is>
      </c>
      <c r="B8806" t="inlineStr">
        <is>
          <t>SAU</t>
        </is>
      </c>
      <c r="C8806" t="n">
        <v>2015</v>
      </c>
      <c r="D8806" t="n">
        <v>1.20607322150109</v>
      </c>
    </row>
    <row r="8807">
      <c r="A8807" t="inlineStr">
        <is>
          <t>Saudi Arabia</t>
        </is>
      </c>
      <c r="B8807" t="inlineStr">
        <is>
          <t>SAU</t>
        </is>
      </c>
      <c r="C8807" t="n">
        <v>2016</v>
      </c>
      <c r="D8807" t="n">
        <v>2.06884036053473</v>
      </c>
    </row>
    <row r="8808">
      <c r="A8808" t="inlineStr">
        <is>
          <t>Saudi Arabia</t>
        </is>
      </c>
      <c r="B8808" t="inlineStr">
        <is>
          <t>SAU</t>
        </is>
      </c>
      <c r="C8808" t="n">
        <v>2017</v>
      </c>
      <c r="D8808" t="n">
        <v>-0.838194579675018</v>
      </c>
    </row>
    <row r="8809">
      <c r="A8809" t="inlineStr">
        <is>
          <t>Saudi Arabia</t>
        </is>
      </c>
      <c r="B8809" t="inlineStr">
        <is>
          <t>SAU</t>
        </is>
      </c>
      <c r="C8809" t="n">
        <v>2018</v>
      </c>
      <c r="D8809" t="n">
        <v>2.45814158007532</v>
      </c>
    </row>
    <row r="8810">
      <c r="A8810" t="inlineStr">
        <is>
          <t>Saudi Arabia</t>
        </is>
      </c>
      <c r="B8810" t="inlineStr">
        <is>
          <t>SAU</t>
        </is>
      </c>
      <c r="C8810" t="n">
        <v>2019</v>
      </c>
      <c r="D8810" t="n">
        <v>-2.09333333333329</v>
      </c>
    </row>
    <row r="8811">
      <c r="A8811" t="inlineStr">
        <is>
          <t>Saudi Arabia</t>
        </is>
      </c>
      <c r="B8811" t="inlineStr">
        <is>
          <t>SAU</t>
        </is>
      </c>
      <c r="C8811" t="n">
        <v>2020</v>
      </c>
      <c r="D8811" t="n">
        <v>3.44545825956692</v>
      </c>
    </row>
    <row r="8812">
      <c r="A8812" t="inlineStr">
        <is>
          <t>Saudi Arabia</t>
        </is>
      </c>
      <c r="B8812" t="inlineStr">
        <is>
          <t>SAU</t>
        </is>
      </c>
      <c r="C8812" t="n">
        <v>2021</v>
      </c>
      <c r="D8812" t="n">
        <v>3.06328988941547</v>
      </c>
    </row>
    <row r="8813">
      <c r="A8813" t="inlineStr">
        <is>
          <t>Saudi Arabia</t>
        </is>
      </c>
      <c r="B8813" t="inlineStr">
        <is>
          <t>SAU</t>
        </is>
      </c>
      <c r="C8813" t="n">
        <v>2022</v>
      </c>
      <c r="D8813" t="n">
        <v>2.4740737192537</v>
      </c>
    </row>
    <row r="8814">
      <c r="A8814" t="inlineStr">
        <is>
          <t>Saudi Arabia</t>
        </is>
      </c>
      <c r="B8814" t="inlineStr">
        <is>
          <t>SAU</t>
        </is>
      </c>
      <c r="C8814" t="n">
        <v>2023</v>
      </c>
      <c r="D8814" t="n">
        <v>2.32708518362692</v>
      </c>
    </row>
    <row r="8815">
      <c r="A8815" t="inlineStr">
        <is>
          <t>Saudi Arabia</t>
        </is>
      </c>
      <c r="B8815" t="inlineStr">
        <is>
          <t>SAU</t>
        </is>
      </c>
      <c r="C8815" t="n">
        <v>2024</v>
      </c>
      <c r="D8815" t="n">
        <v>1.68792112375817</v>
      </c>
    </row>
    <row r="8816">
      <c r="A8816" t="inlineStr">
        <is>
          <t>Sudan</t>
        </is>
      </c>
      <c r="B8816" t="inlineStr">
        <is>
          <t>SDN</t>
        </is>
      </c>
      <c r="C8816" t="n">
        <v>1960</v>
      </c>
      <c r="D8816" t="n">
        <v>0.092240285829437</v>
      </c>
    </row>
    <row r="8817">
      <c r="A8817" t="inlineStr">
        <is>
          <t>Sudan</t>
        </is>
      </c>
      <c r="B8817" t="inlineStr">
        <is>
          <t>SDN</t>
        </is>
      </c>
      <c r="C8817" t="n">
        <v>1961</v>
      </c>
      <c r="D8817" t="n">
        <v>8.76051146191632</v>
      </c>
    </row>
    <row r="8818">
      <c r="A8818" t="inlineStr">
        <is>
          <t>Sudan</t>
        </is>
      </c>
      <c r="B8818" t="inlineStr">
        <is>
          <t>SDN</t>
        </is>
      </c>
      <c r="C8818" t="n">
        <v>1962</v>
      </c>
      <c r="D8818" t="n">
        <v>1.66287136567997</v>
      </c>
    </row>
    <row r="8819">
      <c r="A8819" t="inlineStr">
        <is>
          <t>Sudan</t>
        </is>
      </c>
      <c r="B8819" t="inlineStr">
        <is>
          <t>SDN</t>
        </is>
      </c>
      <c r="C8819" t="n">
        <v>1963</v>
      </c>
      <c r="D8819" t="n">
        <v>4.68823253646181</v>
      </c>
    </row>
    <row r="8820">
      <c r="A8820" t="inlineStr">
        <is>
          <t>Sudan</t>
        </is>
      </c>
      <c r="B8820" t="inlineStr">
        <is>
          <t>SDN</t>
        </is>
      </c>
      <c r="C8820" t="n">
        <v>1964</v>
      </c>
      <c r="D8820" t="n">
        <v>3.95083843356371</v>
      </c>
    </row>
    <row r="8821">
      <c r="A8821" t="inlineStr">
        <is>
          <t>Sudan</t>
        </is>
      </c>
      <c r="B8821" t="inlineStr">
        <is>
          <t>SDN</t>
        </is>
      </c>
      <c r="C8821" t="n">
        <v>1965</v>
      </c>
      <c r="D8821" t="n">
        <v>-2.44602939056201</v>
      </c>
    </row>
    <row r="8822">
      <c r="A8822" t="inlineStr">
        <is>
          <t>Sudan</t>
        </is>
      </c>
      <c r="B8822" t="inlineStr">
        <is>
          <t>SDN</t>
        </is>
      </c>
      <c r="C8822" t="n">
        <v>1966</v>
      </c>
      <c r="D8822" t="n">
        <v>1.71246319927017</v>
      </c>
    </row>
    <row r="8823">
      <c r="A8823" t="inlineStr">
        <is>
          <t>Sudan</t>
        </is>
      </c>
      <c r="B8823" t="inlineStr">
        <is>
          <t>SDN</t>
        </is>
      </c>
      <c r="C8823" t="n">
        <v>1967</v>
      </c>
      <c r="D8823" t="n">
        <v>11.0135558877735</v>
      </c>
    </row>
    <row r="8824">
      <c r="A8824" t="inlineStr">
        <is>
          <t>Sudan</t>
        </is>
      </c>
      <c r="B8824" t="inlineStr">
        <is>
          <t>SDN</t>
        </is>
      </c>
      <c r="C8824" t="n">
        <v>1968</v>
      </c>
      <c r="D8824" t="n">
        <v>-10.0338953589389</v>
      </c>
    </row>
    <row r="8825">
      <c r="A8825" t="inlineStr">
        <is>
          <t>Sudan</t>
        </is>
      </c>
      <c r="B8825" t="inlineStr">
        <is>
          <t>SDN</t>
        </is>
      </c>
      <c r="C8825" t="n">
        <v>1969</v>
      </c>
      <c r="D8825" t="n">
        <v>12.606868569676</v>
      </c>
    </row>
    <row r="8826">
      <c r="A8826" t="inlineStr">
        <is>
          <t>Sudan</t>
        </is>
      </c>
      <c r="B8826" t="inlineStr">
        <is>
          <t>SDN</t>
        </is>
      </c>
      <c r="C8826" t="n">
        <v>1970</v>
      </c>
      <c r="D8826" t="n">
        <v>4.02779565047173</v>
      </c>
    </row>
    <row r="8827">
      <c r="A8827" t="inlineStr">
        <is>
          <t>Sudan</t>
        </is>
      </c>
      <c r="B8827" t="inlineStr">
        <is>
          <t>SDN</t>
        </is>
      </c>
      <c r="C8827" t="n">
        <v>1971</v>
      </c>
      <c r="D8827" t="n">
        <v>1.30366900859353</v>
      </c>
    </row>
    <row r="8828">
      <c r="A8828" t="inlineStr">
        <is>
          <t>Sudan</t>
        </is>
      </c>
      <c r="B8828" t="inlineStr">
        <is>
          <t>SDN</t>
        </is>
      </c>
      <c r="C8828" t="n">
        <v>1972</v>
      </c>
      <c r="D8828" t="n">
        <v>13.5547507128621</v>
      </c>
    </row>
    <row r="8829">
      <c r="A8829" t="inlineStr">
        <is>
          <t>Sudan</t>
        </is>
      </c>
      <c r="B8829" t="inlineStr">
        <is>
          <t>SDN</t>
        </is>
      </c>
      <c r="C8829" t="n">
        <v>1973</v>
      </c>
      <c r="D8829" t="n">
        <v>15.2890879478773</v>
      </c>
    </row>
    <row r="8830">
      <c r="A8830" t="inlineStr">
        <is>
          <t>Sudan</t>
        </is>
      </c>
      <c r="B8830" t="inlineStr">
        <is>
          <t>SDN</t>
        </is>
      </c>
      <c r="C8830" t="n">
        <v>1974</v>
      </c>
      <c r="D8830" t="n">
        <v>26.1581023014198</v>
      </c>
    </row>
    <row r="8831">
      <c r="A8831" t="inlineStr">
        <is>
          <t>Sudan</t>
        </is>
      </c>
      <c r="B8831" t="inlineStr">
        <is>
          <t>SDN</t>
        </is>
      </c>
      <c r="C8831" t="n">
        <v>1975</v>
      </c>
      <c r="D8831" t="n">
        <v>23.9630476370738</v>
      </c>
    </row>
    <row r="8832">
      <c r="A8832" t="inlineStr">
        <is>
          <t>Sudan</t>
        </is>
      </c>
      <c r="B8832" t="inlineStr">
        <is>
          <t>SDN</t>
        </is>
      </c>
      <c r="C8832" t="n">
        <v>1976</v>
      </c>
      <c r="D8832" t="n">
        <v>1.67488426358217</v>
      </c>
    </row>
    <row r="8833">
      <c r="A8833" t="inlineStr">
        <is>
          <t>Sudan</t>
        </is>
      </c>
      <c r="B8833" t="inlineStr">
        <is>
          <t>SDN</t>
        </is>
      </c>
      <c r="C8833" t="n">
        <v>1977</v>
      </c>
      <c r="D8833" t="n">
        <v>17.0763307914922</v>
      </c>
    </row>
    <row r="8834">
      <c r="A8834" t="inlineStr">
        <is>
          <t>Sudan</t>
        </is>
      </c>
      <c r="B8834" t="inlineStr">
        <is>
          <t>SDN</t>
        </is>
      </c>
      <c r="C8834" t="n">
        <v>1978</v>
      </c>
      <c r="D8834" t="n">
        <v>19.2304044013514</v>
      </c>
    </row>
    <row r="8835">
      <c r="A8835" t="inlineStr">
        <is>
          <t>Sudan</t>
        </is>
      </c>
      <c r="B8835" t="inlineStr">
        <is>
          <t>SDN</t>
        </is>
      </c>
      <c r="C8835" t="n">
        <v>1979</v>
      </c>
      <c r="D8835" t="n">
        <v>31.138455010753</v>
      </c>
    </row>
    <row r="8836">
      <c r="A8836" t="inlineStr">
        <is>
          <t>Sudan</t>
        </is>
      </c>
      <c r="B8836" t="inlineStr">
        <is>
          <t>SDN</t>
        </is>
      </c>
      <c r="C8836" t="n">
        <v>1980</v>
      </c>
      <c r="D8836" t="n">
        <v>25.3523690119419</v>
      </c>
    </row>
    <row r="8837">
      <c r="A8837" t="inlineStr">
        <is>
          <t>Sudan</t>
        </is>
      </c>
      <c r="B8837" t="inlineStr">
        <is>
          <t>SDN</t>
        </is>
      </c>
      <c r="C8837" t="n">
        <v>1981</v>
      </c>
      <c r="D8837" t="n">
        <v>24.5757243336576</v>
      </c>
    </row>
    <row r="8838">
      <c r="A8838" t="inlineStr">
        <is>
          <t>Sudan</t>
        </is>
      </c>
      <c r="B8838" t="inlineStr">
        <is>
          <t>SDN</t>
        </is>
      </c>
      <c r="C8838" t="n">
        <v>1982</v>
      </c>
      <c r="D8838" t="n">
        <v>25.7128797492595</v>
      </c>
    </row>
    <row r="8839">
      <c r="A8839" t="inlineStr">
        <is>
          <t>Sudan</t>
        </is>
      </c>
      <c r="B8839" t="inlineStr">
        <is>
          <t>SDN</t>
        </is>
      </c>
      <c r="C8839" t="n">
        <v>1983</v>
      </c>
      <c r="D8839" t="n">
        <v>30.5877747791383</v>
      </c>
    </row>
    <row r="8840">
      <c r="A8840" t="inlineStr">
        <is>
          <t>Sudan</t>
        </is>
      </c>
      <c r="B8840" t="inlineStr">
        <is>
          <t>SDN</t>
        </is>
      </c>
      <c r="C8840" t="n">
        <v>1984</v>
      </c>
      <c r="D8840" t="n">
        <v>34.14634146336</v>
      </c>
    </row>
    <row r="8841">
      <c r="A8841" t="inlineStr">
        <is>
          <t>Sudan</t>
        </is>
      </c>
      <c r="B8841" t="inlineStr">
        <is>
          <t>SDN</t>
        </is>
      </c>
      <c r="C8841" t="n">
        <v>1985</v>
      </c>
      <c r="D8841" t="n">
        <v>45.40750323421</v>
      </c>
    </row>
    <row r="8842">
      <c r="A8842" t="inlineStr">
        <is>
          <t>Sudan</t>
        </is>
      </c>
      <c r="B8842" t="inlineStr">
        <is>
          <t>SDN</t>
        </is>
      </c>
      <c r="C8842" t="n">
        <v>1986</v>
      </c>
      <c r="D8842" t="n">
        <v>24.453490125132</v>
      </c>
    </row>
    <row r="8843">
      <c r="A8843" t="inlineStr">
        <is>
          <t>Sudan</t>
        </is>
      </c>
      <c r="B8843" t="inlineStr">
        <is>
          <t>SDN</t>
        </is>
      </c>
      <c r="C8843" t="n">
        <v>1987</v>
      </c>
      <c r="D8843" t="n">
        <v>20.557237745391</v>
      </c>
    </row>
    <row r="8844">
      <c r="A8844" t="inlineStr">
        <is>
          <t>Sudan</t>
        </is>
      </c>
      <c r="B8844" t="inlineStr">
        <is>
          <t>SDN</t>
        </is>
      </c>
      <c r="C8844" t="n">
        <v>1988</v>
      </c>
      <c r="D8844" t="n">
        <v>64.7005631001051</v>
      </c>
    </row>
    <row r="8845">
      <c r="A8845" t="inlineStr">
        <is>
          <t>Sudan</t>
        </is>
      </c>
      <c r="B8845" t="inlineStr">
        <is>
          <t>SDN</t>
        </is>
      </c>
      <c r="C8845" t="n">
        <v>1989</v>
      </c>
      <c r="D8845" t="n">
        <v>66.72032193158979</v>
      </c>
    </row>
    <row r="8846">
      <c r="A8846" t="inlineStr">
        <is>
          <t>Sudan</t>
        </is>
      </c>
      <c r="B8846" t="inlineStr">
        <is>
          <t>SDN</t>
        </is>
      </c>
      <c r="C8846" t="n">
        <v>1990</v>
      </c>
      <c r="D8846" t="n">
        <v>65.1580979966203</v>
      </c>
    </row>
    <row r="8847">
      <c r="A8847" t="inlineStr">
        <is>
          <t>Sudan</t>
        </is>
      </c>
      <c r="B8847" t="inlineStr">
        <is>
          <t>SDN</t>
        </is>
      </c>
      <c r="C8847" t="n">
        <v>1991</v>
      </c>
      <c r="D8847" t="n">
        <v>123.578126902936</v>
      </c>
    </row>
    <row r="8848">
      <c r="A8848" t="inlineStr">
        <is>
          <t>Sudan</t>
        </is>
      </c>
      <c r="B8848" t="inlineStr">
        <is>
          <t>SDN</t>
        </is>
      </c>
      <c r="C8848" t="n">
        <v>1992</v>
      </c>
      <c r="D8848" t="n">
        <v>117.624468896394</v>
      </c>
    </row>
    <row r="8849">
      <c r="A8849" t="inlineStr">
        <is>
          <t>Sudan</t>
        </is>
      </c>
      <c r="B8849" t="inlineStr">
        <is>
          <t>SDN</t>
        </is>
      </c>
      <c r="C8849" t="n">
        <v>1993</v>
      </c>
      <c r="D8849" t="n">
        <v>101.380423763812</v>
      </c>
    </row>
    <row r="8850">
      <c r="A8850" t="inlineStr">
        <is>
          <t>Sudan</t>
        </is>
      </c>
      <c r="B8850" t="inlineStr">
        <is>
          <t>SDN</t>
        </is>
      </c>
      <c r="C8850" t="n">
        <v>1994</v>
      </c>
      <c r="D8850" t="n">
        <v>115.398144292738</v>
      </c>
    </row>
    <row r="8851">
      <c r="A8851" t="inlineStr">
        <is>
          <t>Sudan</t>
        </is>
      </c>
      <c r="B8851" t="inlineStr">
        <is>
          <t>SDN</t>
        </is>
      </c>
      <c r="C8851" t="n">
        <v>1995</v>
      </c>
      <c r="D8851" t="n">
        <v>68.37519294854221</v>
      </c>
    </row>
    <row r="8852">
      <c r="A8852" t="inlineStr">
        <is>
          <t>Sudan</t>
        </is>
      </c>
      <c r="B8852" t="inlineStr">
        <is>
          <t>SDN</t>
        </is>
      </c>
      <c r="C8852" t="n">
        <v>1996</v>
      </c>
      <c r="D8852" t="n">
        <v>132.823777374139</v>
      </c>
    </row>
    <row r="8853">
      <c r="A8853" t="inlineStr">
        <is>
          <t>Sudan</t>
        </is>
      </c>
      <c r="B8853" t="inlineStr">
        <is>
          <t>SDN</t>
        </is>
      </c>
      <c r="C8853" t="n">
        <v>1997</v>
      </c>
      <c r="D8853" t="n">
        <v>47.1685369647197</v>
      </c>
    </row>
    <row r="8854">
      <c r="A8854" t="inlineStr">
        <is>
          <t>Sudan</t>
        </is>
      </c>
      <c r="B8854" t="inlineStr">
        <is>
          <t>SDN</t>
        </is>
      </c>
      <c r="C8854" t="n">
        <v>1998</v>
      </c>
      <c r="D8854" t="n">
        <v>24.6218785461586</v>
      </c>
    </row>
    <row r="8855">
      <c r="A8855" t="inlineStr">
        <is>
          <t>Sudan</t>
        </is>
      </c>
      <c r="B8855" t="inlineStr">
        <is>
          <t>SDN</t>
        </is>
      </c>
      <c r="C8855" t="n">
        <v>1999</v>
      </c>
      <c r="D8855" t="n">
        <v>17.1664454201761</v>
      </c>
    </row>
    <row r="8856">
      <c r="A8856" t="inlineStr">
        <is>
          <t>Sudan</t>
        </is>
      </c>
      <c r="B8856" t="inlineStr">
        <is>
          <t>SDN</t>
        </is>
      </c>
      <c r="C8856" t="n">
        <v>2000</v>
      </c>
      <c r="D8856" t="n">
        <v>7.12125897172291</v>
      </c>
    </row>
    <row r="8857">
      <c r="A8857" t="inlineStr">
        <is>
          <t>Sudan</t>
        </is>
      </c>
      <c r="B8857" t="inlineStr">
        <is>
          <t>SDN</t>
        </is>
      </c>
      <c r="C8857" t="n">
        <v>2001</v>
      </c>
      <c r="D8857" t="n">
        <v>1.93529572095333</v>
      </c>
    </row>
    <row r="8858">
      <c r="A8858" t="inlineStr">
        <is>
          <t>Sudan</t>
        </is>
      </c>
      <c r="B8858" t="inlineStr">
        <is>
          <t>SDN</t>
        </is>
      </c>
      <c r="C8858" t="n">
        <v>2002</v>
      </c>
      <c r="D8858" t="n">
        <v>22.2247241495905</v>
      </c>
    </row>
    <row r="8859">
      <c r="A8859" t="inlineStr">
        <is>
          <t>Sudan</t>
        </is>
      </c>
      <c r="B8859" t="inlineStr">
        <is>
          <t>SDN</t>
        </is>
      </c>
      <c r="C8859" t="n">
        <v>2003</v>
      </c>
      <c r="D8859" t="n">
        <v>6.48943208673338</v>
      </c>
    </row>
    <row r="8860">
      <c r="A8860" t="inlineStr">
        <is>
          <t>Sudan</t>
        </is>
      </c>
      <c r="B8860" t="inlineStr">
        <is>
          <t>SDN</t>
        </is>
      </c>
      <c r="C8860" t="n">
        <v>2004</v>
      </c>
      <c r="D8860" t="n">
        <v>9.65754628605945</v>
      </c>
    </row>
    <row r="8861">
      <c r="A8861" t="inlineStr">
        <is>
          <t>Sudan</t>
        </is>
      </c>
      <c r="B8861" t="inlineStr">
        <is>
          <t>SDN</t>
        </is>
      </c>
      <c r="C8861" t="n">
        <v>2005</v>
      </c>
      <c r="D8861" t="n">
        <v>8.505850759331169</v>
      </c>
    </row>
    <row r="8862">
      <c r="A8862" t="inlineStr">
        <is>
          <t>Sudan</t>
        </is>
      </c>
      <c r="B8862" t="inlineStr">
        <is>
          <t>SDN</t>
        </is>
      </c>
      <c r="C8862" t="n">
        <v>2006</v>
      </c>
      <c r="D8862" t="n">
        <v>7.19912990114709</v>
      </c>
    </row>
    <row r="8863">
      <c r="A8863" t="inlineStr">
        <is>
          <t>Sudan</t>
        </is>
      </c>
      <c r="B8863" t="inlineStr">
        <is>
          <t>SDN</t>
        </is>
      </c>
      <c r="C8863" t="n">
        <v>2007</v>
      </c>
      <c r="D8863" t="n">
        <v>14.7542770780084</v>
      </c>
    </row>
    <row r="8864">
      <c r="A8864" t="inlineStr">
        <is>
          <t>Sudan</t>
        </is>
      </c>
      <c r="B8864" t="inlineStr">
        <is>
          <t>SDN</t>
        </is>
      </c>
      <c r="C8864" t="n">
        <v>2008</v>
      </c>
      <c r="D8864" t="n">
        <v>14.2971224481434</v>
      </c>
    </row>
    <row r="8865">
      <c r="A8865" t="inlineStr">
        <is>
          <t>Sudan</t>
        </is>
      </c>
      <c r="B8865" t="inlineStr">
        <is>
          <t>SDN</t>
        </is>
      </c>
      <c r="C8865" t="n">
        <v>2009</v>
      </c>
      <c r="D8865" t="n">
        <v>11.256758706301</v>
      </c>
    </row>
    <row r="8866">
      <c r="A8866" t="inlineStr">
        <is>
          <t>Sudan</t>
        </is>
      </c>
      <c r="B8866" t="inlineStr">
        <is>
          <t>SDN</t>
        </is>
      </c>
      <c r="C8866" t="n">
        <v>2010</v>
      </c>
      <c r="D8866" t="n">
        <v>12.9776663898014</v>
      </c>
    </row>
    <row r="8867">
      <c r="A8867" t="inlineStr">
        <is>
          <t>Sudan</t>
        </is>
      </c>
      <c r="B8867" t="inlineStr">
        <is>
          <t>SDN</t>
        </is>
      </c>
      <c r="C8867" t="n">
        <v>2011</v>
      </c>
      <c r="D8867" t="n">
        <v>18.0966171221351</v>
      </c>
    </row>
    <row r="8868">
      <c r="A8868" t="inlineStr">
        <is>
          <t>Sudan</t>
        </is>
      </c>
      <c r="B8868" t="inlineStr">
        <is>
          <t>SDN</t>
        </is>
      </c>
      <c r="C8868" t="n">
        <v>2012</v>
      </c>
      <c r="D8868" t="n">
        <v>35.5590574147024</v>
      </c>
    </row>
    <row r="8869">
      <c r="A8869" t="inlineStr">
        <is>
          <t>Sudan</t>
        </is>
      </c>
      <c r="B8869" t="inlineStr">
        <is>
          <t>SDN</t>
        </is>
      </c>
      <c r="C8869" t="n">
        <v>2013</v>
      </c>
      <c r="D8869" t="n">
        <v>36.5223449139154</v>
      </c>
    </row>
    <row r="8870">
      <c r="A8870" t="inlineStr">
        <is>
          <t>Sudan</t>
        </is>
      </c>
      <c r="B8870" t="inlineStr">
        <is>
          <t>SDN</t>
        </is>
      </c>
      <c r="C8870" t="n">
        <v>2014</v>
      </c>
      <c r="D8870" t="n">
        <v>36.9066427863595</v>
      </c>
    </row>
    <row r="8871">
      <c r="A8871" t="inlineStr">
        <is>
          <t>Sudan</t>
        </is>
      </c>
      <c r="B8871" t="inlineStr">
        <is>
          <t>SDN</t>
        </is>
      </c>
      <c r="C8871" t="n">
        <v>2015</v>
      </c>
      <c r="D8871" t="n">
        <v>16.9095706050977</v>
      </c>
    </row>
    <row r="8872">
      <c r="A8872" t="inlineStr">
        <is>
          <t>Sudan</t>
        </is>
      </c>
      <c r="B8872" t="inlineStr">
        <is>
          <t>SDN</t>
        </is>
      </c>
      <c r="C8872" t="n">
        <v>2016</v>
      </c>
      <c r="D8872" t="n">
        <v>17.750253831196</v>
      </c>
    </row>
    <row r="8873">
      <c r="A8873" t="inlineStr">
        <is>
          <t>Sudan</t>
        </is>
      </c>
      <c r="B8873" t="inlineStr">
        <is>
          <t>SDN</t>
        </is>
      </c>
      <c r="C8873" t="n">
        <v>2017</v>
      </c>
      <c r="D8873" t="n">
        <v>32.3516260968437</v>
      </c>
    </row>
    <row r="8874">
      <c r="A8874" t="inlineStr">
        <is>
          <t>Sudan</t>
        </is>
      </c>
      <c r="B8874" t="inlineStr">
        <is>
          <t>SDN</t>
        </is>
      </c>
      <c r="C8874" t="n">
        <v>2018</v>
      </c>
      <c r="D8874" t="n">
        <v>63.2925073455888</v>
      </c>
    </row>
    <row r="8875">
      <c r="A8875" t="inlineStr">
        <is>
          <t>Sudan</t>
        </is>
      </c>
      <c r="B8875" t="inlineStr">
        <is>
          <t>SDN</t>
        </is>
      </c>
      <c r="C8875" t="n">
        <v>2019</v>
      </c>
      <c r="D8875" t="n">
        <v>50.9940515002965</v>
      </c>
    </row>
    <row r="8876">
      <c r="A8876" t="inlineStr">
        <is>
          <t>Sudan</t>
        </is>
      </c>
      <c r="B8876" t="inlineStr">
        <is>
          <t>SDN</t>
        </is>
      </c>
      <c r="C8876" t="n">
        <v>2020</v>
      </c>
      <c r="D8876" t="n">
        <v>163.257782355458</v>
      </c>
    </row>
    <row r="8877">
      <c r="A8877" t="inlineStr">
        <is>
          <t>Sudan</t>
        </is>
      </c>
      <c r="B8877" t="inlineStr">
        <is>
          <t>SDN</t>
        </is>
      </c>
      <c r="C8877" t="n">
        <v>2021</v>
      </c>
      <c r="D8877" t="n">
        <v>359.093040778999</v>
      </c>
    </row>
    <row r="8878">
      <c r="A8878" t="inlineStr">
        <is>
          <t>Sudan</t>
        </is>
      </c>
      <c r="B8878" t="inlineStr">
        <is>
          <t>SDN</t>
        </is>
      </c>
      <c r="C8878" t="n">
        <v>2022</v>
      </c>
      <c r="D8878" t="n">
        <v>138.80846024176</v>
      </c>
    </row>
    <row r="8879">
      <c r="A8879" t="inlineStr">
        <is>
          <t>Senegal</t>
        </is>
      </c>
      <c r="B8879" t="inlineStr">
        <is>
          <t>SEN</t>
        </is>
      </c>
      <c r="C8879" t="n">
        <v>1968</v>
      </c>
      <c r="D8879" t="n">
        <v>0.0583333328330434</v>
      </c>
    </row>
    <row r="8880">
      <c r="A8880" t="inlineStr">
        <is>
          <t>Senegal</t>
        </is>
      </c>
      <c r="B8880" t="inlineStr">
        <is>
          <t>SEN</t>
        </is>
      </c>
      <c r="C8880" t="n">
        <v>1969</v>
      </c>
      <c r="D8880" t="n">
        <v>4.02265345225706</v>
      </c>
    </row>
    <row r="8881">
      <c r="A8881" t="inlineStr">
        <is>
          <t>Senegal</t>
        </is>
      </c>
      <c r="B8881" t="inlineStr">
        <is>
          <t>SEN</t>
        </is>
      </c>
      <c r="C8881" t="n">
        <v>1970</v>
      </c>
      <c r="D8881" t="n">
        <v>2.81024819857027</v>
      </c>
    </row>
    <row r="8882">
      <c r="A8882" t="inlineStr">
        <is>
          <t>Senegal</t>
        </is>
      </c>
      <c r="B8882" t="inlineStr">
        <is>
          <t>SEN</t>
        </is>
      </c>
      <c r="C8882" t="n">
        <v>1971</v>
      </c>
      <c r="D8882" t="n">
        <v>3.87820263197536</v>
      </c>
    </row>
    <row r="8883">
      <c r="A8883" t="inlineStr">
        <is>
          <t>Senegal</t>
        </is>
      </c>
      <c r="B8883" t="inlineStr">
        <is>
          <t>SEN</t>
        </is>
      </c>
      <c r="C8883" t="n">
        <v>1972</v>
      </c>
      <c r="D8883" t="n">
        <v>6.15488417411274</v>
      </c>
    </row>
    <row r="8884">
      <c r="A8884" t="inlineStr">
        <is>
          <t>Senegal</t>
        </is>
      </c>
      <c r="B8884" t="inlineStr">
        <is>
          <t>SEN</t>
        </is>
      </c>
      <c r="C8884" t="n">
        <v>1973</v>
      </c>
      <c r="D8884" t="n">
        <v>11.2853107346838</v>
      </c>
    </row>
    <row r="8885">
      <c r="A8885" t="inlineStr">
        <is>
          <t>Senegal</t>
        </is>
      </c>
      <c r="B8885" t="inlineStr">
        <is>
          <t>SEN</t>
        </is>
      </c>
      <c r="C8885" t="n">
        <v>1974</v>
      </c>
      <c r="D8885" t="n">
        <v>16.6010915093494</v>
      </c>
    </row>
    <row r="8886">
      <c r="A8886" t="inlineStr">
        <is>
          <t>Senegal</t>
        </is>
      </c>
      <c r="B8886" t="inlineStr">
        <is>
          <t>SEN</t>
        </is>
      </c>
      <c r="C8886" t="n">
        <v>1975</v>
      </c>
      <c r="D8886" t="n">
        <v>31.6534233153685</v>
      </c>
    </row>
    <row r="8887">
      <c r="A8887" t="inlineStr">
        <is>
          <t>Senegal</t>
        </is>
      </c>
      <c r="B8887" t="inlineStr">
        <is>
          <t>SEN</t>
        </is>
      </c>
      <c r="C8887" t="n">
        <v>1976</v>
      </c>
      <c r="D8887" t="n">
        <v>1.08309218710663</v>
      </c>
    </row>
    <row r="8888">
      <c r="A8888" t="inlineStr">
        <is>
          <t>Senegal</t>
        </is>
      </c>
      <c r="B8888" t="inlineStr">
        <is>
          <t>SEN</t>
        </is>
      </c>
      <c r="C8888" t="n">
        <v>1977</v>
      </c>
      <c r="D8888" t="n">
        <v>11.3405856371037</v>
      </c>
    </row>
    <row r="8889">
      <c r="A8889" t="inlineStr">
        <is>
          <t>Senegal</t>
        </is>
      </c>
      <c r="B8889" t="inlineStr">
        <is>
          <t>SEN</t>
        </is>
      </c>
      <c r="C8889" t="n">
        <v>1978</v>
      </c>
      <c r="D8889" t="n">
        <v>3.41965105587522</v>
      </c>
    </row>
    <row r="8890">
      <c r="A8890" t="inlineStr">
        <is>
          <t>Senegal</t>
        </is>
      </c>
      <c r="B8890" t="inlineStr">
        <is>
          <t>SEN</t>
        </is>
      </c>
      <c r="C8890" t="n">
        <v>1979</v>
      </c>
      <c r="D8890" t="n">
        <v>9.65335985257029</v>
      </c>
    </row>
    <row r="8891">
      <c r="A8891" t="inlineStr">
        <is>
          <t>Senegal</t>
        </is>
      </c>
      <c r="B8891" t="inlineStr">
        <is>
          <t>SEN</t>
        </is>
      </c>
      <c r="C8891" t="n">
        <v>1980</v>
      </c>
      <c r="D8891" t="n">
        <v>8.72902766072327</v>
      </c>
    </row>
    <row r="8892">
      <c r="A8892" t="inlineStr">
        <is>
          <t>Senegal</t>
        </is>
      </c>
      <c r="B8892" t="inlineStr">
        <is>
          <t>SEN</t>
        </is>
      </c>
      <c r="C8892" t="n">
        <v>1981</v>
      </c>
      <c r="D8892" t="n">
        <v>5.91319372031626</v>
      </c>
    </row>
    <row r="8893">
      <c r="A8893" t="inlineStr">
        <is>
          <t>Senegal</t>
        </is>
      </c>
      <c r="B8893" t="inlineStr">
        <is>
          <t>SEN</t>
        </is>
      </c>
      <c r="C8893" t="n">
        <v>1982</v>
      </c>
      <c r="D8893" t="n">
        <v>17.3763852168922</v>
      </c>
    </row>
    <row r="8894">
      <c r="A8894" t="inlineStr">
        <is>
          <t>Senegal</t>
        </is>
      </c>
      <c r="B8894" t="inlineStr">
        <is>
          <t>SEN</t>
        </is>
      </c>
      <c r="C8894" t="n">
        <v>1983</v>
      </c>
      <c r="D8894" t="n">
        <v>11.6169845681475</v>
      </c>
    </row>
    <row r="8895">
      <c r="A8895" t="inlineStr">
        <is>
          <t>Senegal</t>
        </is>
      </c>
      <c r="B8895" t="inlineStr">
        <is>
          <t>SEN</t>
        </is>
      </c>
      <c r="C8895" t="n">
        <v>1984</v>
      </c>
      <c r="D8895" t="n">
        <v>11.7840274796329</v>
      </c>
    </row>
    <row r="8896">
      <c r="A8896" t="inlineStr">
        <is>
          <t>Senegal</t>
        </is>
      </c>
      <c r="B8896" t="inlineStr">
        <is>
          <t>SEN</t>
        </is>
      </c>
      <c r="C8896" t="n">
        <v>1985</v>
      </c>
      <c r="D8896" t="n">
        <v>13.0000576159794</v>
      </c>
    </row>
    <row r="8897">
      <c r="A8897" t="inlineStr">
        <is>
          <t>Senegal</t>
        </is>
      </c>
      <c r="B8897" t="inlineStr">
        <is>
          <t>SEN</t>
        </is>
      </c>
      <c r="C8897" t="n">
        <v>1986</v>
      </c>
      <c r="D8897" t="n">
        <v>6.18477854456934</v>
      </c>
    </row>
    <row r="8898">
      <c r="A8898" t="inlineStr">
        <is>
          <t>Senegal</t>
        </is>
      </c>
      <c r="B8898" t="inlineStr">
        <is>
          <t>SEN</t>
        </is>
      </c>
      <c r="C8898" t="n">
        <v>1987</v>
      </c>
      <c r="D8898" t="n">
        <v>-4.14072378633809</v>
      </c>
    </row>
    <row r="8899">
      <c r="A8899" t="inlineStr">
        <is>
          <t>Senegal</t>
        </is>
      </c>
      <c r="B8899" t="inlineStr">
        <is>
          <t>SEN</t>
        </is>
      </c>
      <c r="C8899" t="n">
        <v>1988</v>
      </c>
      <c r="D8899" t="n">
        <v>-1.82668225079295</v>
      </c>
    </row>
    <row r="8900">
      <c r="A8900" t="inlineStr">
        <is>
          <t>Senegal</t>
        </is>
      </c>
      <c r="B8900" t="inlineStr">
        <is>
          <t>SEN</t>
        </is>
      </c>
      <c r="C8900" t="n">
        <v>1989</v>
      </c>
      <c r="D8900" t="n">
        <v>0.447309340771316</v>
      </c>
    </row>
    <row r="8901">
      <c r="A8901" t="inlineStr">
        <is>
          <t>Senegal</t>
        </is>
      </c>
      <c r="B8901" t="inlineStr">
        <is>
          <t>SEN</t>
        </is>
      </c>
      <c r="C8901" t="n">
        <v>1990</v>
      </c>
      <c r="D8901" t="n">
        <v>0.325098630183258</v>
      </c>
    </row>
    <row r="8902">
      <c r="A8902" t="inlineStr">
        <is>
          <t>Senegal</t>
        </is>
      </c>
      <c r="B8902" t="inlineStr">
        <is>
          <t>SEN</t>
        </is>
      </c>
      <c r="C8902" t="n">
        <v>1991</v>
      </c>
      <c r="D8902" t="n">
        <v>-1.75355690199309</v>
      </c>
    </row>
    <row r="8903">
      <c r="A8903" t="inlineStr">
        <is>
          <t>Senegal</t>
        </is>
      </c>
      <c r="B8903" t="inlineStr">
        <is>
          <t>SEN</t>
        </is>
      </c>
      <c r="C8903" t="n">
        <v>1992</v>
      </c>
      <c r="D8903" t="n">
        <v>-0.109942967085646</v>
      </c>
    </row>
    <row r="8904">
      <c r="A8904" t="inlineStr">
        <is>
          <t>Senegal</t>
        </is>
      </c>
      <c r="B8904" t="inlineStr">
        <is>
          <t>SEN</t>
        </is>
      </c>
      <c r="C8904" t="n">
        <v>1993</v>
      </c>
      <c r="D8904" t="n">
        <v>-0.586434615120184</v>
      </c>
    </row>
    <row r="8905">
      <c r="A8905" t="inlineStr">
        <is>
          <t>Senegal</t>
        </is>
      </c>
      <c r="B8905" t="inlineStr">
        <is>
          <t>SEN</t>
        </is>
      </c>
      <c r="C8905" t="n">
        <v>1994</v>
      </c>
      <c r="D8905" t="n">
        <v>32.2936668569551</v>
      </c>
    </row>
    <row r="8906">
      <c r="A8906" t="inlineStr">
        <is>
          <t>Senegal</t>
        </is>
      </c>
      <c r="B8906" t="inlineStr">
        <is>
          <t>SEN</t>
        </is>
      </c>
      <c r="C8906" t="n">
        <v>1995</v>
      </c>
      <c r="D8906" t="n">
        <v>7.86400784570111</v>
      </c>
    </row>
    <row r="8907">
      <c r="A8907" t="inlineStr">
        <is>
          <t>Senegal</t>
        </is>
      </c>
      <c r="B8907" t="inlineStr">
        <is>
          <t>SEN</t>
        </is>
      </c>
      <c r="C8907" t="n">
        <v>1996</v>
      </c>
      <c r="D8907" t="n">
        <v>2.75430663482409</v>
      </c>
    </row>
    <row r="8908">
      <c r="A8908" t="inlineStr">
        <is>
          <t>Senegal</t>
        </is>
      </c>
      <c r="B8908" t="inlineStr">
        <is>
          <t>SEN</t>
        </is>
      </c>
      <c r="C8908" t="n">
        <v>1997</v>
      </c>
      <c r="D8908" t="n">
        <v>1.75316478097235</v>
      </c>
    </row>
    <row r="8909">
      <c r="A8909" t="inlineStr">
        <is>
          <t>Senegal</t>
        </is>
      </c>
      <c r="B8909" t="inlineStr">
        <is>
          <t>SEN</t>
        </is>
      </c>
      <c r="C8909" t="n">
        <v>1998</v>
      </c>
      <c r="D8909" t="n">
        <v>1.15678070391341</v>
      </c>
    </row>
    <row r="8910">
      <c r="A8910" t="inlineStr">
        <is>
          <t>Senegal</t>
        </is>
      </c>
      <c r="B8910" t="inlineStr">
        <is>
          <t>SEN</t>
        </is>
      </c>
      <c r="C8910" t="n">
        <v>1999</v>
      </c>
      <c r="D8910" t="n">
        <v>0.827250608272509</v>
      </c>
    </row>
    <row r="8911">
      <c r="A8911" t="inlineStr">
        <is>
          <t>Senegal</t>
        </is>
      </c>
      <c r="B8911" t="inlineStr">
        <is>
          <t>SEN</t>
        </is>
      </c>
      <c r="C8911" t="n">
        <v>2000</v>
      </c>
      <c r="D8911" t="n">
        <v>0.731981981981609</v>
      </c>
    </row>
    <row r="8912">
      <c r="A8912" t="inlineStr">
        <is>
          <t>Senegal</t>
        </is>
      </c>
      <c r="B8912" t="inlineStr">
        <is>
          <t>SEN</t>
        </is>
      </c>
      <c r="C8912" t="n">
        <v>2001</v>
      </c>
      <c r="D8912" t="n">
        <v>2.9745008391957</v>
      </c>
    </row>
    <row r="8913">
      <c r="A8913" t="inlineStr">
        <is>
          <t>Senegal</t>
        </is>
      </c>
      <c r="B8913" t="inlineStr">
        <is>
          <t>SEN</t>
        </is>
      </c>
      <c r="C8913" t="n">
        <v>2002</v>
      </c>
      <c r="D8913" t="n">
        <v>2.33730187454302</v>
      </c>
    </row>
    <row r="8914">
      <c r="A8914" t="inlineStr">
        <is>
          <t>Senegal</t>
        </is>
      </c>
      <c r="B8914" t="inlineStr">
        <is>
          <t>SEN</t>
        </is>
      </c>
      <c r="C8914" t="n">
        <v>2003</v>
      </c>
      <c r="D8914" t="n">
        <v>-0.0519970242714378</v>
      </c>
    </row>
    <row r="8915">
      <c r="A8915" t="inlineStr">
        <is>
          <t>Senegal</t>
        </is>
      </c>
      <c r="B8915" t="inlineStr">
        <is>
          <t>SEN</t>
        </is>
      </c>
      <c r="C8915" t="n">
        <v>2004</v>
      </c>
      <c r="D8915" t="n">
        <v>0.51478178102298</v>
      </c>
    </row>
    <row r="8916">
      <c r="A8916" t="inlineStr">
        <is>
          <t>Senegal</t>
        </is>
      </c>
      <c r="B8916" t="inlineStr">
        <is>
          <t>SEN</t>
        </is>
      </c>
      <c r="C8916" t="n">
        <v>2005</v>
      </c>
      <c r="D8916" t="n">
        <v>1.71133325855503</v>
      </c>
    </row>
    <row r="8917">
      <c r="A8917" t="inlineStr">
        <is>
          <t>Senegal</t>
        </is>
      </c>
      <c r="B8917" t="inlineStr">
        <is>
          <t>SEN</t>
        </is>
      </c>
      <c r="C8917" t="n">
        <v>2006</v>
      </c>
      <c r="D8917" t="n">
        <v>2.1122858387711</v>
      </c>
    </row>
    <row r="8918">
      <c r="A8918" t="inlineStr">
        <is>
          <t>Senegal</t>
        </is>
      </c>
      <c r="B8918" t="inlineStr">
        <is>
          <t>SEN</t>
        </is>
      </c>
      <c r="C8918" t="n">
        <v>2007</v>
      </c>
      <c r="D8918" t="n">
        <v>5.85330428467687</v>
      </c>
    </row>
    <row r="8919">
      <c r="A8919" t="inlineStr">
        <is>
          <t>Senegal</t>
        </is>
      </c>
      <c r="B8919" t="inlineStr">
        <is>
          <t>SEN</t>
        </is>
      </c>
      <c r="C8919" t="n">
        <v>2008</v>
      </c>
      <c r="D8919" t="n">
        <v>7.34720236578404</v>
      </c>
    </row>
    <row r="8920">
      <c r="A8920" t="inlineStr">
        <is>
          <t>Senegal</t>
        </is>
      </c>
      <c r="B8920" t="inlineStr">
        <is>
          <t>SEN</t>
        </is>
      </c>
      <c r="C8920" t="n">
        <v>2009</v>
      </c>
      <c r="D8920" t="n">
        <v>-2.24802147855337</v>
      </c>
    </row>
    <row r="8921">
      <c r="A8921" t="inlineStr">
        <is>
          <t>Senegal</t>
        </is>
      </c>
      <c r="B8921" t="inlineStr">
        <is>
          <t>SEN</t>
        </is>
      </c>
      <c r="C8921" t="n">
        <v>2010</v>
      </c>
      <c r="D8921" t="n">
        <v>1.22868119673341</v>
      </c>
    </row>
    <row r="8922">
      <c r="A8922" t="inlineStr">
        <is>
          <t>Senegal</t>
        </is>
      </c>
      <c r="B8922" t="inlineStr">
        <is>
          <t>SEN</t>
        </is>
      </c>
      <c r="C8922" t="n">
        <v>2011</v>
      </c>
      <c r="D8922" t="n">
        <v>3.40322829786971</v>
      </c>
    </row>
    <row r="8923">
      <c r="A8923" t="inlineStr">
        <is>
          <t>Senegal</t>
        </is>
      </c>
      <c r="B8923" t="inlineStr">
        <is>
          <t>SEN</t>
        </is>
      </c>
      <c r="C8923" t="n">
        <v>2012</v>
      </c>
      <c r="D8923" t="n">
        <v>1.41822871177844</v>
      </c>
    </row>
    <row r="8924">
      <c r="A8924" t="inlineStr">
        <is>
          <t>Senegal</t>
        </is>
      </c>
      <c r="B8924" t="inlineStr">
        <is>
          <t>SEN</t>
        </is>
      </c>
      <c r="C8924" t="n">
        <v>2013</v>
      </c>
      <c r="D8924" t="n">
        <v>0.710245486695272</v>
      </c>
    </row>
    <row r="8925">
      <c r="A8925" t="inlineStr">
        <is>
          <t>Senegal</t>
        </is>
      </c>
      <c r="B8925" t="inlineStr">
        <is>
          <t>SEN</t>
        </is>
      </c>
      <c r="C8925" t="n">
        <v>2014</v>
      </c>
      <c r="D8925" t="n">
        <v>-1.09025507446895</v>
      </c>
    </row>
    <row r="8926">
      <c r="A8926" t="inlineStr">
        <is>
          <t>Senegal</t>
        </is>
      </c>
      <c r="B8926" t="inlineStr">
        <is>
          <t>SEN</t>
        </is>
      </c>
      <c r="C8926" t="n">
        <v>2015</v>
      </c>
      <c r="D8926" t="n">
        <v>0.13521193363526</v>
      </c>
    </row>
    <row r="8927">
      <c r="A8927" t="inlineStr">
        <is>
          <t>Senegal</t>
        </is>
      </c>
      <c r="B8927" t="inlineStr">
        <is>
          <t>SEN</t>
        </is>
      </c>
      <c r="C8927" t="n">
        <v>2016</v>
      </c>
      <c r="D8927" t="n">
        <v>0.837284942557434</v>
      </c>
    </row>
    <row r="8928">
      <c r="A8928" t="inlineStr">
        <is>
          <t>Senegal</t>
        </is>
      </c>
      <c r="B8928" t="inlineStr">
        <is>
          <t>SEN</t>
        </is>
      </c>
      <c r="C8928" t="n">
        <v>2017</v>
      </c>
      <c r="D8928" t="n">
        <v>1.3181531484778</v>
      </c>
    </row>
    <row r="8929">
      <c r="A8929" t="inlineStr">
        <is>
          <t>Senegal</t>
        </is>
      </c>
      <c r="B8929" t="inlineStr">
        <is>
          <t>SEN</t>
        </is>
      </c>
      <c r="C8929" t="n">
        <v>2018</v>
      </c>
      <c r="D8929" t="n">
        <v>0.460985642464282</v>
      </c>
    </row>
    <row r="8930">
      <c r="A8930" t="inlineStr">
        <is>
          <t>Senegal</t>
        </is>
      </c>
      <c r="B8930" t="inlineStr">
        <is>
          <t>SEN</t>
        </is>
      </c>
      <c r="C8930" t="n">
        <v>2019</v>
      </c>
      <c r="D8930" t="n">
        <v>1.76011151192938</v>
      </c>
    </row>
    <row r="8931">
      <c r="A8931" t="inlineStr">
        <is>
          <t>Senegal</t>
        </is>
      </c>
      <c r="B8931" t="inlineStr">
        <is>
          <t>SEN</t>
        </is>
      </c>
      <c r="C8931" t="n">
        <v>2020</v>
      </c>
      <c r="D8931" t="n">
        <v>2.54314685681652</v>
      </c>
    </row>
    <row r="8932">
      <c r="A8932" t="inlineStr">
        <is>
          <t>Senegal</t>
        </is>
      </c>
      <c r="B8932" t="inlineStr">
        <is>
          <t>SEN</t>
        </is>
      </c>
      <c r="C8932" t="n">
        <v>2021</v>
      </c>
      <c r="D8932" t="n">
        <v>2.18032278088147</v>
      </c>
    </row>
    <row r="8933">
      <c r="A8933" t="inlineStr">
        <is>
          <t>Senegal</t>
        </is>
      </c>
      <c r="B8933" t="inlineStr">
        <is>
          <t>SEN</t>
        </is>
      </c>
      <c r="C8933" t="n">
        <v>2022</v>
      </c>
      <c r="D8933" t="n">
        <v>9.69681899081073</v>
      </c>
    </row>
    <row r="8934">
      <c r="A8934" t="inlineStr">
        <is>
          <t>Senegal</t>
        </is>
      </c>
      <c r="B8934" t="inlineStr">
        <is>
          <t>SEN</t>
        </is>
      </c>
      <c r="C8934" t="n">
        <v>2023</v>
      </c>
      <c r="D8934" t="n">
        <v>5.93947798773215</v>
      </c>
    </row>
    <row r="8935">
      <c r="A8935" t="inlineStr">
        <is>
          <t>Singapore</t>
        </is>
      </c>
      <c r="B8935" t="inlineStr">
        <is>
          <t>SGP</t>
        </is>
      </c>
      <c r="C8935" t="n">
        <v>1961</v>
      </c>
      <c r="D8935" t="n">
        <v>0.400000000000066</v>
      </c>
    </row>
    <row r="8936">
      <c r="A8936" t="inlineStr">
        <is>
          <t>Singapore</t>
        </is>
      </c>
      <c r="B8936" t="inlineStr">
        <is>
          <t>SGP</t>
        </is>
      </c>
      <c r="C8936" t="n">
        <v>1962</v>
      </c>
      <c r="D8936" t="n">
        <v>0.419580419580313</v>
      </c>
    </row>
    <row r="8937">
      <c r="A8937" t="inlineStr">
        <is>
          <t>Singapore</t>
        </is>
      </c>
      <c r="B8937" t="inlineStr">
        <is>
          <t>SGP</t>
        </is>
      </c>
      <c r="C8937" t="n">
        <v>1963</v>
      </c>
      <c r="D8937" t="n">
        <v>2.20519962859833</v>
      </c>
    </row>
    <row r="8938">
      <c r="A8938" t="inlineStr">
        <is>
          <t>Singapore</t>
        </is>
      </c>
      <c r="B8938" t="inlineStr">
        <is>
          <t>SGP</t>
        </is>
      </c>
      <c r="C8938" t="n">
        <v>1964</v>
      </c>
      <c r="D8938" t="n">
        <v>1.72609584374285</v>
      </c>
    </row>
    <row r="8939">
      <c r="A8939" t="inlineStr">
        <is>
          <t>Singapore</t>
        </is>
      </c>
      <c r="B8939" t="inlineStr">
        <is>
          <t>SGP</t>
        </is>
      </c>
      <c r="C8939" t="n">
        <v>1965</v>
      </c>
      <c r="D8939" t="n">
        <v>0.178611297164612</v>
      </c>
    </row>
    <row r="8940">
      <c r="A8940" t="inlineStr">
        <is>
          <t>Singapore</t>
        </is>
      </c>
      <c r="B8940" t="inlineStr">
        <is>
          <t>SGP</t>
        </is>
      </c>
      <c r="C8940" t="n">
        <v>1966</v>
      </c>
      <c r="D8940" t="n">
        <v>2.00579451749492</v>
      </c>
    </row>
    <row r="8941">
      <c r="A8941" t="inlineStr">
        <is>
          <t>Singapore</t>
        </is>
      </c>
      <c r="B8941" t="inlineStr">
        <is>
          <t>SGP</t>
        </is>
      </c>
      <c r="C8941" t="n">
        <v>1967</v>
      </c>
      <c r="D8941" t="n">
        <v>3.34280096132821</v>
      </c>
    </row>
    <row r="8942">
      <c r="A8942" t="inlineStr">
        <is>
          <t>Singapore</t>
        </is>
      </c>
      <c r="B8942" t="inlineStr">
        <is>
          <t>SGP</t>
        </is>
      </c>
      <c r="C8942" t="n">
        <v>1968</v>
      </c>
      <c r="D8942" t="n">
        <v>0.6553911205073349</v>
      </c>
    </row>
    <row r="8943">
      <c r="A8943" t="inlineStr">
        <is>
          <t>Singapore</t>
        </is>
      </c>
      <c r="B8943" t="inlineStr">
        <is>
          <t>SGP</t>
        </is>
      </c>
      <c r="C8943" t="n">
        <v>1969</v>
      </c>
      <c r="D8943" t="n">
        <v>-0.273051879856944</v>
      </c>
    </row>
    <row r="8944">
      <c r="A8944" t="inlineStr">
        <is>
          <t>Singapore</t>
        </is>
      </c>
      <c r="B8944" t="inlineStr">
        <is>
          <t>SGP</t>
        </is>
      </c>
      <c r="C8944" t="n">
        <v>1970</v>
      </c>
      <c r="D8944" t="n">
        <v>0.463352990732629</v>
      </c>
    </row>
    <row r="8945">
      <c r="A8945" t="inlineStr">
        <is>
          <t>Singapore</t>
        </is>
      </c>
      <c r="B8945" t="inlineStr">
        <is>
          <t>SGP</t>
        </is>
      </c>
      <c r="C8945" t="n">
        <v>1971</v>
      </c>
      <c r="D8945" t="n">
        <v>1.76100628930823</v>
      </c>
    </row>
    <row r="8946">
      <c r="A8946" t="inlineStr">
        <is>
          <t>Singapore</t>
        </is>
      </c>
      <c r="B8946" t="inlineStr">
        <is>
          <t>SGP</t>
        </is>
      </c>
      <c r="C8946" t="n">
        <v>1972</v>
      </c>
      <c r="D8946" t="n">
        <v>2.08075813761872</v>
      </c>
    </row>
    <row r="8947">
      <c r="A8947" t="inlineStr">
        <is>
          <t>Singapore</t>
        </is>
      </c>
      <c r="B8947" t="inlineStr">
        <is>
          <t>SGP</t>
        </is>
      </c>
      <c r="C8947" t="n">
        <v>1973</v>
      </c>
      <c r="D8947" t="n">
        <v>19.6367305751765</v>
      </c>
    </row>
    <row r="8948">
      <c r="A8948" t="inlineStr">
        <is>
          <t>Singapore</t>
        </is>
      </c>
      <c r="B8948" t="inlineStr">
        <is>
          <t>SGP</t>
        </is>
      </c>
      <c r="C8948" t="n">
        <v>1974</v>
      </c>
      <c r="D8948" t="n">
        <v>22.3684210526315</v>
      </c>
    </row>
    <row r="8949">
      <c r="A8949" t="inlineStr">
        <is>
          <t>Singapore</t>
        </is>
      </c>
      <c r="B8949" t="inlineStr">
        <is>
          <t>SGP</t>
        </is>
      </c>
      <c r="C8949" t="n">
        <v>1975</v>
      </c>
      <c r="D8949" t="n">
        <v>2.53653156878948</v>
      </c>
    </row>
    <row r="8950">
      <c r="A8950" t="inlineStr">
        <is>
          <t>Singapore</t>
        </is>
      </c>
      <c r="B8950" t="inlineStr">
        <is>
          <t>SGP</t>
        </is>
      </c>
      <c r="C8950" t="n">
        <v>1976</v>
      </c>
      <c r="D8950" t="n">
        <v>-1.84189298198422</v>
      </c>
    </row>
    <row r="8951">
      <c r="A8951" t="inlineStr">
        <is>
          <t>Singapore</t>
        </is>
      </c>
      <c r="B8951" t="inlineStr">
        <is>
          <t>SGP</t>
        </is>
      </c>
      <c r="C8951" t="n">
        <v>1977</v>
      </c>
      <c r="D8951" t="n">
        <v>3.1639501438158</v>
      </c>
    </row>
    <row r="8952">
      <c r="A8952" t="inlineStr">
        <is>
          <t>Singapore</t>
        </is>
      </c>
      <c r="B8952" t="inlineStr">
        <is>
          <t>SGP</t>
        </is>
      </c>
      <c r="C8952" t="n">
        <v>1978</v>
      </c>
      <c r="D8952" t="n">
        <v>4.87254381306427</v>
      </c>
    </row>
    <row r="8953">
      <c r="A8953" t="inlineStr">
        <is>
          <t>Singapore</t>
        </is>
      </c>
      <c r="B8953" t="inlineStr">
        <is>
          <t>SGP</t>
        </is>
      </c>
      <c r="C8953" t="n">
        <v>1979</v>
      </c>
      <c r="D8953" t="n">
        <v>4.07646537536399</v>
      </c>
    </row>
    <row r="8954">
      <c r="A8954" t="inlineStr">
        <is>
          <t>Singapore</t>
        </is>
      </c>
      <c r="B8954" t="inlineStr">
        <is>
          <t>SGP</t>
        </is>
      </c>
      <c r="C8954" t="n">
        <v>1980</v>
      </c>
      <c r="D8954" t="n">
        <v>8.52694319425858</v>
      </c>
    </row>
    <row r="8955">
      <c r="A8955" t="inlineStr">
        <is>
          <t>Singapore</t>
        </is>
      </c>
      <c r="B8955" t="inlineStr">
        <is>
          <t>SGP</t>
        </is>
      </c>
      <c r="C8955" t="n">
        <v>1981</v>
      </c>
      <c r="D8955" t="n">
        <v>8.182021968168479</v>
      </c>
    </row>
    <row r="8956">
      <c r="A8956" t="inlineStr">
        <is>
          <t>Singapore</t>
        </is>
      </c>
      <c r="B8956" t="inlineStr">
        <is>
          <t>SGP</t>
        </is>
      </c>
      <c r="C8956" t="n">
        <v>1982</v>
      </c>
      <c r="D8956" t="n">
        <v>3.916286779942</v>
      </c>
    </row>
    <row r="8957">
      <c r="A8957" t="inlineStr">
        <is>
          <t>Singapore</t>
        </is>
      </c>
      <c r="B8957" t="inlineStr">
        <is>
          <t>SGP</t>
        </is>
      </c>
      <c r="C8957" t="n">
        <v>1983</v>
      </c>
      <c r="D8957" t="n">
        <v>1.19641076769694</v>
      </c>
    </row>
    <row r="8958">
      <c r="A8958" t="inlineStr">
        <is>
          <t>Singapore</t>
        </is>
      </c>
      <c r="B8958" t="inlineStr">
        <is>
          <t>SGP</t>
        </is>
      </c>
      <c r="C8958" t="n">
        <v>1984</v>
      </c>
      <c r="D8958" t="n">
        <v>2.60098522167485</v>
      </c>
    </row>
    <row r="8959">
      <c r="A8959" t="inlineStr">
        <is>
          <t>Singapore</t>
        </is>
      </c>
      <c r="B8959" t="inlineStr">
        <is>
          <t>SGP</t>
        </is>
      </c>
      <c r="C8959" t="n">
        <v>1985</v>
      </c>
      <c r="D8959" t="n">
        <v>0.480122911465361</v>
      </c>
    </row>
    <row r="8960">
      <c r="A8960" t="inlineStr">
        <is>
          <t>Singapore</t>
        </is>
      </c>
      <c r="B8960" t="inlineStr">
        <is>
          <t>SGP</t>
        </is>
      </c>
      <c r="C8960" t="n">
        <v>1986</v>
      </c>
      <c r="D8960" t="n">
        <v>-1.38570336391442</v>
      </c>
    </row>
    <row r="8961">
      <c r="A8961" t="inlineStr">
        <is>
          <t>Singapore</t>
        </is>
      </c>
      <c r="B8961" t="inlineStr">
        <is>
          <t>SGP</t>
        </is>
      </c>
      <c r="C8961" t="n">
        <v>1987</v>
      </c>
      <c r="D8961" t="n">
        <v>0.523306521949774</v>
      </c>
    </row>
    <row r="8962">
      <c r="A8962" t="inlineStr">
        <is>
          <t>Singapore</t>
        </is>
      </c>
      <c r="B8962" t="inlineStr">
        <is>
          <t>SGP</t>
        </is>
      </c>
      <c r="C8962" t="n">
        <v>1988</v>
      </c>
      <c r="D8962" t="n">
        <v>1.52318519232631</v>
      </c>
    </row>
    <row r="8963">
      <c r="A8963" t="inlineStr">
        <is>
          <t>Singapore</t>
        </is>
      </c>
      <c r="B8963" t="inlineStr">
        <is>
          <t>SGP</t>
        </is>
      </c>
      <c r="C8963" t="n">
        <v>1989</v>
      </c>
      <c r="D8963" t="n">
        <v>2.34545627195897</v>
      </c>
    </row>
    <row r="8964">
      <c r="A8964" t="inlineStr">
        <is>
          <t>Singapore</t>
        </is>
      </c>
      <c r="B8964" t="inlineStr">
        <is>
          <t>SGP</t>
        </is>
      </c>
      <c r="C8964" t="n">
        <v>1990</v>
      </c>
      <c r="D8964" t="n">
        <v>3.46075338652822</v>
      </c>
    </row>
    <row r="8965">
      <c r="A8965" t="inlineStr">
        <is>
          <t>Singapore</t>
        </is>
      </c>
      <c r="B8965" t="inlineStr">
        <is>
          <t>SGP</t>
        </is>
      </c>
      <c r="C8965" t="n">
        <v>1991</v>
      </c>
      <c r="D8965" t="n">
        <v>3.42570173078644</v>
      </c>
    </row>
    <row r="8966">
      <c r="A8966" t="inlineStr">
        <is>
          <t>Singapore</t>
        </is>
      </c>
      <c r="B8966" t="inlineStr">
        <is>
          <t>SGP</t>
        </is>
      </c>
      <c r="C8966" t="n">
        <v>1992</v>
      </c>
      <c r="D8966" t="n">
        <v>2.26307118702852</v>
      </c>
    </row>
    <row r="8967">
      <c r="A8967" t="inlineStr">
        <is>
          <t>Singapore</t>
        </is>
      </c>
      <c r="B8967" t="inlineStr">
        <is>
          <t>SGP</t>
        </is>
      </c>
      <c r="C8967" t="n">
        <v>1993</v>
      </c>
      <c r="D8967" t="n">
        <v>2.28929964388639</v>
      </c>
    </row>
    <row r="8968">
      <c r="A8968" t="inlineStr">
        <is>
          <t>Singapore</t>
        </is>
      </c>
      <c r="B8968" t="inlineStr">
        <is>
          <t>SGP</t>
        </is>
      </c>
      <c r="C8968" t="n">
        <v>1994</v>
      </c>
      <c r="D8968" t="n">
        <v>3.10013262599504</v>
      </c>
    </row>
    <row r="8969">
      <c r="A8969" t="inlineStr">
        <is>
          <t>Singapore</t>
        </is>
      </c>
      <c r="B8969" t="inlineStr">
        <is>
          <t>SGP</t>
        </is>
      </c>
      <c r="C8969" t="n">
        <v>1995</v>
      </c>
      <c r="D8969" t="n">
        <v>1.72053384788522</v>
      </c>
    </row>
    <row r="8970">
      <c r="A8970" t="inlineStr">
        <is>
          <t>Singapore</t>
        </is>
      </c>
      <c r="B8970" t="inlineStr">
        <is>
          <t>SGP</t>
        </is>
      </c>
      <c r="C8970" t="n">
        <v>1996</v>
      </c>
      <c r="D8970" t="n">
        <v>1.38318052481877</v>
      </c>
    </row>
    <row r="8971">
      <c r="A8971" t="inlineStr">
        <is>
          <t>Singapore</t>
        </is>
      </c>
      <c r="B8971" t="inlineStr">
        <is>
          <t>SGP</t>
        </is>
      </c>
      <c r="C8971" t="n">
        <v>1997</v>
      </c>
      <c r="D8971" t="n">
        <v>2.00358618538962</v>
      </c>
    </row>
    <row r="8972">
      <c r="A8972" t="inlineStr">
        <is>
          <t>Singapore</t>
        </is>
      </c>
      <c r="B8972" t="inlineStr">
        <is>
          <t>SGP</t>
        </is>
      </c>
      <c r="C8972" t="n">
        <v>1998</v>
      </c>
      <c r="D8972" t="n">
        <v>-0.267502292876138</v>
      </c>
    </row>
    <row r="8973">
      <c r="A8973" t="inlineStr">
        <is>
          <t>Singapore</t>
        </is>
      </c>
      <c r="B8973" t="inlineStr">
        <is>
          <t>SGP</t>
        </is>
      </c>
      <c r="C8973" t="n">
        <v>1999</v>
      </c>
      <c r="D8973" t="n">
        <v>0.0167098337370801</v>
      </c>
    </row>
    <row r="8974">
      <c r="A8974" t="inlineStr">
        <is>
          <t>Singapore</t>
        </is>
      </c>
      <c r="B8974" t="inlineStr">
        <is>
          <t>SGP</t>
        </is>
      </c>
      <c r="C8974" t="n">
        <v>2000</v>
      </c>
      <c r="D8974" t="n">
        <v>1.36162392448454</v>
      </c>
    </row>
    <row r="8975">
      <c r="A8975" t="inlineStr">
        <is>
          <t>Singapore</t>
        </is>
      </c>
      <c r="B8975" t="inlineStr">
        <is>
          <t>SGP</t>
        </is>
      </c>
      <c r="C8975" t="n">
        <v>2001</v>
      </c>
      <c r="D8975" t="n">
        <v>0.997197956155961</v>
      </c>
    </row>
    <row r="8976">
      <c r="A8976" t="inlineStr">
        <is>
          <t>Singapore</t>
        </is>
      </c>
      <c r="B8976" t="inlineStr">
        <is>
          <t>SGP</t>
        </is>
      </c>
      <c r="C8976" t="n">
        <v>2002</v>
      </c>
      <c r="D8976" t="n">
        <v>-0.391676866585059</v>
      </c>
    </row>
    <row r="8977">
      <c r="A8977" t="inlineStr">
        <is>
          <t>Singapore</t>
        </is>
      </c>
      <c r="B8977" t="inlineStr">
        <is>
          <t>SGP</t>
        </is>
      </c>
      <c r="C8977" t="n">
        <v>2003</v>
      </c>
      <c r="D8977" t="n">
        <v>0.507905300237541</v>
      </c>
    </row>
    <row r="8978">
      <c r="A8978" t="inlineStr">
        <is>
          <t>Singapore</t>
        </is>
      </c>
      <c r="B8978" t="inlineStr">
        <is>
          <t>SGP</t>
        </is>
      </c>
      <c r="C8978" t="n">
        <v>2004</v>
      </c>
      <c r="D8978" t="n">
        <v>1.66272719863071</v>
      </c>
    </row>
    <row r="8979">
      <c r="A8979" t="inlineStr">
        <is>
          <t>Singapore</t>
        </is>
      </c>
      <c r="B8979" t="inlineStr">
        <is>
          <t>SGP</t>
        </is>
      </c>
      <c r="C8979" t="n">
        <v>2005</v>
      </c>
      <c r="D8979" t="n">
        <v>0.425106276569129</v>
      </c>
    </row>
    <row r="8980">
      <c r="A8980" t="inlineStr">
        <is>
          <t>Singapore</t>
        </is>
      </c>
      <c r="B8980" t="inlineStr">
        <is>
          <t>SGP</t>
        </is>
      </c>
      <c r="C8980" t="n">
        <v>2006</v>
      </c>
      <c r="D8980" t="n">
        <v>0.962901778165114</v>
      </c>
    </row>
    <row r="8981">
      <c r="A8981" t="inlineStr">
        <is>
          <t>Singapore</t>
        </is>
      </c>
      <c r="B8981" t="inlineStr">
        <is>
          <t>SGP</t>
        </is>
      </c>
      <c r="C8981" t="n">
        <v>2007</v>
      </c>
      <c r="D8981" t="n">
        <v>2.10488003633211</v>
      </c>
    </row>
    <row r="8982">
      <c r="A8982" t="inlineStr">
        <is>
          <t>Singapore</t>
        </is>
      </c>
      <c r="B8982" t="inlineStr">
        <is>
          <t>SGP</t>
        </is>
      </c>
      <c r="C8982" t="n">
        <v>2008</v>
      </c>
      <c r="D8982" t="n">
        <v>6.62778177352131</v>
      </c>
    </row>
    <row r="8983">
      <c r="A8983" t="inlineStr">
        <is>
          <t>Singapore</t>
        </is>
      </c>
      <c r="B8983" t="inlineStr">
        <is>
          <t>SGP</t>
        </is>
      </c>
      <c r="C8983" t="n">
        <v>2009</v>
      </c>
      <c r="D8983" t="n">
        <v>0.5967202574249439</v>
      </c>
    </row>
    <row r="8984">
      <c r="A8984" t="inlineStr">
        <is>
          <t>Singapore</t>
        </is>
      </c>
      <c r="B8984" t="inlineStr">
        <is>
          <t>SGP</t>
        </is>
      </c>
      <c r="C8984" t="n">
        <v>2010</v>
      </c>
      <c r="D8984" t="n">
        <v>2.82366134885608</v>
      </c>
    </row>
    <row r="8985">
      <c r="A8985" t="inlineStr">
        <is>
          <t>Singapore</t>
        </is>
      </c>
      <c r="B8985" t="inlineStr">
        <is>
          <t>SGP</t>
        </is>
      </c>
      <c r="C8985" t="n">
        <v>2011</v>
      </c>
      <c r="D8985" t="n">
        <v>5.2477933984048</v>
      </c>
    </row>
    <row r="8986">
      <c r="A8986" t="inlineStr">
        <is>
          <t>Singapore</t>
        </is>
      </c>
      <c r="B8986" t="inlineStr">
        <is>
          <t>SGP</t>
        </is>
      </c>
      <c r="C8986" t="n">
        <v>2012</v>
      </c>
      <c r="D8986" t="n">
        <v>4.57560270376527</v>
      </c>
    </row>
    <row r="8987">
      <c r="A8987" t="inlineStr">
        <is>
          <t>Singapore</t>
        </is>
      </c>
      <c r="B8987" t="inlineStr">
        <is>
          <t>SGP</t>
        </is>
      </c>
      <c r="C8987" t="n">
        <v>2013</v>
      </c>
      <c r="D8987" t="n">
        <v>2.35860415399832</v>
      </c>
    </row>
    <row r="8988">
      <c r="A8988" t="inlineStr">
        <is>
          <t>Singapore</t>
        </is>
      </c>
      <c r="B8988" t="inlineStr">
        <is>
          <t>SGP</t>
        </is>
      </c>
      <c r="C8988" t="n">
        <v>2014</v>
      </c>
      <c r="D8988" t="n">
        <v>1.02514803039391</v>
      </c>
    </row>
    <row r="8989">
      <c r="A8989" t="inlineStr">
        <is>
          <t>Singapore</t>
        </is>
      </c>
      <c r="B8989" t="inlineStr">
        <is>
          <t>SGP</t>
        </is>
      </c>
      <c r="C8989" t="n">
        <v>2015</v>
      </c>
      <c r="D8989" t="n">
        <v>-0.522618167075298</v>
      </c>
    </row>
    <row r="8990">
      <c r="A8990" t="inlineStr">
        <is>
          <t>Singapore</t>
        </is>
      </c>
      <c r="B8990" t="inlineStr">
        <is>
          <t>SGP</t>
        </is>
      </c>
      <c r="C8990" t="n">
        <v>2016</v>
      </c>
      <c r="D8990" t="n">
        <v>-0.532268739716253</v>
      </c>
    </row>
    <row r="8991">
      <c r="A8991" t="inlineStr">
        <is>
          <t>Singapore</t>
        </is>
      </c>
      <c r="B8991" t="inlineStr">
        <is>
          <t>SGP</t>
        </is>
      </c>
      <c r="C8991" t="n">
        <v>2017</v>
      </c>
      <c r="D8991" t="n">
        <v>0.576260310166349</v>
      </c>
    </row>
    <row r="8992">
      <c r="A8992" t="inlineStr">
        <is>
          <t>Singapore</t>
        </is>
      </c>
      <c r="B8992" t="inlineStr">
        <is>
          <t>SGP</t>
        </is>
      </c>
      <c r="C8992" t="n">
        <v>2018</v>
      </c>
      <c r="D8992" t="n">
        <v>0.43862011844684</v>
      </c>
    </row>
    <row r="8993">
      <c r="A8993" t="inlineStr">
        <is>
          <t>Singapore</t>
        </is>
      </c>
      <c r="B8993" t="inlineStr">
        <is>
          <t>SGP</t>
        </is>
      </c>
      <c r="C8993" t="n">
        <v>2019</v>
      </c>
      <c r="D8993" t="n">
        <v>0.565260568780326</v>
      </c>
    </row>
    <row r="8994">
      <c r="A8994" t="inlineStr">
        <is>
          <t>Singapore</t>
        </is>
      </c>
      <c r="B8994" t="inlineStr">
        <is>
          <t>SGP</t>
        </is>
      </c>
      <c r="C8994" t="n">
        <v>2020</v>
      </c>
      <c r="D8994" t="n">
        <v>-0.181916666666634</v>
      </c>
    </row>
    <row r="8995">
      <c r="A8995" t="inlineStr">
        <is>
          <t>Singapore</t>
        </is>
      </c>
      <c r="B8995" t="inlineStr">
        <is>
          <t>SGP</t>
        </is>
      </c>
      <c r="C8995" t="n">
        <v>2021</v>
      </c>
      <c r="D8995" t="n">
        <v>2.30485959040484</v>
      </c>
    </row>
    <row r="8996">
      <c r="A8996" t="inlineStr">
        <is>
          <t>Singapore</t>
        </is>
      </c>
      <c r="B8996" t="inlineStr">
        <is>
          <t>SGP</t>
        </is>
      </c>
      <c r="C8996" t="n">
        <v>2022</v>
      </c>
      <c r="D8996" t="n">
        <v>6.12106004039418</v>
      </c>
    </row>
    <row r="8997">
      <c r="A8997" t="inlineStr">
        <is>
          <t>Singapore</t>
        </is>
      </c>
      <c r="B8997" t="inlineStr">
        <is>
          <t>SGP</t>
        </is>
      </c>
      <c r="C8997" t="n">
        <v>2023</v>
      </c>
      <c r="D8997" t="n">
        <v>4.82146729476466</v>
      </c>
    </row>
    <row r="8998">
      <c r="A8998" t="inlineStr">
        <is>
          <t>Singapore</t>
        </is>
      </c>
      <c r="B8998" t="inlineStr">
        <is>
          <t>SGP</t>
        </is>
      </c>
      <c r="C8998" t="n">
        <v>2024</v>
      </c>
      <c r="D8998" t="n">
        <v>2.36645846996694</v>
      </c>
    </row>
    <row r="8999">
      <c r="A8999" t="inlineStr">
        <is>
          <t>Solomon Islands</t>
        </is>
      </c>
      <c r="B8999" t="inlineStr">
        <is>
          <t>SLB</t>
        </is>
      </c>
      <c r="C8999" t="n">
        <v>1972</v>
      </c>
      <c r="D8999" t="n">
        <v>6.87754613015531</v>
      </c>
    </row>
    <row r="9000">
      <c r="A9000" t="inlineStr">
        <is>
          <t>Solomon Islands</t>
        </is>
      </c>
      <c r="B9000" t="inlineStr">
        <is>
          <t>SLB</t>
        </is>
      </c>
      <c r="C9000" t="n">
        <v>1973</v>
      </c>
      <c r="D9000" t="n">
        <v>3.2286995513524</v>
      </c>
    </row>
    <row r="9001">
      <c r="A9001" t="inlineStr">
        <is>
          <t>Solomon Islands</t>
        </is>
      </c>
      <c r="B9001" t="inlineStr">
        <is>
          <t>SLB</t>
        </is>
      </c>
      <c r="C9001" t="n">
        <v>1974</v>
      </c>
      <c r="D9001" t="n">
        <v>18.8531711555989</v>
      </c>
    </row>
    <row r="9002">
      <c r="A9002" t="inlineStr">
        <is>
          <t>Solomon Islands</t>
        </is>
      </c>
      <c r="B9002" t="inlineStr">
        <is>
          <t>SLB</t>
        </is>
      </c>
      <c r="C9002" t="n">
        <v>1975</v>
      </c>
      <c r="D9002" t="n">
        <v>10.0694444446641</v>
      </c>
    </row>
    <row r="9003">
      <c r="A9003" t="inlineStr">
        <is>
          <t>Solomon Islands</t>
        </is>
      </c>
      <c r="B9003" t="inlineStr">
        <is>
          <t>SLB</t>
        </is>
      </c>
      <c r="C9003" t="n">
        <v>1976</v>
      </c>
      <c r="D9003" t="n">
        <v>4.25531914893602</v>
      </c>
    </row>
    <row r="9004">
      <c r="A9004" t="inlineStr">
        <is>
          <t>Solomon Islands</t>
        </is>
      </c>
      <c r="B9004" t="inlineStr">
        <is>
          <t>SLB</t>
        </is>
      </c>
      <c r="C9004" t="n">
        <v>1977</v>
      </c>
      <c r="D9004" t="n">
        <v>8.61678004535154</v>
      </c>
    </row>
    <row r="9005">
      <c r="A9005" t="inlineStr">
        <is>
          <t>Solomon Islands</t>
        </is>
      </c>
      <c r="B9005" t="inlineStr">
        <is>
          <t>SLB</t>
        </is>
      </c>
      <c r="C9005" t="n">
        <v>1978</v>
      </c>
      <c r="D9005" t="n">
        <v>6.26304801670155</v>
      </c>
    </row>
    <row r="9006">
      <c r="A9006" t="inlineStr">
        <is>
          <t>Solomon Islands</t>
        </is>
      </c>
      <c r="B9006" t="inlineStr">
        <is>
          <t>SLB</t>
        </is>
      </c>
      <c r="C9006" t="n">
        <v>1979</v>
      </c>
      <c r="D9006" t="n">
        <v>8.055009823182671</v>
      </c>
    </row>
    <row r="9007">
      <c r="A9007" t="inlineStr">
        <is>
          <t>Solomon Islands</t>
        </is>
      </c>
      <c r="B9007" t="inlineStr">
        <is>
          <t>SLB</t>
        </is>
      </c>
      <c r="C9007" t="n">
        <v>1980</v>
      </c>
      <c r="D9007" t="n">
        <v>13.0909090909091</v>
      </c>
    </row>
    <row r="9008">
      <c r="A9008" t="inlineStr">
        <is>
          <t>Solomon Islands</t>
        </is>
      </c>
      <c r="B9008" t="inlineStr">
        <is>
          <t>SLB</t>
        </is>
      </c>
      <c r="C9008" t="n">
        <v>1981</v>
      </c>
      <c r="D9008" t="n">
        <v>16.3987138263664</v>
      </c>
    </row>
    <row r="9009">
      <c r="A9009" t="inlineStr">
        <is>
          <t>Solomon Islands</t>
        </is>
      </c>
      <c r="B9009" t="inlineStr">
        <is>
          <t>SLB</t>
        </is>
      </c>
      <c r="C9009" t="n">
        <v>1982</v>
      </c>
      <c r="D9009" t="n">
        <v>12.9834254143648</v>
      </c>
    </row>
    <row r="9010">
      <c r="A9010" t="inlineStr">
        <is>
          <t>Solomon Islands</t>
        </is>
      </c>
      <c r="B9010" t="inlineStr">
        <is>
          <t>SLB</t>
        </is>
      </c>
      <c r="C9010" t="n">
        <v>1983</v>
      </c>
      <c r="D9010" t="n">
        <v>6.23471882640582</v>
      </c>
    </row>
    <row r="9011">
      <c r="A9011" t="inlineStr">
        <is>
          <t>Solomon Islands</t>
        </is>
      </c>
      <c r="B9011" t="inlineStr">
        <is>
          <t>SLB</t>
        </is>
      </c>
      <c r="C9011" t="n">
        <v>1984</v>
      </c>
      <c r="D9011" t="n">
        <v>11.0471806674338</v>
      </c>
    </row>
    <row r="9012">
      <c r="A9012" t="inlineStr">
        <is>
          <t>Solomon Islands</t>
        </is>
      </c>
      <c r="B9012" t="inlineStr">
        <is>
          <t>SLB</t>
        </is>
      </c>
      <c r="C9012" t="n">
        <v>1985</v>
      </c>
      <c r="D9012" t="n">
        <v>9.568221070811431</v>
      </c>
    </row>
    <row r="9013">
      <c r="A9013" t="inlineStr">
        <is>
          <t>Solomon Islands</t>
        </is>
      </c>
      <c r="B9013" t="inlineStr">
        <is>
          <t>SLB</t>
        </is>
      </c>
      <c r="C9013" t="n">
        <v>1986</v>
      </c>
      <c r="D9013" t="n">
        <v>13.5718789407313</v>
      </c>
    </row>
    <row r="9014">
      <c r="A9014" t="inlineStr">
        <is>
          <t>Solomon Islands</t>
        </is>
      </c>
      <c r="B9014" t="inlineStr">
        <is>
          <t>SLB</t>
        </is>
      </c>
      <c r="C9014" t="n">
        <v>1987</v>
      </c>
      <c r="D9014" t="n">
        <v>10.9923664122135</v>
      </c>
    </row>
    <row r="9015">
      <c r="A9015" t="inlineStr">
        <is>
          <t>Solomon Islands</t>
        </is>
      </c>
      <c r="B9015" t="inlineStr">
        <is>
          <t>SLB</t>
        </is>
      </c>
      <c r="C9015" t="n">
        <v>1988</v>
      </c>
      <c r="D9015" t="n">
        <v>16.7375265724654</v>
      </c>
    </row>
    <row r="9016">
      <c r="A9016" t="inlineStr">
        <is>
          <t>Solomon Islands</t>
        </is>
      </c>
      <c r="B9016" t="inlineStr">
        <is>
          <t>SLB</t>
        </is>
      </c>
      <c r="C9016" t="n">
        <v>1989</v>
      </c>
      <c r="D9016" t="n">
        <v>14.9322478710301</v>
      </c>
    </row>
    <row r="9017">
      <c r="A9017" t="inlineStr">
        <is>
          <t>Solomon Islands</t>
        </is>
      </c>
      <c r="B9017" t="inlineStr">
        <is>
          <t>SLB</t>
        </is>
      </c>
      <c r="C9017" t="n">
        <v>1990</v>
      </c>
      <c r="D9017" t="n">
        <v>8.737592618481809</v>
      </c>
    </row>
    <row r="9018">
      <c r="A9018" t="inlineStr">
        <is>
          <t>Solomon Islands</t>
        </is>
      </c>
      <c r="B9018" t="inlineStr">
        <is>
          <t>SLB</t>
        </is>
      </c>
      <c r="C9018" t="n">
        <v>1991</v>
      </c>
      <c r="D9018" t="n">
        <v>15.050130775937</v>
      </c>
    </row>
    <row r="9019">
      <c r="A9019" t="inlineStr">
        <is>
          <t>Solomon Islands</t>
        </is>
      </c>
      <c r="B9019" t="inlineStr">
        <is>
          <t>SLB</t>
        </is>
      </c>
      <c r="C9019" t="n">
        <v>1992</v>
      </c>
      <c r="D9019" t="n">
        <v>10.7511603675285</v>
      </c>
    </row>
    <row r="9020">
      <c r="A9020" t="inlineStr">
        <is>
          <t>Solomon Islands</t>
        </is>
      </c>
      <c r="B9020" t="inlineStr">
        <is>
          <t>SLB</t>
        </is>
      </c>
      <c r="C9020" t="n">
        <v>1993</v>
      </c>
      <c r="D9020" t="n">
        <v>9.168662333219849</v>
      </c>
    </row>
    <row r="9021">
      <c r="A9021" t="inlineStr">
        <is>
          <t>Solomon Islands</t>
        </is>
      </c>
      <c r="B9021" t="inlineStr">
        <is>
          <t>SLB</t>
        </is>
      </c>
      <c r="C9021" t="n">
        <v>1994</v>
      </c>
      <c r="D9021" t="n">
        <v>13.2560325916638</v>
      </c>
    </row>
    <row r="9022">
      <c r="A9022" t="inlineStr">
        <is>
          <t>Solomon Islands</t>
        </is>
      </c>
      <c r="B9022" t="inlineStr">
        <is>
          <t>SLB</t>
        </is>
      </c>
      <c r="C9022" t="n">
        <v>1995</v>
      </c>
      <c r="D9022" t="n">
        <v>9.62921970116226</v>
      </c>
    </row>
    <row r="9023">
      <c r="A9023" t="inlineStr">
        <is>
          <t>Solomon Islands</t>
        </is>
      </c>
      <c r="B9023" t="inlineStr">
        <is>
          <t>SLB</t>
        </is>
      </c>
      <c r="C9023" t="n">
        <v>1996</v>
      </c>
      <c r="D9023" t="n">
        <v>11.7743563856637</v>
      </c>
    </row>
    <row r="9024">
      <c r="A9024" t="inlineStr">
        <is>
          <t>Solomon Islands</t>
        </is>
      </c>
      <c r="B9024" t="inlineStr">
        <is>
          <t>SLB</t>
        </is>
      </c>
      <c r="C9024" t="n">
        <v>1997</v>
      </c>
      <c r="D9024" t="n">
        <v>8.08400135486043</v>
      </c>
    </row>
    <row r="9025">
      <c r="A9025" t="inlineStr">
        <is>
          <t>Solomon Islands</t>
        </is>
      </c>
      <c r="B9025" t="inlineStr">
        <is>
          <t>SLB</t>
        </is>
      </c>
      <c r="C9025" t="n">
        <v>1998</v>
      </c>
      <c r="D9025" t="n">
        <v>12.3995038128069</v>
      </c>
    </row>
    <row r="9026">
      <c r="A9026" t="inlineStr">
        <is>
          <t>Solomon Islands</t>
        </is>
      </c>
      <c r="B9026" t="inlineStr">
        <is>
          <t>SLB</t>
        </is>
      </c>
      <c r="C9026" t="n">
        <v>1999</v>
      </c>
      <c r="D9026" t="n">
        <v>8.020368392968409</v>
      </c>
    </row>
    <row r="9027">
      <c r="A9027" t="inlineStr">
        <is>
          <t>Solomon Islands</t>
        </is>
      </c>
      <c r="B9027" t="inlineStr">
        <is>
          <t>SLB</t>
        </is>
      </c>
      <c r="C9027" t="n">
        <v>2000</v>
      </c>
      <c r="D9027" t="n">
        <v>7.88956186986721</v>
      </c>
    </row>
    <row r="9028">
      <c r="A9028" t="inlineStr">
        <is>
          <t>Solomon Islands</t>
        </is>
      </c>
      <c r="B9028" t="inlineStr">
        <is>
          <t>SLB</t>
        </is>
      </c>
      <c r="C9028" t="n">
        <v>2001</v>
      </c>
      <c r="D9028" t="n">
        <v>6.92583732057426</v>
      </c>
    </row>
    <row r="9029">
      <c r="A9029" t="inlineStr">
        <is>
          <t>Solomon Islands</t>
        </is>
      </c>
      <c r="B9029" t="inlineStr">
        <is>
          <t>SLB</t>
        </is>
      </c>
      <c r="C9029" t="n">
        <v>2002</v>
      </c>
      <c r="D9029" t="n">
        <v>10.9296341872692</v>
      </c>
    </row>
    <row r="9030">
      <c r="A9030" t="inlineStr">
        <is>
          <t>Solomon Islands</t>
        </is>
      </c>
      <c r="B9030" t="inlineStr">
        <is>
          <t>SLB</t>
        </is>
      </c>
      <c r="C9030" t="n">
        <v>2003</v>
      </c>
      <c r="D9030" t="n">
        <v>8.269463493344061</v>
      </c>
    </row>
    <row r="9031">
      <c r="A9031" t="inlineStr">
        <is>
          <t>Solomon Islands</t>
        </is>
      </c>
      <c r="B9031" t="inlineStr">
        <is>
          <t>SLB</t>
        </is>
      </c>
      <c r="C9031" t="n">
        <v>2004</v>
      </c>
      <c r="D9031" t="n">
        <v>6.98584202682567</v>
      </c>
    </row>
    <row r="9032">
      <c r="A9032" t="inlineStr">
        <is>
          <t>Solomon Islands</t>
        </is>
      </c>
      <c r="B9032" t="inlineStr">
        <is>
          <t>SLB</t>
        </is>
      </c>
      <c r="C9032" t="n">
        <v>2005</v>
      </c>
      <c r="D9032" t="n">
        <v>7.33066341633299</v>
      </c>
    </row>
    <row r="9033">
      <c r="A9033" t="inlineStr">
        <is>
          <t>Solomon Islands</t>
        </is>
      </c>
      <c r="B9033" t="inlineStr">
        <is>
          <t>SLB</t>
        </is>
      </c>
      <c r="C9033" t="n">
        <v>2006</v>
      </c>
      <c r="D9033" t="n">
        <v>11.2199870214146</v>
      </c>
    </row>
    <row r="9034">
      <c r="A9034" t="inlineStr">
        <is>
          <t>Solomon Islands</t>
        </is>
      </c>
      <c r="B9034" t="inlineStr">
        <is>
          <t>SLB</t>
        </is>
      </c>
      <c r="C9034" t="n">
        <v>2007</v>
      </c>
      <c r="D9034" t="n">
        <v>7.66602013484806</v>
      </c>
    </row>
    <row r="9035">
      <c r="A9035" t="inlineStr">
        <is>
          <t>Solomon Islands</t>
        </is>
      </c>
      <c r="B9035" t="inlineStr">
        <is>
          <t>SLB</t>
        </is>
      </c>
      <c r="C9035" t="n">
        <v>2008</v>
      </c>
      <c r="D9035" t="n">
        <v>17.3200651968774</v>
      </c>
    </row>
    <row r="9036">
      <c r="A9036" t="inlineStr">
        <is>
          <t>Solomon Islands</t>
        </is>
      </c>
      <c r="B9036" t="inlineStr">
        <is>
          <t>SLB</t>
        </is>
      </c>
      <c r="C9036" t="n">
        <v>2009</v>
      </c>
      <c r="D9036" t="n">
        <v>7.09271716876286</v>
      </c>
    </row>
    <row r="9037">
      <c r="A9037" t="inlineStr">
        <is>
          <t>Solomon Islands</t>
        </is>
      </c>
      <c r="B9037" t="inlineStr">
        <is>
          <t>SLB</t>
        </is>
      </c>
      <c r="C9037" t="n">
        <v>2010</v>
      </c>
      <c r="D9037" t="n">
        <v>1.05148163321038</v>
      </c>
    </row>
    <row r="9038">
      <c r="A9038" t="inlineStr">
        <is>
          <t>Solomon Islands</t>
        </is>
      </c>
      <c r="B9038" t="inlineStr">
        <is>
          <t>SLB</t>
        </is>
      </c>
      <c r="C9038" t="n">
        <v>2011</v>
      </c>
      <c r="D9038" t="n">
        <v>7.34270706018</v>
      </c>
    </row>
    <row r="9039">
      <c r="A9039" t="inlineStr">
        <is>
          <t>Solomon Islands</t>
        </is>
      </c>
      <c r="B9039" t="inlineStr">
        <is>
          <t>SLB</t>
        </is>
      </c>
      <c r="C9039" t="n">
        <v>2012</v>
      </c>
      <c r="D9039" t="n">
        <v>5.91200602491155</v>
      </c>
    </row>
    <row r="9040">
      <c r="A9040" t="inlineStr">
        <is>
          <t>Solomon Islands</t>
        </is>
      </c>
      <c r="B9040" t="inlineStr">
        <is>
          <t>SLB</t>
        </is>
      </c>
      <c r="C9040" t="n">
        <v>2013</v>
      </c>
      <c r="D9040" t="n">
        <v>5.3913638858756</v>
      </c>
    </row>
    <row r="9041">
      <c r="A9041" t="inlineStr">
        <is>
          <t>Solomon Islands</t>
        </is>
      </c>
      <c r="B9041" t="inlineStr">
        <is>
          <t>SLB</t>
        </is>
      </c>
      <c r="C9041" t="n">
        <v>2014</v>
      </c>
      <c r="D9041" t="n">
        <v>5.16590237925171</v>
      </c>
    </row>
    <row r="9042">
      <c r="A9042" t="inlineStr">
        <is>
          <t>Solomon Islands</t>
        </is>
      </c>
      <c r="B9042" t="inlineStr">
        <is>
          <t>SLB</t>
        </is>
      </c>
      <c r="C9042" t="n">
        <v>2015</v>
      </c>
      <c r="D9042" t="n">
        <v>-0.57446928635949</v>
      </c>
    </row>
    <row r="9043">
      <c r="A9043" t="inlineStr">
        <is>
          <t>Solomon Islands</t>
        </is>
      </c>
      <c r="B9043" t="inlineStr">
        <is>
          <t>SLB</t>
        </is>
      </c>
      <c r="C9043" t="n">
        <v>2016</v>
      </c>
      <c r="D9043" t="n">
        <v>0.512485626268792</v>
      </c>
    </row>
    <row r="9044">
      <c r="A9044" t="inlineStr">
        <is>
          <t>Solomon Islands</t>
        </is>
      </c>
      <c r="B9044" t="inlineStr">
        <is>
          <t>SLB</t>
        </is>
      </c>
      <c r="C9044" t="n">
        <v>2017</v>
      </c>
      <c r="D9044" t="n">
        <v>0.488686760261083</v>
      </c>
    </row>
    <row r="9045">
      <c r="A9045" t="inlineStr">
        <is>
          <t>Solomon Islands</t>
        </is>
      </c>
      <c r="B9045" t="inlineStr">
        <is>
          <t>SLB</t>
        </is>
      </c>
      <c r="C9045" t="n">
        <v>2018</v>
      </c>
      <c r="D9045" t="n">
        <v>3.46147484973729</v>
      </c>
    </row>
    <row r="9046">
      <c r="A9046" t="inlineStr">
        <is>
          <t>Solomon Islands</t>
        </is>
      </c>
      <c r="B9046" t="inlineStr">
        <is>
          <t>SLB</t>
        </is>
      </c>
      <c r="C9046" t="n">
        <v>2019</v>
      </c>
      <c r="D9046" t="n">
        <v>1.63485544012247</v>
      </c>
    </row>
    <row r="9047">
      <c r="A9047" t="inlineStr">
        <is>
          <t>Solomon Islands</t>
        </is>
      </c>
      <c r="B9047" t="inlineStr">
        <is>
          <t>SLB</t>
        </is>
      </c>
      <c r="C9047" t="n">
        <v>2020</v>
      </c>
      <c r="D9047" t="n">
        <v>2.96354992076065</v>
      </c>
    </row>
    <row r="9048">
      <c r="A9048" t="inlineStr">
        <is>
          <t>Solomon Islands</t>
        </is>
      </c>
      <c r="B9048" t="inlineStr">
        <is>
          <t>SLB</t>
        </is>
      </c>
      <c r="C9048" t="n">
        <v>2021</v>
      </c>
      <c r="D9048" t="n">
        <v>-0.115437894412839</v>
      </c>
    </row>
    <row r="9049">
      <c r="A9049" t="inlineStr">
        <is>
          <t>Solomon Islands</t>
        </is>
      </c>
      <c r="B9049" t="inlineStr">
        <is>
          <t>SLB</t>
        </is>
      </c>
      <c r="C9049" t="n">
        <v>2022</v>
      </c>
      <c r="D9049" t="n">
        <v>5.51812928576938</v>
      </c>
    </row>
    <row r="9050">
      <c r="A9050" t="inlineStr">
        <is>
          <t>Solomon Islands</t>
        </is>
      </c>
      <c r="B9050" t="inlineStr">
        <is>
          <t>SLB</t>
        </is>
      </c>
      <c r="C9050" t="n">
        <v>2023</v>
      </c>
      <c r="D9050" t="n">
        <v>5.88585897042164</v>
      </c>
    </row>
    <row r="9051">
      <c r="A9051" t="inlineStr">
        <is>
          <t>Sierra Leone</t>
        </is>
      </c>
      <c r="B9051" t="inlineStr">
        <is>
          <t>SLE</t>
        </is>
      </c>
      <c r="C9051" t="n">
        <v>2007</v>
      </c>
      <c r="D9051" t="n">
        <v>11.6499744518106</v>
      </c>
    </row>
    <row r="9052">
      <c r="A9052" t="inlineStr">
        <is>
          <t>Sierra Leone</t>
        </is>
      </c>
      <c r="B9052" t="inlineStr">
        <is>
          <t>SLE</t>
        </is>
      </c>
      <c r="C9052" t="n">
        <v>2008</v>
      </c>
      <c r="D9052" t="n">
        <v>8.21112432289608</v>
      </c>
    </row>
    <row r="9053">
      <c r="A9053" t="inlineStr">
        <is>
          <t>Sierra Leone</t>
        </is>
      </c>
      <c r="B9053" t="inlineStr">
        <is>
          <t>SLE</t>
        </is>
      </c>
      <c r="C9053" t="n">
        <v>2009</v>
      </c>
      <c r="D9053" t="n">
        <v>7.46901898540982</v>
      </c>
    </row>
    <row r="9054">
      <c r="A9054" t="inlineStr">
        <is>
          <t>Sierra Leone</t>
        </is>
      </c>
      <c r="B9054" t="inlineStr">
        <is>
          <t>SLE</t>
        </is>
      </c>
      <c r="C9054" t="n">
        <v>2010</v>
      </c>
      <c r="D9054" t="n">
        <v>7.18566275668163</v>
      </c>
    </row>
    <row r="9055">
      <c r="A9055" t="inlineStr">
        <is>
          <t>Sierra Leone</t>
        </is>
      </c>
      <c r="B9055" t="inlineStr">
        <is>
          <t>SLE</t>
        </is>
      </c>
      <c r="C9055" t="n">
        <v>2011</v>
      </c>
      <c r="D9055" t="n">
        <v>6.79138291952621</v>
      </c>
    </row>
    <row r="9056">
      <c r="A9056" t="inlineStr">
        <is>
          <t>Sierra Leone</t>
        </is>
      </c>
      <c r="B9056" t="inlineStr">
        <is>
          <t>SLE</t>
        </is>
      </c>
      <c r="C9056" t="n">
        <v>2012</v>
      </c>
      <c r="D9056" t="n">
        <v>6.58776239392585</v>
      </c>
    </row>
    <row r="9057">
      <c r="A9057" t="inlineStr">
        <is>
          <t>Sierra Leone</t>
        </is>
      </c>
      <c r="B9057" t="inlineStr">
        <is>
          <t>SLE</t>
        </is>
      </c>
      <c r="C9057" t="n">
        <v>2013</v>
      </c>
      <c r="D9057" t="n">
        <v>5.52412877994266</v>
      </c>
    </row>
    <row r="9058">
      <c r="A9058" t="inlineStr">
        <is>
          <t>Sierra Leone</t>
        </is>
      </c>
      <c r="B9058" t="inlineStr">
        <is>
          <t>SLE</t>
        </is>
      </c>
      <c r="C9058" t="n">
        <v>2014</v>
      </c>
      <c r="D9058" t="n">
        <v>4.63931171409667</v>
      </c>
    </row>
    <row r="9059">
      <c r="A9059" t="inlineStr">
        <is>
          <t>Sierra Leone</t>
        </is>
      </c>
      <c r="B9059" t="inlineStr">
        <is>
          <t>SLE</t>
        </is>
      </c>
      <c r="C9059" t="n">
        <v>2015</v>
      </c>
      <c r="D9059" t="n">
        <v>6.68943562498681</v>
      </c>
    </row>
    <row r="9060">
      <c r="A9060" t="inlineStr">
        <is>
          <t>Sierra Leone</t>
        </is>
      </c>
      <c r="B9060" t="inlineStr">
        <is>
          <t>SLE</t>
        </is>
      </c>
      <c r="C9060" t="n">
        <v>2016</v>
      </c>
      <c r="D9060" t="n">
        <v>10.8860609413903</v>
      </c>
    </row>
    <row r="9061">
      <c r="A9061" t="inlineStr">
        <is>
          <t>Sierra Leone</t>
        </is>
      </c>
      <c r="B9061" t="inlineStr">
        <is>
          <t>SLE</t>
        </is>
      </c>
      <c r="C9061" t="n">
        <v>2017</v>
      </c>
      <c r="D9061" t="n">
        <v>18.2215094003386</v>
      </c>
    </row>
    <row r="9062">
      <c r="A9062" t="inlineStr">
        <is>
          <t>Sierra Leone</t>
        </is>
      </c>
      <c r="B9062" t="inlineStr">
        <is>
          <t>SLE</t>
        </is>
      </c>
      <c r="C9062" t="n">
        <v>2018</v>
      </c>
      <c r="D9062" t="n">
        <v>16.0295447693699</v>
      </c>
    </row>
    <row r="9063">
      <c r="A9063" t="inlineStr">
        <is>
          <t>Sierra Leone</t>
        </is>
      </c>
      <c r="B9063" t="inlineStr">
        <is>
          <t>SLE</t>
        </is>
      </c>
      <c r="C9063" t="n">
        <v>2019</v>
      </c>
      <c r="D9063" t="n">
        <v>14.8049990906021</v>
      </c>
    </row>
    <row r="9064">
      <c r="A9064" t="inlineStr">
        <is>
          <t>Sierra Leone</t>
        </is>
      </c>
      <c r="B9064" t="inlineStr">
        <is>
          <t>SLE</t>
        </is>
      </c>
      <c r="C9064" t="n">
        <v>2020</v>
      </c>
      <c r="D9064" t="n">
        <v>13.4468711101052</v>
      </c>
    </row>
    <row r="9065">
      <c r="A9065" t="inlineStr">
        <is>
          <t>Sierra Leone</t>
        </is>
      </c>
      <c r="B9065" t="inlineStr">
        <is>
          <t>SLE</t>
        </is>
      </c>
      <c r="C9065" t="n">
        <v>2021</v>
      </c>
      <c r="D9065" t="n">
        <v>11.8739588840234</v>
      </c>
    </row>
    <row r="9066">
      <c r="A9066" t="inlineStr">
        <is>
          <t>Sierra Leone</t>
        </is>
      </c>
      <c r="B9066" t="inlineStr">
        <is>
          <t>SLE</t>
        </is>
      </c>
      <c r="C9066" t="n">
        <v>2022</v>
      </c>
      <c r="D9066" t="n">
        <v>27.2082883814653</v>
      </c>
    </row>
    <row r="9067">
      <c r="A9067" t="inlineStr">
        <is>
          <t>Sierra Leone</t>
        </is>
      </c>
      <c r="B9067" t="inlineStr">
        <is>
          <t>SLE</t>
        </is>
      </c>
      <c r="C9067" t="n">
        <v>2023</v>
      </c>
      <c r="D9067" t="n">
        <v>47.6428733253179</v>
      </c>
    </row>
    <row r="9068">
      <c r="A9068" t="inlineStr">
        <is>
          <t>Sierra Leone</t>
        </is>
      </c>
      <c r="B9068" t="inlineStr">
        <is>
          <t>SLE</t>
        </is>
      </c>
      <c r="C9068" t="n">
        <v>2024</v>
      </c>
      <c r="D9068" t="n">
        <v>28.6337500014115</v>
      </c>
    </row>
    <row r="9069">
      <c r="A9069" t="inlineStr">
        <is>
          <t>El Salvador</t>
        </is>
      </c>
      <c r="B9069" t="inlineStr">
        <is>
          <t>SLV</t>
        </is>
      </c>
      <c r="C9069" t="n">
        <v>1960</v>
      </c>
      <c r="D9069" t="n">
        <v>-0.0389741990030698</v>
      </c>
    </row>
    <row r="9070">
      <c r="A9070" t="inlineStr">
        <is>
          <t>El Salvador</t>
        </is>
      </c>
      <c r="B9070" t="inlineStr">
        <is>
          <t>SLV</t>
        </is>
      </c>
      <c r="C9070" t="n">
        <v>1961</v>
      </c>
      <c r="D9070" t="n">
        <v>-2.68247036807419</v>
      </c>
    </row>
    <row r="9071">
      <c r="A9071" t="inlineStr">
        <is>
          <t>El Salvador</t>
        </is>
      </c>
      <c r="B9071" t="inlineStr">
        <is>
          <t>SLV</t>
        </is>
      </c>
      <c r="C9071" t="n">
        <v>1962</v>
      </c>
      <c r="D9071" t="n">
        <v>0.0961538463947943</v>
      </c>
    </row>
    <row r="9072">
      <c r="A9072" t="inlineStr">
        <is>
          <t>El Salvador</t>
        </is>
      </c>
      <c r="B9072" t="inlineStr">
        <is>
          <t>SLV</t>
        </is>
      </c>
      <c r="C9072" t="n">
        <v>1963</v>
      </c>
      <c r="D9072" t="n">
        <v>1.56900416258926</v>
      </c>
    </row>
    <row r="9073">
      <c r="A9073" t="inlineStr">
        <is>
          <t>El Salvador</t>
        </is>
      </c>
      <c r="B9073" t="inlineStr">
        <is>
          <t>SLV</t>
        </is>
      </c>
      <c r="C9073" t="n">
        <v>1964</v>
      </c>
      <c r="D9073" t="n">
        <v>1.75756620405747</v>
      </c>
    </row>
    <row r="9074">
      <c r="A9074" t="inlineStr">
        <is>
          <t>El Salvador</t>
        </is>
      </c>
      <c r="B9074" t="inlineStr">
        <is>
          <t>SLV</t>
        </is>
      </c>
      <c r="C9074" t="n">
        <v>1965</v>
      </c>
      <c r="D9074" t="n">
        <v>0.456974672917124</v>
      </c>
    </row>
    <row r="9075">
      <c r="A9075" t="inlineStr">
        <is>
          <t>El Salvador</t>
        </is>
      </c>
      <c r="B9075" t="inlineStr">
        <is>
          <t>SLV</t>
        </is>
      </c>
      <c r="C9075" t="n">
        <v>1966</v>
      </c>
      <c r="D9075" t="n">
        <v>-1.18735543593374</v>
      </c>
    </row>
    <row r="9076">
      <c r="A9076" t="inlineStr">
        <is>
          <t>El Salvador</t>
        </is>
      </c>
      <c r="B9076" t="inlineStr">
        <is>
          <t>SLV</t>
        </is>
      </c>
      <c r="C9076" t="n">
        <v>1967</v>
      </c>
      <c r="D9076" t="n">
        <v>1.46691635472379</v>
      </c>
    </row>
    <row r="9077">
      <c r="A9077" t="inlineStr">
        <is>
          <t>El Salvador</t>
        </is>
      </c>
      <c r="B9077" t="inlineStr">
        <is>
          <t>SLV</t>
        </is>
      </c>
      <c r="C9077" t="n">
        <v>1968</v>
      </c>
      <c r="D9077" t="n">
        <v>2.53768071348792</v>
      </c>
    </row>
    <row r="9078">
      <c r="A9078" t="inlineStr">
        <is>
          <t>El Salvador</t>
        </is>
      </c>
      <c r="B9078" t="inlineStr">
        <is>
          <t>SLV</t>
        </is>
      </c>
      <c r="C9078" t="n">
        <v>1969</v>
      </c>
      <c r="D9078" t="n">
        <v>-0.194990250038154</v>
      </c>
    </row>
    <row r="9079">
      <c r="A9079" t="inlineStr">
        <is>
          <t>El Salvador</t>
        </is>
      </c>
      <c r="B9079" t="inlineStr">
        <is>
          <t>SLV</t>
        </is>
      </c>
      <c r="C9079" t="n">
        <v>1970</v>
      </c>
      <c r="D9079" t="n">
        <v>2.81785392208514</v>
      </c>
    </row>
    <row r="9080">
      <c r="A9080" t="inlineStr">
        <is>
          <t>El Salvador</t>
        </is>
      </c>
      <c r="B9080" t="inlineStr">
        <is>
          <t>SLV</t>
        </is>
      </c>
      <c r="C9080" t="n">
        <v>1971</v>
      </c>
      <c r="D9080" t="n">
        <v>0.445808667692475</v>
      </c>
    </row>
    <row r="9081">
      <c r="A9081" t="inlineStr">
        <is>
          <t>El Salvador</t>
        </is>
      </c>
      <c r="B9081" t="inlineStr">
        <is>
          <t>SLV</t>
        </is>
      </c>
      <c r="C9081" t="n">
        <v>1972</v>
      </c>
      <c r="D9081" t="n">
        <v>1.53521536678872</v>
      </c>
    </row>
    <row r="9082">
      <c r="A9082" t="inlineStr">
        <is>
          <t>El Salvador</t>
        </is>
      </c>
      <c r="B9082" t="inlineStr">
        <is>
          <t>SLV</t>
        </is>
      </c>
      <c r="C9082" t="n">
        <v>1973</v>
      </c>
      <c r="D9082" t="n">
        <v>6.39197420311837</v>
      </c>
    </row>
    <row r="9083">
      <c r="A9083" t="inlineStr">
        <is>
          <t>El Salvador</t>
        </is>
      </c>
      <c r="B9083" t="inlineStr">
        <is>
          <t>SLV</t>
        </is>
      </c>
      <c r="C9083" t="n">
        <v>1974</v>
      </c>
      <c r="D9083" t="n">
        <v>16.8990368422354</v>
      </c>
    </row>
    <row r="9084">
      <c r="A9084" t="inlineStr">
        <is>
          <t>El Salvador</t>
        </is>
      </c>
      <c r="B9084" t="inlineStr">
        <is>
          <t>SLV</t>
        </is>
      </c>
      <c r="C9084" t="n">
        <v>1975</v>
      </c>
      <c r="D9084" t="n">
        <v>19.0884996543863</v>
      </c>
    </row>
    <row r="9085">
      <c r="A9085" t="inlineStr">
        <is>
          <t>El Salvador</t>
        </is>
      </c>
      <c r="B9085" t="inlineStr">
        <is>
          <t>SLV</t>
        </is>
      </c>
      <c r="C9085" t="n">
        <v>1976</v>
      </c>
      <c r="D9085" t="n">
        <v>7.03468963198825</v>
      </c>
    </row>
    <row r="9086">
      <c r="A9086" t="inlineStr">
        <is>
          <t>El Salvador</t>
        </is>
      </c>
      <c r="B9086" t="inlineStr">
        <is>
          <t>SLV</t>
        </is>
      </c>
      <c r="C9086" t="n">
        <v>1977</v>
      </c>
      <c r="D9086" t="n">
        <v>11.8202775391489</v>
      </c>
    </row>
    <row r="9087">
      <c r="A9087" t="inlineStr">
        <is>
          <t>El Salvador</t>
        </is>
      </c>
      <c r="B9087" t="inlineStr">
        <is>
          <t>SLV</t>
        </is>
      </c>
      <c r="C9087" t="n">
        <v>1978</v>
      </c>
      <c r="D9087" t="n">
        <v>13.2751232921383</v>
      </c>
    </row>
    <row r="9088">
      <c r="A9088" t="inlineStr">
        <is>
          <t>El Salvador</t>
        </is>
      </c>
      <c r="B9088" t="inlineStr">
        <is>
          <t>SLV</t>
        </is>
      </c>
      <c r="C9088" t="n">
        <v>1979</v>
      </c>
      <c r="D9088" t="n">
        <v>14.0560247361062</v>
      </c>
    </row>
    <row r="9089">
      <c r="A9089" t="inlineStr">
        <is>
          <t>El Salvador</t>
        </is>
      </c>
      <c r="B9089" t="inlineStr">
        <is>
          <t>SLV</t>
        </is>
      </c>
      <c r="C9089" t="n">
        <v>1980</v>
      </c>
      <c r="D9089" t="n">
        <v>17.3669682564025</v>
      </c>
    </row>
    <row r="9090">
      <c r="A9090" t="inlineStr">
        <is>
          <t>El Salvador</t>
        </is>
      </c>
      <c r="B9090" t="inlineStr">
        <is>
          <t>SLV</t>
        </is>
      </c>
      <c r="C9090" t="n">
        <v>1981</v>
      </c>
      <c r="D9090" t="n">
        <v>14.7971516299733</v>
      </c>
    </row>
    <row r="9091">
      <c r="A9091" t="inlineStr">
        <is>
          <t>El Salvador</t>
        </is>
      </c>
      <c r="B9091" t="inlineStr">
        <is>
          <t>SLV</t>
        </is>
      </c>
      <c r="C9091" t="n">
        <v>1982</v>
      </c>
      <c r="D9091" t="n">
        <v>11.7288868654679</v>
      </c>
    </row>
    <row r="9092">
      <c r="A9092" t="inlineStr">
        <is>
          <t>El Salvador</t>
        </is>
      </c>
      <c r="B9092" t="inlineStr">
        <is>
          <t>SLV</t>
        </is>
      </c>
      <c r="C9092" t="n">
        <v>1983</v>
      </c>
      <c r="D9092" t="n">
        <v>13.3143177303524</v>
      </c>
    </row>
    <row r="9093">
      <c r="A9093" t="inlineStr">
        <is>
          <t>El Salvador</t>
        </is>
      </c>
      <c r="B9093" t="inlineStr">
        <is>
          <t>SLV</t>
        </is>
      </c>
      <c r="C9093" t="n">
        <v>1984</v>
      </c>
      <c r="D9093" t="n">
        <v>11.5071695057309</v>
      </c>
    </row>
    <row r="9094">
      <c r="A9094" t="inlineStr">
        <is>
          <t>El Salvador</t>
        </is>
      </c>
      <c r="B9094" t="inlineStr">
        <is>
          <t>SLV</t>
        </is>
      </c>
      <c r="C9094" t="n">
        <v>1985</v>
      </c>
      <c r="D9094" t="n">
        <v>22.3283750554416</v>
      </c>
    </row>
    <row r="9095">
      <c r="A9095" t="inlineStr">
        <is>
          <t>El Salvador</t>
        </is>
      </c>
      <c r="B9095" t="inlineStr">
        <is>
          <t>SLV</t>
        </is>
      </c>
      <c r="C9095" t="n">
        <v>1986</v>
      </c>
      <c r="D9095" t="n">
        <v>31.9350161472763</v>
      </c>
    </row>
    <row r="9096">
      <c r="A9096" t="inlineStr">
        <is>
          <t>El Salvador</t>
        </is>
      </c>
      <c r="B9096" t="inlineStr">
        <is>
          <t>SLV</t>
        </is>
      </c>
      <c r="C9096" t="n">
        <v>1987</v>
      </c>
      <c r="D9096" t="n">
        <v>24.8645003373125</v>
      </c>
    </row>
    <row r="9097">
      <c r="A9097" t="inlineStr">
        <is>
          <t>El Salvador</t>
        </is>
      </c>
      <c r="B9097" t="inlineStr">
        <is>
          <t>SLV</t>
        </is>
      </c>
      <c r="C9097" t="n">
        <v>1988</v>
      </c>
      <c r="D9097" t="n">
        <v>19.7611617858858</v>
      </c>
    </row>
    <row r="9098">
      <c r="A9098" t="inlineStr">
        <is>
          <t>El Salvador</t>
        </is>
      </c>
      <c r="B9098" t="inlineStr">
        <is>
          <t>SLV</t>
        </is>
      </c>
      <c r="C9098" t="n">
        <v>1989</v>
      </c>
      <c r="D9098" t="n">
        <v>17.6340799385345</v>
      </c>
    </row>
    <row r="9099">
      <c r="A9099" t="inlineStr">
        <is>
          <t>El Salvador</t>
        </is>
      </c>
      <c r="B9099" t="inlineStr">
        <is>
          <t>SLV</t>
        </is>
      </c>
      <c r="C9099" t="n">
        <v>1990</v>
      </c>
      <c r="D9099" t="n">
        <v>23.9991651130861</v>
      </c>
    </row>
    <row r="9100">
      <c r="A9100" t="inlineStr">
        <is>
          <t>El Salvador</t>
        </is>
      </c>
      <c r="B9100" t="inlineStr">
        <is>
          <t>SLV</t>
        </is>
      </c>
      <c r="C9100" t="n">
        <v>1991</v>
      </c>
      <c r="D9100" t="n">
        <v>14.4026748806266</v>
      </c>
    </row>
    <row r="9101">
      <c r="A9101" t="inlineStr">
        <is>
          <t>El Salvador</t>
        </is>
      </c>
      <c r="B9101" t="inlineStr">
        <is>
          <t>SLV</t>
        </is>
      </c>
      <c r="C9101" t="n">
        <v>1992</v>
      </c>
      <c r="D9101" t="n">
        <v>11.2144813801987</v>
      </c>
    </row>
    <row r="9102">
      <c r="A9102" t="inlineStr">
        <is>
          <t>El Salvador</t>
        </is>
      </c>
      <c r="B9102" t="inlineStr">
        <is>
          <t>SLV</t>
        </is>
      </c>
      <c r="C9102" t="n">
        <v>1993</v>
      </c>
      <c r="D9102" t="n">
        <v>18.5066883302714</v>
      </c>
    </row>
    <row r="9103">
      <c r="A9103" t="inlineStr">
        <is>
          <t>El Salvador</t>
        </is>
      </c>
      <c r="B9103" t="inlineStr">
        <is>
          <t>SLV</t>
        </is>
      </c>
      <c r="C9103" t="n">
        <v>1994</v>
      </c>
      <c r="D9103" t="n">
        <v>10.5858066526451</v>
      </c>
    </row>
    <row r="9104">
      <c r="A9104" t="inlineStr">
        <is>
          <t>El Salvador</t>
        </is>
      </c>
      <c r="B9104" t="inlineStr">
        <is>
          <t>SLV</t>
        </is>
      </c>
      <c r="C9104" t="n">
        <v>1995</v>
      </c>
      <c r="D9104" t="n">
        <v>10.0296564501018</v>
      </c>
    </row>
    <row r="9105">
      <c r="A9105" t="inlineStr">
        <is>
          <t>El Salvador</t>
        </is>
      </c>
      <c r="B9105" t="inlineStr">
        <is>
          <t>SLV</t>
        </is>
      </c>
      <c r="C9105" t="n">
        <v>1996</v>
      </c>
      <c r="D9105" t="n">
        <v>9.788920401799659</v>
      </c>
    </row>
    <row r="9106">
      <c r="A9106" t="inlineStr">
        <is>
          <t>El Salvador</t>
        </is>
      </c>
      <c r="B9106" t="inlineStr">
        <is>
          <t>SLV</t>
        </is>
      </c>
      <c r="C9106" t="n">
        <v>1997</v>
      </c>
      <c r="D9106" t="n">
        <v>4.49013627855204</v>
      </c>
    </row>
    <row r="9107">
      <c r="A9107" t="inlineStr">
        <is>
          <t>El Salvador</t>
        </is>
      </c>
      <c r="B9107" t="inlineStr">
        <is>
          <t>SLV</t>
        </is>
      </c>
      <c r="C9107" t="n">
        <v>1998</v>
      </c>
      <c r="D9107" t="n">
        <v>2.54705977554151</v>
      </c>
    </row>
    <row r="9108">
      <c r="A9108" t="inlineStr">
        <is>
          <t>El Salvador</t>
        </is>
      </c>
      <c r="B9108" t="inlineStr">
        <is>
          <t>SLV</t>
        </is>
      </c>
      <c r="C9108" t="n">
        <v>1999</v>
      </c>
      <c r="D9108" t="n">
        <v>0.514827130192979</v>
      </c>
    </row>
    <row r="9109">
      <c r="A9109" t="inlineStr">
        <is>
          <t>El Salvador</t>
        </is>
      </c>
      <c r="B9109" t="inlineStr">
        <is>
          <t>SLV</t>
        </is>
      </c>
      <c r="C9109" t="n">
        <v>2000</v>
      </c>
      <c r="D9109" t="n">
        <v>2.27128756828723</v>
      </c>
    </row>
    <row r="9110">
      <c r="A9110" t="inlineStr">
        <is>
          <t>El Salvador</t>
        </is>
      </c>
      <c r="B9110" t="inlineStr">
        <is>
          <t>SLV</t>
        </is>
      </c>
      <c r="C9110" t="n">
        <v>2001</v>
      </c>
      <c r="D9110" t="n">
        <v>3.7508205747202</v>
      </c>
    </row>
    <row r="9111">
      <c r="A9111" t="inlineStr">
        <is>
          <t>El Salvador</t>
        </is>
      </c>
      <c r="B9111" t="inlineStr">
        <is>
          <t>SLV</t>
        </is>
      </c>
      <c r="C9111" t="n">
        <v>2002</v>
      </c>
      <c r="D9111" t="n">
        <v>1.86552503610077</v>
      </c>
    </row>
    <row r="9112">
      <c r="A9112" t="inlineStr">
        <is>
          <t>El Salvador</t>
        </is>
      </c>
      <c r="B9112" t="inlineStr">
        <is>
          <t>SLV</t>
        </is>
      </c>
      <c r="C9112" t="n">
        <v>2003</v>
      </c>
      <c r="D9112" t="n">
        <v>2.1203909173333</v>
      </c>
    </row>
    <row r="9113">
      <c r="A9113" t="inlineStr">
        <is>
          <t>El Salvador</t>
        </is>
      </c>
      <c r="B9113" t="inlineStr">
        <is>
          <t>SLV</t>
        </is>
      </c>
      <c r="C9113" t="n">
        <v>2004</v>
      </c>
      <c r="D9113" t="n">
        <v>4.45194392395045</v>
      </c>
    </row>
    <row r="9114">
      <c r="A9114" t="inlineStr">
        <is>
          <t>El Salvador</t>
        </is>
      </c>
      <c r="B9114" t="inlineStr">
        <is>
          <t>SLV</t>
        </is>
      </c>
      <c r="C9114" t="n">
        <v>2005</v>
      </c>
      <c r="D9114" t="n">
        <v>4.69094870903769</v>
      </c>
    </row>
    <row r="9115">
      <c r="A9115" t="inlineStr">
        <is>
          <t>El Salvador</t>
        </is>
      </c>
      <c r="B9115" t="inlineStr">
        <is>
          <t>SLV</t>
        </is>
      </c>
      <c r="C9115" t="n">
        <v>2006</v>
      </c>
      <c r="D9115" t="n">
        <v>4.03712359429612</v>
      </c>
    </row>
    <row r="9116">
      <c r="A9116" t="inlineStr">
        <is>
          <t>El Salvador</t>
        </is>
      </c>
      <c r="B9116" t="inlineStr">
        <is>
          <t>SLV</t>
        </is>
      </c>
      <c r="C9116" t="n">
        <v>2007</v>
      </c>
      <c r="D9116" t="n">
        <v>4.57808572377153</v>
      </c>
    </row>
    <row r="9117">
      <c r="A9117" t="inlineStr">
        <is>
          <t>El Salvador</t>
        </is>
      </c>
      <c r="B9117" t="inlineStr">
        <is>
          <t>SLV</t>
        </is>
      </c>
      <c r="C9117" t="n">
        <v>2008</v>
      </c>
      <c r="D9117" t="n">
        <v>6.70792293515939</v>
      </c>
    </row>
    <row r="9118">
      <c r="A9118" t="inlineStr">
        <is>
          <t>El Salvador</t>
        </is>
      </c>
      <c r="B9118" t="inlineStr">
        <is>
          <t>SLV</t>
        </is>
      </c>
      <c r="C9118" t="n">
        <v>2009</v>
      </c>
      <c r="D9118" t="n">
        <v>1.05595029731201</v>
      </c>
    </row>
    <row r="9119">
      <c r="A9119" t="inlineStr">
        <is>
          <t>El Salvador</t>
        </is>
      </c>
      <c r="B9119" t="inlineStr">
        <is>
          <t>SLV</t>
        </is>
      </c>
      <c r="C9119" t="n">
        <v>2010</v>
      </c>
      <c r="D9119" t="n">
        <v>1.17933576873673</v>
      </c>
    </row>
    <row r="9120">
      <c r="A9120" t="inlineStr">
        <is>
          <t>El Salvador</t>
        </is>
      </c>
      <c r="B9120" t="inlineStr">
        <is>
          <t>SLV</t>
        </is>
      </c>
      <c r="C9120" t="n">
        <v>2011</v>
      </c>
      <c r="D9120" t="n">
        <v>5.1289237668161</v>
      </c>
    </row>
    <row r="9121">
      <c r="A9121" t="inlineStr">
        <is>
          <t>El Salvador</t>
        </is>
      </c>
      <c r="B9121" t="inlineStr">
        <is>
          <t>SLV</t>
        </is>
      </c>
      <c r="C9121" t="n">
        <v>2012</v>
      </c>
      <c r="D9121" t="n">
        <v>1.72973481581383</v>
      </c>
    </row>
    <row r="9122">
      <c r="A9122" t="inlineStr">
        <is>
          <t>El Salvador</t>
        </is>
      </c>
      <c r="B9122" t="inlineStr">
        <is>
          <t>SLV</t>
        </is>
      </c>
      <c r="C9122" t="n">
        <v>2013</v>
      </c>
      <c r="D9122" t="n">
        <v>0.757669184522973</v>
      </c>
    </row>
    <row r="9123">
      <c r="A9123" t="inlineStr">
        <is>
          <t>El Salvador</t>
        </is>
      </c>
      <c r="B9123" t="inlineStr">
        <is>
          <t>SLV</t>
        </is>
      </c>
      <c r="C9123" t="n">
        <v>2014</v>
      </c>
      <c r="D9123" t="n">
        <v>1.14134467538233</v>
      </c>
    </row>
    <row r="9124">
      <c r="A9124" t="inlineStr">
        <is>
          <t>El Salvador</t>
        </is>
      </c>
      <c r="B9124" t="inlineStr">
        <is>
          <t>SLV</t>
        </is>
      </c>
      <c r="C9124" t="n">
        <v>2015</v>
      </c>
      <c r="D9124" t="n">
        <v>-0.731384487387957</v>
      </c>
    </row>
    <row r="9125">
      <c r="A9125" t="inlineStr">
        <is>
          <t>El Salvador</t>
        </is>
      </c>
      <c r="B9125" t="inlineStr">
        <is>
          <t>SLV</t>
        </is>
      </c>
      <c r="C9125" t="n">
        <v>2016</v>
      </c>
      <c r="D9125" t="n">
        <v>0.60404908699661</v>
      </c>
    </row>
    <row r="9126">
      <c r="A9126" t="inlineStr">
        <is>
          <t>El Salvador</t>
        </is>
      </c>
      <c r="B9126" t="inlineStr">
        <is>
          <t>SLV</t>
        </is>
      </c>
      <c r="C9126" t="n">
        <v>2017</v>
      </c>
      <c r="D9126" t="n">
        <v>1.0123540331558</v>
      </c>
    </row>
    <row r="9127">
      <c r="A9127" t="inlineStr">
        <is>
          <t>El Salvador</t>
        </is>
      </c>
      <c r="B9127" t="inlineStr">
        <is>
          <t>SLV</t>
        </is>
      </c>
      <c r="C9127" t="n">
        <v>2018</v>
      </c>
      <c r="D9127" t="n">
        <v>1.09033000581892</v>
      </c>
    </row>
    <row r="9128">
      <c r="A9128" t="inlineStr">
        <is>
          <t>El Salvador</t>
        </is>
      </c>
      <c r="B9128" t="inlineStr">
        <is>
          <t>SLV</t>
        </is>
      </c>
      <c r="C9128" t="n">
        <v>2019</v>
      </c>
      <c r="D9128" t="n">
        <v>0.0753241350024612</v>
      </c>
    </row>
    <row r="9129">
      <c r="A9129" t="inlineStr">
        <is>
          <t>El Salvador</t>
        </is>
      </c>
      <c r="B9129" t="inlineStr">
        <is>
          <t>SLV</t>
        </is>
      </c>
      <c r="C9129" t="n">
        <v>2020</v>
      </c>
      <c r="D9129" t="n">
        <v>-0.371590212324095</v>
      </c>
    </row>
    <row r="9130">
      <c r="A9130" t="inlineStr">
        <is>
          <t>El Salvador</t>
        </is>
      </c>
      <c r="B9130" t="inlineStr">
        <is>
          <t>SLV</t>
        </is>
      </c>
      <c r="C9130" t="n">
        <v>2021</v>
      </c>
      <c r="D9130" t="n">
        <v>3.46692585313082</v>
      </c>
    </row>
    <row r="9131">
      <c r="A9131" t="inlineStr">
        <is>
          <t>El Salvador</t>
        </is>
      </c>
      <c r="B9131" t="inlineStr">
        <is>
          <t>SLV</t>
        </is>
      </c>
      <c r="C9131" t="n">
        <v>2022</v>
      </c>
      <c r="D9131" t="n">
        <v>7.19861615609867</v>
      </c>
    </row>
    <row r="9132">
      <c r="A9132" t="inlineStr">
        <is>
          <t>El Salvador</t>
        </is>
      </c>
      <c r="B9132" t="inlineStr">
        <is>
          <t>SLV</t>
        </is>
      </c>
      <c r="C9132" t="n">
        <v>2023</v>
      </c>
      <c r="D9132" t="n">
        <v>4.04554694222477</v>
      </c>
    </row>
    <row r="9133">
      <c r="A9133" t="inlineStr">
        <is>
          <t>El Salvador</t>
        </is>
      </c>
      <c r="B9133" t="inlineStr">
        <is>
          <t>SLV</t>
        </is>
      </c>
      <c r="C9133" t="n">
        <v>2024</v>
      </c>
      <c r="D9133" t="n">
        <v>0.853782292567288</v>
      </c>
    </row>
    <row r="9134">
      <c r="A9134" t="inlineStr">
        <is>
          <t>San Marino</t>
        </is>
      </c>
      <c r="B9134" t="inlineStr">
        <is>
          <t>SMR</t>
        </is>
      </c>
      <c r="C9134" t="n">
        <v>2004</v>
      </c>
      <c r="D9134" t="n">
        <v>1.43083868527343</v>
      </c>
    </row>
    <row r="9135">
      <c r="A9135" t="inlineStr">
        <is>
          <t>San Marino</t>
        </is>
      </c>
      <c r="B9135" t="inlineStr">
        <is>
          <t>SMR</t>
        </is>
      </c>
      <c r="C9135" t="n">
        <v>2005</v>
      </c>
      <c r="D9135" t="n">
        <v>1.68548890528347</v>
      </c>
    </row>
    <row r="9136">
      <c r="A9136" t="inlineStr">
        <is>
          <t>San Marino</t>
        </is>
      </c>
      <c r="B9136" t="inlineStr">
        <is>
          <t>SMR</t>
        </is>
      </c>
      <c r="C9136" t="n">
        <v>2006</v>
      </c>
      <c r="D9136" t="n">
        <v>2.09525935611432</v>
      </c>
    </row>
    <row r="9137">
      <c r="A9137" t="inlineStr">
        <is>
          <t>San Marino</t>
        </is>
      </c>
      <c r="B9137" t="inlineStr">
        <is>
          <t>SMR</t>
        </is>
      </c>
      <c r="C9137" t="n">
        <v>2007</v>
      </c>
      <c r="D9137" t="n">
        <v>2.49894575725803</v>
      </c>
    </row>
    <row r="9138">
      <c r="A9138" t="inlineStr">
        <is>
          <t>San Marino</t>
        </is>
      </c>
      <c r="B9138" t="inlineStr">
        <is>
          <t>SMR</t>
        </is>
      </c>
      <c r="C9138" t="n">
        <v>2008</v>
      </c>
      <c r="D9138" t="n">
        <v>4.29320249287704</v>
      </c>
    </row>
    <row r="9139">
      <c r="A9139" t="inlineStr">
        <is>
          <t>San Marino</t>
        </is>
      </c>
      <c r="B9139" t="inlineStr">
        <is>
          <t>SMR</t>
        </is>
      </c>
      <c r="C9139" t="n">
        <v>2009</v>
      </c>
      <c r="D9139" t="n">
        <v>2.19959237046011</v>
      </c>
    </row>
    <row r="9140">
      <c r="A9140" t="inlineStr">
        <is>
          <t>San Marino</t>
        </is>
      </c>
      <c r="B9140" t="inlineStr">
        <is>
          <t>SMR</t>
        </is>
      </c>
      <c r="C9140" t="n">
        <v>2010</v>
      </c>
      <c r="D9140" t="n">
        <v>2.58541815582587</v>
      </c>
    </row>
    <row r="9141">
      <c r="A9141" t="inlineStr">
        <is>
          <t>San Marino</t>
        </is>
      </c>
      <c r="B9141" t="inlineStr">
        <is>
          <t>SMR</t>
        </is>
      </c>
      <c r="C9141" t="n">
        <v>2011</v>
      </c>
      <c r="D9141" t="n">
        <v>2.89979584300123</v>
      </c>
    </row>
    <row r="9142">
      <c r="A9142" t="inlineStr">
        <is>
          <t>San Marino</t>
        </is>
      </c>
      <c r="B9142" t="inlineStr">
        <is>
          <t>SMR</t>
        </is>
      </c>
      <c r="C9142" t="n">
        <v>2012</v>
      </c>
      <c r="D9142" t="n">
        <v>2.8273322422258</v>
      </c>
    </row>
    <row r="9143">
      <c r="A9143" t="inlineStr">
        <is>
          <t>San Marino</t>
        </is>
      </c>
      <c r="B9143" t="inlineStr">
        <is>
          <t>SMR</t>
        </is>
      </c>
      <c r="C9143" t="n">
        <v>2013</v>
      </c>
      <c r="D9143" t="n">
        <v>1.60439298078082</v>
      </c>
    </row>
    <row r="9144">
      <c r="A9144" t="inlineStr">
        <is>
          <t>San Marino</t>
        </is>
      </c>
      <c r="B9144" t="inlineStr">
        <is>
          <t>SMR</t>
        </is>
      </c>
      <c r="C9144" t="n">
        <v>2014</v>
      </c>
      <c r="D9144" t="n">
        <v>1.11296303373851</v>
      </c>
    </row>
    <row r="9145">
      <c r="A9145" t="inlineStr">
        <is>
          <t>San Marino</t>
        </is>
      </c>
      <c r="B9145" t="inlineStr">
        <is>
          <t>SMR</t>
        </is>
      </c>
      <c r="C9145" t="n">
        <v>2015</v>
      </c>
      <c r="D9145" t="n">
        <v>0.145686073241066</v>
      </c>
    </row>
    <row r="9146">
      <c r="A9146" t="inlineStr">
        <is>
          <t>San Marino</t>
        </is>
      </c>
      <c r="B9146" t="inlineStr">
        <is>
          <t>SMR</t>
        </is>
      </c>
      <c r="C9146" t="n">
        <v>2016</v>
      </c>
      <c r="D9146" t="n">
        <v>0.644075340346552</v>
      </c>
    </row>
    <row r="9147">
      <c r="A9147" t="inlineStr">
        <is>
          <t>San Marino</t>
        </is>
      </c>
      <c r="B9147" t="inlineStr">
        <is>
          <t>SMR</t>
        </is>
      </c>
      <c r="C9147" t="n">
        <v>2017</v>
      </c>
      <c r="D9147" t="n">
        <v>1.01413313194508</v>
      </c>
    </row>
    <row r="9148">
      <c r="A9148" t="inlineStr">
        <is>
          <t>San Marino</t>
        </is>
      </c>
      <c r="B9148" t="inlineStr">
        <is>
          <t>SMR</t>
        </is>
      </c>
      <c r="C9148" t="n">
        <v>2018</v>
      </c>
      <c r="D9148" t="n">
        <v>1.16333522293158</v>
      </c>
    </row>
    <row r="9149">
      <c r="A9149" t="inlineStr">
        <is>
          <t>San Marino</t>
        </is>
      </c>
      <c r="B9149" t="inlineStr">
        <is>
          <t>SMR</t>
        </is>
      </c>
      <c r="C9149" t="n">
        <v>2019</v>
      </c>
      <c r="D9149" t="n">
        <v>0.472651967352852</v>
      </c>
    </row>
    <row r="9150">
      <c r="A9150" t="inlineStr">
        <is>
          <t>San Marino</t>
        </is>
      </c>
      <c r="B9150" t="inlineStr">
        <is>
          <t>SMR</t>
        </is>
      </c>
      <c r="C9150" t="n">
        <v>2020</v>
      </c>
      <c r="D9150" t="n">
        <v>-0.133368898372915</v>
      </c>
    </row>
    <row r="9151">
      <c r="A9151" t="inlineStr">
        <is>
          <t>San Marino</t>
        </is>
      </c>
      <c r="B9151" t="inlineStr">
        <is>
          <t>SMR</t>
        </is>
      </c>
      <c r="C9151" t="n">
        <v>2021</v>
      </c>
      <c r="D9151" t="n">
        <v>1.61551411551421</v>
      </c>
    </row>
    <row r="9152">
      <c r="A9152" t="inlineStr">
        <is>
          <t>San Marino</t>
        </is>
      </c>
      <c r="B9152" t="inlineStr">
        <is>
          <t>SMR</t>
        </is>
      </c>
      <c r="C9152" t="n">
        <v>2022</v>
      </c>
      <c r="D9152" t="n">
        <v>5.32545321311365</v>
      </c>
    </row>
    <row r="9153">
      <c r="A9153" t="inlineStr">
        <is>
          <t>San Marino</t>
        </is>
      </c>
      <c r="B9153" t="inlineStr">
        <is>
          <t>SMR</t>
        </is>
      </c>
      <c r="C9153" t="n">
        <v>2023</v>
      </c>
      <c r="D9153" t="n">
        <v>5.93190858629403</v>
      </c>
    </row>
    <row r="9154">
      <c r="A9154" t="inlineStr">
        <is>
          <t>San Marino</t>
        </is>
      </c>
      <c r="B9154" t="inlineStr">
        <is>
          <t>SMR</t>
        </is>
      </c>
      <c r="C9154" t="n">
        <v>2024</v>
      </c>
      <c r="D9154" t="n">
        <v>1.24216507945569</v>
      </c>
    </row>
    <row r="9155">
      <c r="A9155" t="inlineStr">
        <is>
          <t>Serbia</t>
        </is>
      </c>
      <c r="B9155" t="inlineStr">
        <is>
          <t>SRB</t>
        </is>
      </c>
      <c r="C9155" t="n">
        <v>1995</v>
      </c>
      <c r="D9155" t="n">
        <v>82.6605151864663</v>
      </c>
    </row>
    <row r="9156">
      <c r="A9156" t="inlineStr">
        <is>
          <t>Serbia</t>
        </is>
      </c>
      <c r="B9156" t="inlineStr">
        <is>
          <t>SRB</t>
        </is>
      </c>
      <c r="C9156" t="n">
        <v>1996</v>
      </c>
      <c r="D9156" t="n">
        <v>95.60092612081711</v>
      </c>
    </row>
    <row r="9157">
      <c r="A9157" t="inlineStr">
        <is>
          <t>Serbia</t>
        </is>
      </c>
      <c r="B9157" t="inlineStr">
        <is>
          <t>SRB</t>
        </is>
      </c>
      <c r="C9157" t="n">
        <v>1997</v>
      </c>
      <c r="D9157" t="n">
        <v>23.307866135801</v>
      </c>
    </row>
    <row r="9158">
      <c r="A9158" t="inlineStr">
        <is>
          <t>Serbia</t>
        </is>
      </c>
      <c r="B9158" t="inlineStr">
        <is>
          <t>SRB</t>
        </is>
      </c>
      <c r="C9158" t="n">
        <v>1998</v>
      </c>
      <c r="D9158" t="n">
        <v>30.1596997992844</v>
      </c>
    </row>
    <row r="9159">
      <c r="A9159" t="inlineStr">
        <is>
          <t>Serbia</t>
        </is>
      </c>
      <c r="B9159" t="inlineStr">
        <is>
          <t>SRB</t>
        </is>
      </c>
      <c r="C9159" t="n">
        <v>1999</v>
      </c>
      <c r="D9159" t="n">
        <v>42.4539054642972</v>
      </c>
    </row>
    <row r="9160">
      <c r="A9160" t="inlineStr">
        <is>
          <t>Serbia</t>
        </is>
      </c>
      <c r="B9160" t="inlineStr">
        <is>
          <t>SRB</t>
        </is>
      </c>
      <c r="C9160" t="n">
        <v>2000</v>
      </c>
      <c r="D9160" t="n">
        <v>71.1206287946541</v>
      </c>
    </row>
    <row r="9161">
      <c r="A9161" t="inlineStr">
        <is>
          <t>Serbia</t>
        </is>
      </c>
      <c r="B9161" t="inlineStr">
        <is>
          <t>SRB</t>
        </is>
      </c>
      <c r="C9161" t="n">
        <v>2001</v>
      </c>
      <c r="D9161" t="n">
        <v>95.0052258100006</v>
      </c>
    </row>
    <row r="9162">
      <c r="A9162" t="inlineStr">
        <is>
          <t>Serbia</t>
        </is>
      </c>
      <c r="B9162" t="inlineStr">
        <is>
          <t>SRB</t>
        </is>
      </c>
      <c r="C9162" t="n">
        <v>2002</v>
      </c>
      <c r="D9162" t="n">
        <v>19.4908321579689</v>
      </c>
    </row>
    <row r="9163">
      <c r="A9163" t="inlineStr">
        <is>
          <t>Serbia</t>
        </is>
      </c>
      <c r="B9163" t="inlineStr">
        <is>
          <t>SRB</t>
        </is>
      </c>
      <c r="C9163" t="n">
        <v>2003</v>
      </c>
      <c r="D9163" t="n">
        <v>9.87617889729578</v>
      </c>
    </row>
    <row r="9164">
      <c r="A9164" t="inlineStr">
        <is>
          <t>Serbia</t>
        </is>
      </c>
      <c r="B9164" t="inlineStr">
        <is>
          <t>SRB</t>
        </is>
      </c>
      <c r="C9164" t="n">
        <v>2004</v>
      </c>
      <c r="D9164" t="n">
        <v>11.0263627183464</v>
      </c>
    </row>
    <row r="9165">
      <c r="A9165" t="inlineStr">
        <is>
          <t>Serbia</t>
        </is>
      </c>
      <c r="B9165" t="inlineStr">
        <is>
          <t>SRB</t>
        </is>
      </c>
      <c r="C9165" t="n">
        <v>2005</v>
      </c>
      <c r="D9165" t="n">
        <v>16.1199806482826</v>
      </c>
    </row>
    <row r="9166">
      <c r="A9166" t="inlineStr">
        <is>
          <t>Serbia</t>
        </is>
      </c>
      <c r="B9166" t="inlineStr">
        <is>
          <t>SRB</t>
        </is>
      </c>
      <c r="C9166" t="n">
        <v>2006</v>
      </c>
      <c r="D9166" t="n">
        <v>11.7240229980834</v>
      </c>
    </row>
    <row r="9167">
      <c r="A9167" t="inlineStr">
        <is>
          <t>Serbia</t>
        </is>
      </c>
      <c r="B9167" t="inlineStr">
        <is>
          <t>SRB</t>
        </is>
      </c>
      <c r="C9167" t="n">
        <v>2007</v>
      </c>
      <c r="D9167" t="n">
        <v>6.39170644391413</v>
      </c>
    </row>
    <row r="9168">
      <c r="A9168" t="inlineStr">
        <is>
          <t>Serbia</t>
        </is>
      </c>
      <c r="B9168" t="inlineStr">
        <is>
          <t>SRB</t>
        </is>
      </c>
      <c r="C9168" t="n">
        <v>2008</v>
      </c>
      <c r="D9168" t="n">
        <v>12.410986775178</v>
      </c>
    </row>
    <row r="9169">
      <c r="A9169" t="inlineStr">
        <is>
          <t>Serbia</t>
        </is>
      </c>
      <c r="B9169" t="inlineStr">
        <is>
          <t>SRB</t>
        </is>
      </c>
      <c r="C9169" t="n">
        <v>2009</v>
      </c>
      <c r="D9169" t="n">
        <v>8.11695092238082</v>
      </c>
    </row>
    <row r="9170">
      <c r="A9170" t="inlineStr">
        <is>
          <t>Serbia</t>
        </is>
      </c>
      <c r="B9170" t="inlineStr">
        <is>
          <t>SRB</t>
        </is>
      </c>
      <c r="C9170" t="n">
        <v>2010</v>
      </c>
      <c r="D9170" t="n">
        <v>6.14255360247248</v>
      </c>
    </row>
    <row r="9171">
      <c r="A9171" t="inlineStr">
        <is>
          <t>Serbia</t>
        </is>
      </c>
      <c r="B9171" t="inlineStr">
        <is>
          <t>SRB</t>
        </is>
      </c>
      <c r="C9171" t="n">
        <v>2011</v>
      </c>
      <c r="D9171" t="n">
        <v>11.1373976342129</v>
      </c>
    </row>
    <row r="9172">
      <c r="A9172" t="inlineStr">
        <is>
          <t>Serbia</t>
        </is>
      </c>
      <c r="B9172" t="inlineStr">
        <is>
          <t>SRB</t>
        </is>
      </c>
      <c r="C9172" t="n">
        <v>2012</v>
      </c>
      <c r="D9172" t="n">
        <v>7.33038589596646</v>
      </c>
    </row>
    <row r="9173">
      <c r="A9173" t="inlineStr">
        <is>
          <t>Serbia</t>
        </is>
      </c>
      <c r="B9173" t="inlineStr">
        <is>
          <t>SRB</t>
        </is>
      </c>
      <c r="C9173" t="n">
        <v>2013</v>
      </c>
      <c r="D9173" t="n">
        <v>7.69426362896655</v>
      </c>
    </row>
    <row r="9174">
      <c r="A9174" t="inlineStr">
        <is>
          <t>Serbia</t>
        </is>
      </c>
      <c r="B9174" t="inlineStr">
        <is>
          <t>SRB</t>
        </is>
      </c>
      <c r="C9174" t="n">
        <v>2014</v>
      </c>
      <c r="D9174" t="n">
        <v>2.08244793880154</v>
      </c>
    </row>
    <row r="9175">
      <c r="A9175" t="inlineStr">
        <is>
          <t>Serbia</t>
        </is>
      </c>
      <c r="B9175" t="inlineStr">
        <is>
          <t>SRB</t>
        </is>
      </c>
      <c r="C9175" t="n">
        <v>2015</v>
      </c>
      <c r="D9175" t="n">
        <v>1.39235822000187</v>
      </c>
    </row>
    <row r="9176">
      <c r="A9176" t="inlineStr">
        <is>
          <t>Serbia</t>
        </is>
      </c>
      <c r="B9176" t="inlineStr">
        <is>
          <t>SRB</t>
        </is>
      </c>
      <c r="C9176" t="n">
        <v>2016</v>
      </c>
      <c r="D9176" t="n">
        <v>1.12231397417769</v>
      </c>
    </row>
    <row r="9177">
      <c r="A9177" t="inlineStr">
        <is>
          <t>Serbia</t>
        </is>
      </c>
      <c r="B9177" t="inlineStr">
        <is>
          <t>SRB</t>
        </is>
      </c>
      <c r="C9177" t="n">
        <v>2017</v>
      </c>
      <c r="D9177" t="n">
        <v>3.13106248590115</v>
      </c>
    </row>
    <row r="9178">
      <c r="A9178" t="inlineStr">
        <is>
          <t>Serbia</t>
        </is>
      </c>
      <c r="B9178" t="inlineStr">
        <is>
          <t>SRB</t>
        </is>
      </c>
      <c r="C9178" t="n">
        <v>2018</v>
      </c>
      <c r="D9178" t="n">
        <v>1.95984076293801</v>
      </c>
    </row>
    <row r="9179">
      <c r="A9179" t="inlineStr">
        <is>
          <t>Serbia</t>
        </is>
      </c>
      <c r="B9179" t="inlineStr">
        <is>
          <t>SRB</t>
        </is>
      </c>
      <c r="C9179" t="n">
        <v>2019</v>
      </c>
      <c r="D9179" t="n">
        <v>1.84922984511086</v>
      </c>
    </row>
    <row r="9180">
      <c r="A9180" t="inlineStr">
        <is>
          <t>Serbia</t>
        </is>
      </c>
      <c r="B9180" t="inlineStr">
        <is>
          <t>SRB</t>
        </is>
      </c>
      <c r="C9180" t="n">
        <v>2020</v>
      </c>
      <c r="D9180" t="n">
        <v>1.57553290083415</v>
      </c>
    </row>
    <row r="9181">
      <c r="A9181" t="inlineStr">
        <is>
          <t>Serbia</t>
        </is>
      </c>
      <c r="B9181" t="inlineStr">
        <is>
          <t>SRB</t>
        </is>
      </c>
      <c r="C9181" t="n">
        <v>2021</v>
      </c>
      <c r="D9181" t="n">
        <v>4.08510285335102</v>
      </c>
    </row>
    <row r="9182">
      <c r="A9182" t="inlineStr">
        <is>
          <t>Serbia</t>
        </is>
      </c>
      <c r="B9182" t="inlineStr">
        <is>
          <t>SRB</t>
        </is>
      </c>
      <c r="C9182" t="n">
        <v>2022</v>
      </c>
      <c r="D9182" t="n">
        <v>11.9815117344703</v>
      </c>
    </row>
    <row r="9183">
      <c r="A9183" t="inlineStr">
        <is>
          <t>Serbia</t>
        </is>
      </c>
      <c r="B9183" t="inlineStr">
        <is>
          <t>SRB</t>
        </is>
      </c>
      <c r="C9183" t="n">
        <v>2023</v>
      </c>
      <c r="D9183" t="n">
        <v>12.3719043552519</v>
      </c>
    </row>
    <row r="9184">
      <c r="A9184" t="inlineStr">
        <is>
          <t>Serbia</t>
        </is>
      </c>
      <c r="B9184" t="inlineStr">
        <is>
          <t>SRB</t>
        </is>
      </c>
      <c r="C9184" t="n">
        <v>2024</v>
      </c>
      <c r="D9184" t="n">
        <v>4.6705297488997</v>
      </c>
    </row>
    <row r="9185">
      <c r="A9185" t="inlineStr">
        <is>
          <t>Sub-Saharan Africa (excluding high income)</t>
        </is>
      </c>
      <c r="B9185" t="inlineStr">
        <is>
          <t>SSA</t>
        </is>
      </c>
      <c r="C9185" t="n">
        <v>1981</v>
      </c>
      <c r="D9185" t="n">
        <v>12.413261372398</v>
      </c>
    </row>
    <row r="9186">
      <c r="A9186" t="inlineStr">
        <is>
          <t>Sub-Saharan Africa (excluding high income)</t>
        </is>
      </c>
      <c r="B9186" t="inlineStr">
        <is>
          <t>SSA</t>
        </is>
      </c>
      <c r="C9186" t="n">
        <v>1982</v>
      </c>
      <c r="D9186" t="n">
        <v>12.1399176954734</v>
      </c>
    </row>
    <row r="9187">
      <c r="A9187" t="inlineStr">
        <is>
          <t>Sub-Saharan Africa (excluding high income)</t>
        </is>
      </c>
      <c r="B9187" t="inlineStr">
        <is>
          <t>SSA</t>
        </is>
      </c>
      <c r="C9187" t="n">
        <v>1983</v>
      </c>
      <c r="D9187" t="n">
        <v>11.5675243834069</v>
      </c>
    </row>
    <row r="9188">
      <c r="A9188" t="inlineStr">
        <is>
          <t>Sub-Saharan Africa (excluding high income)</t>
        </is>
      </c>
      <c r="B9188" t="inlineStr">
        <is>
          <t>SSA</t>
        </is>
      </c>
      <c r="C9188" t="n">
        <v>1984</v>
      </c>
      <c r="D9188" t="n">
        <v>11.2499999999997</v>
      </c>
    </row>
    <row r="9189">
      <c r="A9189" t="inlineStr">
        <is>
          <t>Sub-Saharan Africa (excluding high income)</t>
        </is>
      </c>
      <c r="B9189" t="inlineStr">
        <is>
          <t>SSA</t>
        </is>
      </c>
      <c r="C9189" t="n">
        <v>1985</v>
      </c>
      <c r="D9189" t="n">
        <v>10.3054406698295</v>
      </c>
    </row>
    <row r="9190">
      <c r="A9190" t="inlineStr">
        <is>
          <t>Sub-Saharan Africa (excluding high income)</t>
        </is>
      </c>
      <c r="B9190" t="inlineStr">
        <is>
          <t>SSA</t>
        </is>
      </c>
      <c r="C9190" t="n">
        <v>1986</v>
      </c>
      <c r="D9190" t="n">
        <v>7.4333333333332</v>
      </c>
    </row>
    <row r="9191">
      <c r="A9191" t="inlineStr">
        <is>
          <t>Sub-Saharan Africa (excluding high income)</t>
        </is>
      </c>
      <c r="B9191" t="inlineStr">
        <is>
          <t>SSA</t>
        </is>
      </c>
      <c r="C9191" t="n">
        <v>1987</v>
      </c>
      <c r="D9191" t="n">
        <v>8.15234253800871</v>
      </c>
    </row>
    <row r="9192">
      <c r="A9192" t="inlineStr">
        <is>
          <t>Sub-Saharan Africa (excluding high income)</t>
        </is>
      </c>
      <c r="B9192" t="inlineStr">
        <is>
          <t>SSA</t>
        </is>
      </c>
      <c r="C9192" t="n">
        <v>1988</v>
      </c>
      <c r="D9192" t="n">
        <v>8.755496850861389</v>
      </c>
    </row>
    <row r="9193">
      <c r="A9193" t="inlineStr">
        <is>
          <t>Sub-Saharan Africa (excluding high income)</t>
        </is>
      </c>
      <c r="B9193" t="inlineStr">
        <is>
          <t>SSA</t>
        </is>
      </c>
      <c r="C9193" t="n">
        <v>1989</v>
      </c>
      <c r="D9193" t="n">
        <v>8.275016087515921</v>
      </c>
    </row>
    <row r="9194">
      <c r="A9194" t="inlineStr">
        <is>
          <t>Sub-Saharan Africa (excluding high income)</t>
        </is>
      </c>
      <c r="B9194" t="inlineStr">
        <is>
          <t>SSA</t>
        </is>
      </c>
      <c r="C9194" t="n">
        <v>1990</v>
      </c>
      <c r="D9194" t="n">
        <v>7.72532188841208</v>
      </c>
    </row>
    <row r="9195">
      <c r="A9195" t="inlineStr">
        <is>
          <t>Sub-Saharan Africa (excluding high income)</t>
        </is>
      </c>
      <c r="B9195" t="inlineStr">
        <is>
          <t>SSA</t>
        </is>
      </c>
      <c r="C9195" t="n">
        <v>1991</v>
      </c>
      <c r="D9195" t="n">
        <v>8.96562265214309</v>
      </c>
    </row>
    <row r="9196">
      <c r="A9196" t="inlineStr">
        <is>
          <t>Sub-Saharan Africa (excluding high income)</t>
        </is>
      </c>
      <c r="B9196" t="inlineStr">
        <is>
          <t>SSA</t>
        </is>
      </c>
      <c r="C9196" t="n">
        <v>1992</v>
      </c>
      <c r="D9196" t="n">
        <v>9.523477191089899</v>
      </c>
    </row>
    <row r="9197">
      <c r="A9197" t="inlineStr">
        <is>
          <t>Sub-Saharan Africa (excluding high income)</t>
        </is>
      </c>
      <c r="B9197" t="inlineStr">
        <is>
          <t>SSA</t>
        </is>
      </c>
      <c r="C9197" t="n">
        <v>1993</v>
      </c>
      <c r="D9197" t="n">
        <v>9.67934658067928</v>
      </c>
    </row>
    <row r="9198">
      <c r="A9198" t="inlineStr">
        <is>
          <t>Sub-Saharan Africa (excluding high income)</t>
        </is>
      </c>
      <c r="B9198" t="inlineStr">
        <is>
          <t>SSA</t>
        </is>
      </c>
      <c r="C9198" t="n">
        <v>1994</v>
      </c>
      <c r="D9198" t="n">
        <v>28.8143894306731</v>
      </c>
    </row>
    <row r="9199">
      <c r="A9199" t="inlineStr">
        <is>
          <t>Sub-Saharan Africa (excluding high income)</t>
        </is>
      </c>
      <c r="B9199" t="inlineStr">
        <is>
          <t>SSA</t>
        </is>
      </c>
      <c r="C9199" t="n">
        <v>1995</v>
      </c>
      <c r="D9199" t="n">
        <v>12.2885912601426</v>
      </c>
    </row>
    <row r="9200">
      <c r="A9200" t="inlineStr">
        <is>
          <t>Sub-Saharan Africa (excluding high income)</t>
        </is>
      </c>
      <c r="B9200" t="inlineStr">
        <is>
          <t>SSA</t>
        </is>
      </c>
      <c r="C9200" t="n">
        <v>1996</v>
      </c>
      <c r="D9200" t="n">
        <v>7.27288316259338</v>
      </c>
    </row>
    <row r="9201">
      <c r="A9201" t="inlineStr">
        <is>
          <t>Sub-Saharan Africa (excluding high income)</t>
        </is>
      </c>
      <c r="B9201" t="inlineStr">
        <is>
          <t>SSA</t>
        </is>
      </c>
      <c r="C9201" t="n">
        <v>1997</v>
      </c>
      <c r="D9201" t="n">
        <v>8.16902144106963</v>
      </c>
    </row>
    <row r="9202">
      <c r="A9202" t="inlineStr">
        <is>
          <t>Sub-Saharan Africa (excluding high income)</t>
        </is>
      </c>
      <c r="B9202" t="inlineStr">
        <is>
          <t>SSA</t>
        </is>
      </c>
      <c r="C9202" t="n">
        <v>1998</v>
      </c>
      <c r="D9202" t="n">
        <v>6.66139865665752</v>
      </c>
    </row>
    <row r="9203">
      <c r="A9203" t="inlineStr">
        <is>
          <t>Sub-Saharan Africa (excluding high income)</t>
        </is>
      </c>
      <c r="B9203" t="inlineStr">
        <is>
          <t>SSA</t>
        </is>
      </c>
      <c r="C9203" t="n">
        <v>1999</v>
      </c>
      <c r="D9203" t="n">
        <v>4.24955255897251</v>
      </c>
    </row>
    <row r="9204">
      <c r="A9204" t="inlineStr">
        <is>
          <t>Sub-Saharan Africa (excluding high income)</t>
        </is>
      </c>
      <c r="B9204" t="inlineStr">
        <is>
          <t>SSA</t>
        </is>
      </c>
      <c r="C9204" t="n">
        <v>2000</v>
      </c>
      <c r="D9204" t="n">
        <v>4.19928825622803</v>
      </c>
    </row>
    <row r="9205">
      <c r="A9205" t="inlineStr">
        <is>
          <t>Sub-Saharan Africa (excluding high income)</t>
        </is>
      </c>
      <c r="B9205" t="inlineStr">
        <is>
          <t>SSA</t>
        </is>
      </c>
      <c r="C9205" t="n">
        <v>2001</v>
      </c>
      <c r="D9205" t="n">
        <v>5.07745045522496</v>
      </c>
    </row>
    <row r="9206">
      <c r="A9206" t="inlineStr">
        <is>
          <t>Sub-Saharan Africa (excluding high income)</t>
        </is>
      </c>
      <c r="B9206" t="inlineStr">
        <is>
          <t>SSA</t>
        </is>
      </c>
      <c r="C9206" t="n">
        <v>2002</v>
      </c>
      <c r="D9206" t="n">
        <v>5.03282275711195</v>
      </c>
    </row>
    <row r="9207">
      <c r="A9207" t="inlineStr">
        <is>
          <t>Sub-Saharan Africa (excluding high income)</t>
        </is>
      </c>
      <c r="B9207" t="inlineStr">
        <is>
          <t>SSA</t>
        </is>
      </c>
      <c r="C9207" t="n">
        <v>2003</v>
      </c>
      <c r="D9207" t="n">
        <v>6.08442811371069</v>
      </c>
    </row>
    <row r="9208">
      <c r="A9208" t="inlineStr">
        <is>
          <t>Sub-Saharan Africa (excluding high income)</t>
        </is>
      </c>
      <c r="B9208" t="inlineStr">
        <is>
          <t>SSA</t>
        </is>
      </c>
      <c r="C9208" t="n">
        <v>2004</v>
      </c>
      <c r="D9208" t="n">
        <v>4.17816000119791</v>
      </c>
    </row>
    <row r="9209">
      <c r="A9209" t="inlineStr">
        <is>
          <t>Sub-Saharan Africa (excluding high income)</t>
        </is>
      </c>
      <c r="B9209" t="inlineStr">
        <is>
          <t>SSA</t>
        </is>
      </c>
      <c r="C9209" t="n">
        <v>2005</v>
      </c>
      <c r="D9209" t="n">
        <v>6.60524085549199</v>
      </c>
    </row>
    <row r="9210">
      <c r="A9210" t="inlineStr">
        <is>
          <t>Sub-Saharan Africa (excluding high income)</t>
        </is>
      </c>
      <c r="B9210" t="inlineStr">
        <is>
          <t>SSA</t>
        </is>
      </c>
      <c r="C9210" t="n">
        <v>2006</v>
      </c>
      <c r="D9210" t="n">
        <v>6.61655430536479</v>
      </c>
    </row>
    <row r="9211">
      <c r="A9211" t="inlineStr">
        <is>
          <t>Sub-Saharan Africa (excluding high income)</t>
        </is>
      </c>
      <c r="B9211" t="inlineStr">
        <is>
          <t>SSA</t>
        </is>
      </c>
      <c r="C9211" t="n">
        <v>2007</v>
      </c>
      <c r="D9211" t="n">
        <v>7.02551436974771</v>
      </c>
    </row>
    <row r="9212">
      <c r="A9212" t="inlineStr">
        <is>
          <t>Sub-Saharan Africa (excluding high income)</t>
        </is>
      </c>
      <c r="B9212" t="inlineStr">
        <is>
          <t>SSA</t>
        </is>
      </c>
      <c r="C9212" t="n">
        <v>2008</v>
      </c>
      <c r="D9212" t="n">
        <v>10.2969758221254</v>
      </c>
    </row>
    <row r="9213">
      <c r="A9213" t="inlineStr">
        <is>
          <t>Sub-Saharan Africa (excluding high income)</t>
        </is>
      </c>
      <c r="B9213" t="inlineStr">
        <is>
          <t>SSA</t>
        </is>
      </c>
      <c r="C9213" t="n">
        <v>2009</v>
      </c>
      <c r="D9213" t="n">
        <v>4.84866964640709</v>
      </c>
    </row>
    <row r="9214">
      <c r="A9214" t="inlineStr">
        <is>
          <t>Sub-Saharan Africa (excluding high income)</t>
        </is>
      </c>
      <c r="B9214" t="inlineStr">
        <is>
          <t>SSA</t>
        </is>
      </c>
      <c r="C9214" t="n">
        <v>2010</v>
      </c>
      <c r="D9214" t="n">
        <v>4.06749555950263</v>
      </c>
    </row>
    <row r="9215">
      <c r="A9215" t="inlineStr">
        <is>
          <t>Sub-Saharan Africa (excluding high income)</t>
        </is>
      </c>
      <c r="B9215" t="inlineStr">
        <is>
          <t>SSA</t>
        </is>
      </c>
      <c r="C9215" t="n">
        <v>2011</v>
      </c>
      <c r="D9215" t="n">
        <v>5.68631959575954</v>
      </c>
    </row>
    <row r="9216">
      <c r="A9216" t="inlineStr">
        <is>
          <t>Sub-Saharan Africa (excluding high income)</t>
        </is>
      </c>
      <c r="B9216" t="inlineStr">
        <is>
          <t>SSA</t>
        </is>
      </c>
      <c r="C9216" t="n">
        <v>2012</v>
      </c>
      <c r="D9216" t="n">
        <v>6.57589970757698</v>
      </c>
    </row>
    <row r="9217">
      <c r="A9217" t="inlineStr">
        <is>
          <t>Sub-Saharan Africa (excluding high income)</t>
        </is>
      </c>
      <c r="B9217" t="inlineStr">
        <is>
          <t>SSA</t>
        </is>
      </c>
      <c r="C9217" t="n">
        <v>2013</v>
      </c>
      <c r="D9217" t="n">
        <v>4.90520875694557</v>
      </c>
    </row>
    <row r="9218">
      <c r="A9218" t="inlineStr">
        <is>
          <t>Sub-Saharan Africa (excluding high income)</t>
        </is>
      </c>
      <c r="B9218" t="inlineStr">
        <is>
          <t>SSA</t>
        </is>
      </c>
      <c r="C9218" t="n">
        <v>2014</v>
      </c>
      <c r="D9218" t="n">
        <v>4.4038027171436</v>
      </c>
    </row>
    <row r="9219">
      <c r="A9219" t="inlineStr">
        <is>
          <t>Sub-Saharan Africa (excluding high income)</t>
        </is>
      </c>
      <c r="B9219" t="inlineStr">
        <is>
          <t>SSA</t>
        </is>
      </c>
      <c r="C9219" t="n">
        <v>2015</v>
      </c>
      <c r="D9219" t="n">
        <v>3.47238752883653</v>
      </c>
    </row>
    <row r="9220">
      <c r="A9220" t="inlineStr">
        <is>
          <t>Sub-Saharan Africa (excluding high income)</t>
        </is>
      </c>
      <c r="B9220" t="inlineStr">
        <is>
          <t>SSA</t>
        </is>
      </c>
      <c r="C9220" t="n">
        <v>2016</v>
      </c>
      <c r="D9220" t="n">
        <v>5.49410463760061</v>
      </c>
    </row>
    <row r="9221">
      <c r="A9221" t="inlineStr">
        <is>
          <t>Sub-Saharan Africa (excluding high income)</t>
        </is>
      </c>
      <c r="B9221" t="inlineStr">
        <is>
          <t>SSA</t>
        </is>
      </c>
      <c r="C9221" t="n">
        <v>2017</v>
      </c>
      <c r="D9221" t="n">
        <v>5.20971705914209</v>
      </c>
    </row>
    <row r="9222">
      <c r="A9222" t="inlineStr">
        <is>
          <t>Sub-Saharan Africa (excluding high income)</t>
        </is>
      </c>
      <c r="B9222" t="inlineStr">
        <is>
          <t>SSA</t>
        </is>
      </c>
      <c r="C9222" t="n">
        <v>2018</v>
      </c>
      <c r="D9222" t="n">
        <v>4.27462198610545</v>
      </c>
    </row>
    <row r="9223">
      <c r="A9223" t="inlineStr">
        <is>
          <t>Sub-Saharan Africa (excluding high income)</t>
        </is>
      </c>
      <c r="B9223" t="inlineStr">
        <is>
          <t>SSA</t>
        </is>
      </c>
      <c r="C9223" t="n">
        <v>2019</v>
      </c>
      <c r="D9223" t="n">
        <v>2.867588034469</v>
      </c>
    </row>
    <row r="9224">
      <c r="A9224" t="inlineStr">
        <is>
          <t>Sub-Saharan Africa (excluding high income)</t>
        </is>
      </c>
      <c r="B9224" t="inlineStr">
        <is>
          <t>SSA</t>
        </is>
      </c>
      <c r="C9224" t="n">
        <v>2020</v>
      </c>
      <c r="D9224" t="n">
        <v>3.84286439841881</v>
      </c>
    </row>
    <row r="9225">
      <c r="A9225" t="inlineStr">
        <is>
          <t>Sub-Saharan Africa (excluding high income)</t>
        </is>
      </c>
      <c r="B9225" t="inlineStr">
        <is>
          <t>SSA</t>
        </is>
      </c>
      <c r="C9225" t="n">
        <v>2021</v>
      </c>
      <c r="D9225" t="n">
        <v>4.43905481215002</v>
      </c>
    </row>
    <row r="9226">
      <c r="A9226" t="inlineStr">
        <is>
          <t>Sub-Saharan Africa (excluding high income)</t>
        </is>
      </c>
      <c r="B9226" t="inlineStr">
        <is>
          <t>SSA</t>
        </is>
      </c>
      <c r="C9226" t="n">
        <v>2022</v>
      </c>
      <c r="D9226" t="n">
        <v>9.45955253039717</v>
      </c>
    </row>
    <row r="9227">
      <c r="A9227" t="inlineStr">
        <is>
          <t>Sub-Saharan Africa (excluding high income)</t>
        </is>
      </c>
      <c r="B9227" t="inlineStr">
        <is>
          <t>SSA</t>
        </is>
      </c>
      <c r="C9227" t="n">
        <v>2023</v>
      </c>
      <c r="D9227" t="n">
        <v>6.69759990789844</v>
      </c>
    </row>
    <row r="9228">
      <c r="A9228" t="inlineStr">
        <is>
          <t>South Sudan</t>
        </is>
      </c>
      <c r="B9228" t="inlineStr">
        <is>
          <t>SSD</t>
        </is>
      </c>
      <c r="C9228" t="n">
        <v>2009</v>
      </c>
      <c r="D9228" t="n">
        <v>5.00627361534043</v>
      </c>
    </row>
    <row r="9229">
      <c r="A9229" t="inlineStr">
        <is>
          <t>South Sudan</t>
        </is>
      </c>
      <c r="B9229" t="inlineStr">
        <is>
          <t>SSD</t>
        </is>
      </c>
      <c r="C9229" t="n">
        <v>2010</v>
      </c>
      <c r="D9229" t="n">
        <v>1.16962180301106</v>
      </c>
    </row>
    <row r="9230">
      <c r="A9230" t="inlineStr">
        <is>
          <t>South Sudan</t>
        </is>
      </c>
      <c r="B9230" t="inlineStr">
        <is>
          <t>SSD</t>
        </is>
      </c>
      <c r="C9230" t="n">
        <v>2011</v>
      </c>
      <c r="D9230" t="n">
        <v>46.8521757193597</v>
      </c>
    </row>
    <row r="9231">
      <c r="A9231" t="inlineStr">
        <is>
          <t>South Sudan</t>
        </is>
      </c>
      <c r="B9231" t="inlineStr">
        <is>
          <t>SSD</t>
        </is>
      </c>
      <c r="C9231" t="n">
        <v>2012</v>
      </c>
      <c r="D9231" t="n">
        <v>45.5258978371706</v>
      </c>
    </row>
    <row r="9232">
      <c r="A9232" t="inlineStr">
        <is>
          <t>South Sudan</t>
        </is>
      </c>
      <c r="B9232" t="inlineStr">
        <is>
          <t>SSD</t>
        </is>
      </c>
      <c r="C9232" t="n">
        <v>2013</v>
      </c>
      <c r="D9232" t="n">
        <v>-0.0580909784225664</v>
      </c>
    </row>
    <row r="9233">
      <c r="A9233" t="inlineStr">
        <is>
          <t>South Sudan</t>
        </is>
      </c>
      <c r="B9233" t="inlineStr">
        <is>
          <t>SSD</t>
        </is>
      </c>
      <c r="C9233" t="n">
        <v>2014</v>
      </c>
      <c r="D9233" t="n">
        <v>1.67429906295525</v>
      </c>
    </row>
    <row r="9234">
      <c r="A9234" t="inlineStr">
        <is>
          <t>South Sudan</t>
        </is>
      </c>
      <c r="B9234" t="inlineStr">
        <is>
          <t>SSD</t>
        </is>
      </c>
      <c r="C9234" t="n">
        <v>2015</v>
      </c>
      <c r="D9234" t="n">
        <v>52.7663304192142</v>
      </c>
    </row>
    <row r="9235">
      <c r="A9235" t="inlineStr">
        <is>
          <t>South Sudan</t>
        </is>
      </c>
      <c r="B9235" t="inlineStr">
        <is>
          <t>SSD</t>
        </is>
      </c>
      <c r="C9235" t="n">
        <v>2016</v>
      </c>
      <c r="D9235" t="n">
        <v>379.999585624026</v>
      </c>
    </row>
    <row r="9236">
      <c r="A9236" t="inlineStr">
        <is>
          <t>South Sudan</t>
        </is>
      </c>
      <c r="B9236" t="inlineStr">
        <is>
          <t>SSD</t>
        </is>
      </c>
      <c r="C9236" t="n">
        <v>2017</v>
      </c>
      <c r="D9236" t="n">
        <v>187.851630279442</v>
      </c>
    </row>
    <row r="9237">
      <c r="A9237" t="inlineStr">
        <is>
          <t>South Sudan</t>
        </is>
      </c>
      <c r="B9237" t="inlineStr">
        <is>
          <t>SSD</t>
        </is>
      </c>
      <c r="C9237" t="n">
        <v>2018</v>
      </c>
      <c r="D9237" t="n">
        <v>83.50152949219989</v>
      </c>
    </row>
    <row r="9238">
      <c r="A9238" t="inlineStr">
        <is>
          <t>South Sudan</t>
        </is>
      </c>
      <c r="B9238" t="inlineStr">
        <is>
          <t>SSD</t>
        </is>
      </c>
      <c r="C9238" t="n">
        <v>2019</v>
      </c>
      <c r="D9238" t="n">
        <v>87.24136415000331</v>
      </c>
    </row>
    <row r="9239">
      <c r="A9239" t="inlineStr">
        <is>
          <t>South Sudan</t>
        </is>
      </c>
      <c r="B9239" t="inlineStr">
        <is>
          <t>SSD</t>
        </is>
      </c>
      <c r="C9239" t="n">
        <v>2020</v>
      </c>
      <c r="D9239" t="n">
        <v>29.6758435538571</v>
      </c>
    </row>
    <row r="9240">
      <c r="A9240" t="inlineStr">
        <is>
          <t>South Sudan</t>
        </is>
      </c>
      <c r="B9240" t="inlineStr">
        <is>
          <t>SSD</t>
        </is>
      </c>
      <c r="C9240" t="n">
        <v>2021</v>
      </c>
      <c r="D9240" t="n">
        <v>10.5167158294359</v>
      </c>
    </row>
    <row r="9241">
      <c r="A9241" t="inlineStr">
        <is>
          <t>South Sudan</t>
        </is>
      </c>
      <c r="B9241" t="inlineStr">
        <is>
          <t>SSD</t>
        </is>
      </c>
      <c r="C9241" t="n">
        <v>2022</v>
      </c>
      <c r="D9241" t="n">
        <v>-6.68732094212672</v>
      </c>
    </row>
    <row r="9242">
      <c r="A9242" t="inlineStr">
        <is>
          <t>South Sudan</t>
        </is>
      </c>
      <c r="B9242" t="inlineStr">
        <is>
          <t>SSD</t>
        </is>
      </c>
      <c r="C9242" t="n">
        <v>2023</v>
      </c>
      <c r="D9242" t="n">
        <v>2.38280434813759</v>
      </c>
    </row>
    <row r="9243">
      <c r="A9243" t="inlineStr">
        <is>
          <t>Sub-Saharan Africa</t>
        </is>
      </c>
      <c r="B9243" t="inlineStr">
        <is>
          <t>SSF</t>
        </is>
      </c>
      <c r="C9243" t="n">
        <v>1975</v>
      </c>
      <c r="D9243" t="n">
        <v>18.3117857539904</v>
      </c>
    </row>
    <row r="9244">
      <c r="A9244" t="inlineStr">
        <is>
          <t>Sub-Saharan Africa</t>
        </is>
      </c>
      <c r="B9244" t="inlineStr">
        <is>
          <t>SSF</t>
        </is>
      </c>
      <c r="C9244" t="n">
        <v>1976</v>
      </c>
      <c r="D9244" t="n">
        <v>11.5448806519836</v>
      </c>
    </row>
    <row r="9245">
      <c r="A9245" t="inlineStr">
        <is>
          <t>Sub-Saharan Africa</t>
        </is>
      </c>
      <c r="B9245" t="inlineStr">
        <is>
          <t>SSF</t>
        </is>
      </c>
      <c r="C9245" t="n">
        <v>1977</v>
      </c>
      <c r="D9245" t="n">
        <v>14.8900665023223</v>
      </c>
    </row>
    <row r="9246">
      <c r="A9246" t="inlineStr">
        <is>
          <t>Sub-Saharan Africa</t>
        </is>
      </c>
      <c r="B9246" t="inlineStr">
        <is>
          <t>SSF</t>
        </is>
      </c>
      <c r="C9246" t="n">
        <v>1978</v>
      </c>
      <c r="D9246" t="n">
        <v>11.4594300574244</v>
      </c>
    </row>
    <row r="9247">
      <c r="A9247" t="inlineStr">
        <is>
          <t>Sub-Saharan Africa</t>
        </is>
      </c>
      <c r="B9247" t="inlineStr">
        <is>
          <t>SSF</t>
        </is>
      </c>
      <c r="C9247" t="n">
        <v>1979</v>
      </c>
      <c r="D9247" t="n">
        <v>13.6746273591787</v>
      </c>
    </row>
    <row r="9248">
      <c r="A9248" t="inlineStr">
        <is>
          <t>Sub-Saharan Africa</t>
        </is>
      </c>
      <c r="B9248" t="inlineStr">
        <is>
          <t>SSF</t>
        </is>
      </c>
      <c r="C9248" t="n">
        <v>1980</v>
      </c>
      <c r="D9248" t="n">
        <v>13.6019828289492</v>
      </c>
    </row>
    <row r="9249">
      <c r="A9249" t="inlineStr">
        <is>
          <t>Sub-Saharan Africa</t>
        </is>
      </c>
      <c r="B9249" t="inlineStr">
        <is>
          <t>SSF</t>
        </is>
      </c>
      <c r="C9249" t="n">
        <v>1981</v>
      </c>
      <c r="D9249" t="n">
        <v>12.2903278605959</v>
      </c>
    </row>
    <row r="9250">
      <c r="A9250" t="inlineStr">
        <is>
          <t>Sub-Saharan Africa</t>
        </is>
      </c>
      <c r="B9250" t="inlineStr">
        <is>
          <t>SSF</t>
        </is>
      </c>
      <c r="C9250" t="n">
        <v>1982</v>
      </c>
      <c r="D9250" t="n">
        <v>12.0998414518035</v>
      </c>
    </row>
    <row r="9251">
      <c r="A9251" t="inlineStr">
        <is>
          <t>Sub-Saharan Africa</t>
        </is>
      </c>
      <c r="B9251" t="inlineStr">
        <is>
          <t>SSF</t>
        </is>
      </c>
      <c r="C9251" t="n">
        <v>1983</v>
      </c>
      <c r="D9251" t="n">
        <v>11.4826535601296</v>
      </c>
    </row>
    <row r="9252">
      <c r="A9252" t="inlineStr">
        <is>
          <t>Sub-Saharan Africa</t>
        </is>
      </c>
      <c r="B9252" t="inlineStr">
        <is>
          <t>SSF</t>
        </is>
      </c>
      <c r="C9252" t="n">
        <v>1984</v>
      </c>
      <c r="D9252" t="n">
        <v>11.1169312857885</v>
      </c>
    </row>
    <row r="9253">
      <c r="A9253" t="inlineStr">
        <is>
          <t>Sub-Saharan Africa</t>
        </is>
      </c>
      <c r="B9253" t="inlineStr">
        <is>
          <t>SSF</t>
        </is>
      </c>
      <c r="C9253" t="n">
        <v>1985</v>
      </c>
      <c r="D9253" t="n">
        <v>9.40690750687272</v>
      </c>
    </row>
    <row r="9254">
      <c r="A9254" t="inlineStr">
        <is>
          <t>Sub-Saharan Africa</t>
        </is>
      </c>
      <c r="B9254" t="inlineStr">
        <is>
          <t>SSF</t>
        </is>
      </c>
      <c r="C9254" t="n">
        <v>1986</v>
      </c>
      <c r="D9254" t="n">
        <v>6.85934422794885</v>
      </c>
    </row>
    <row r="9255">
      <c r="A9255" t="inlineStr">
        <is>
          <t>Sub-Saharan Africa</t>
        </is>
      </c>
      <c r="B9255" t="inlineStr">
        <is>
          <t>SSF</t>
        </is>
      </c>
      <c r="C9255" t="n">
        <v>1987</v>
      </c>
      <c r="D9255" t="n">
        <v>7.63279008878104</v>
      </c>
    </row>
    <row r="9256">
      <c r="A9256" t="inlineStr">
        <is>
          <t>Sub-Saharan Africa</t>
        </is>
      </c>
      <c r="B9256" t="inlineStr">
        <is>
          <t>SSF</t>
        </is>
      </c>
      <c r="C9256" t="n">
        <v>1988</v>
      </c>
      <c r="D9256" t="n">
        <v>8.351679568212189</v>
      </c>
    </row>
    <row r="9257">
      <c r="A9257" t="inlineStr">
        <is>
          <t>Sub-Saharan Africa</t>
        </is>
      </c>
      <c r="B9257" t="inlineStr">
        <is>
          <t>SSF</t>
        </is>
      </c>
      <c r="C9257" t="n">
        <v>1989</v>
      </c>
      <c r="D9257" t="n">
        <v>8.046158634873199</v>
      </c>
    </row>
    <row r="9258">
      <c r="A9258" t="inlineStr">
        <is>
          <t>Sub-Saharan Africa</t>
        </is>
      </c>
      <c r="B9258" t="inlineStr">
        <is>
          <t>SSF</t>
        </is>
      </c>
      <c r="C9258" t="n">
        <v>1990</v>
      </c>
      <c r="D9258" t="n">
        <v>7.5448610969945</v>
      </c>
    </row>
    <row r="9259">
      <c r="A9259" t="inlineStr">
        <is>
          <t>Sub-Saharan Africa</t>
        </is>
      </c>
      <c r="B9259" t="inlineStr">
        <is>
          <t>SSF</t>
        </is>
      </c>
      <c r="C9259" t="n">
        <v>1991</v>
      </c>
      <c r="D9259" t="n">
        <v>8.93430656934288</v>
      </c>
    </row>
    <row r="9260">
      <c r="A9260" t="inlineStr">
        <is>
          <t>Sub-Saharan Africa</t>
        </is>
      </c>
      <c r="B9260" t="inlineStr">
        <is>
          <t>SSF</t>
        </is>
      </c>
      <c r="C9260" t="n">
        <v>1992</v>
      </c>
      <c r="D9260" t="n">
        <v>9.486542506171631</v>
      </c>
    </row>
    <row r="9261">
      <c r="A9261" t="inlineStr">
        <is>
          <t>Sub-Saharan Africa</t>
        </is>
      </c>
      <c r="B9261" t="inlineStr">
        <is>
          <t>SSF</t>
        </is>
      </c>
      <c r="C9261" t="n">
        <v>1993</v>
      </c>
      <c r="D9261" t="n">
        <v>9.52484537019695</v>
      </c>
    </row>
    <row r="9262">
      <c r="A9262" t="inlineStr">
        <is>
          <t>Sub-Saharan Africa</t>
        </is>
      </c>
      <c r="B9262" t="inlineStr">
        <is>
          <t>SSF</t>
        </is>
      </c>
      <c r="C9262" t="n">
        <v>1994</v>
      </c>
      <c r="D9262" t="n">
        <v>27.4479807126946</v>
      </c>
    </row>
    <row r="9263">
      <c r="A9263" t="inlineStr">
        <is>
          <t>Sub-Saharan Africa</t>
        </is>
      </c>
      <c r="B9263" t="inlineStr">
        <is>
          <t>SSF</t>
        </is>
      </c>
      <c r="C9263" t="n">
        <v>1995</v>
      </c>
      <c r="D9263" t="n">
        <v>11.425939964662</v>
      </c>
    </row>
    <row r="9264">
      <c r="A9264" t="inlineStr">
        <is>
          <t>Sub-Saharan Africa</t>
        </is>
      </c>
      <c r="B9264" t="inlineStr">
        <is>
          <t>SSF</t>
        </is>
      </c>
      <c r="C9264" t="n">
        <v>1996</v>
      </c>
      <c r="D9264" t="n">
        <v>7.19164660433344</v>
      </c>
    </row>
    <row r="9265">
      <c r="A9265" t="inlineStr">
        <is>
          <t>Sub-Saharan Africa</t>
        </is>
      </c>
      <c r="B9265" t="inlineStr">
        <is>
          <t>SSF</t>
        </is>
      </c>
      <c r="C9265" t="n">
        <v>1997</v>
      </c>
      <c r="D9265" t="n">
        <v>7.6471743331001</v>
      </c>
    </row>
    <row r="9266">
      <c r="A9266" t="inlineStr">
        <is>
          <t>Sub-Saharan Africa</t>
        </is>
      </c>
      <c r="B9266" t="inlineStr">
        <is>
          <t>SSF</t>
        </is>
      </c>
      <c r="C9266" t="n">
        <v>1998</v>
      </c>
      <c r="D9266" t="n">
        <v>6.43573287560781</v>
      </c>
    </row>
    <row r="9267">
      <c r="A9267" t="inlineStr">
        <is>
          <t>Sub-Saharan Africa</t>
        </is>
      </c>
      <c r="B9267" t="inlineStr">
        <is>
          <t>SSF</t>
        </is>
      </c>
      <c r="C9267" t="n">
        <v>1999</v>
      </c>
      <c r="D9267" t="n">
        <v>4.35643374510453</v>
      </c>
    </row>
    <row r="9268">
      <c r="A9268" t="inlineStr">
        <is>
          <t>Sub-Saharan Africa</t>
        </is>
      </c>
      <c r="B9268" t="inlineStr">
        <is>
          <t>SSF</t>
        </is>
      </c>
      <c r="C9268" t="n">
        <v>2000</v>
      </c>
      <c r="D9268" t="n">
        <v>4.500788562621</v>
      </c>
    </row>
    <row r="9269">
      <c r="A9269" t="inlineStr">
        <is>
          <t>Sub-Saharan Africa</t>
        </is>
      </c>
      <c r="B9269" t="inlineStr">
        <is>
          <t>SSF</t>
        </is>
      </c>
      <c r="C9269" t="n">
        <v>2001</v>
      </c>
      <c r="D9269" t="n">
        <v>5.14746800222618</v>
      </c>
    </row>
    <row r="9270">
      <c r="A9270" t="inlineStr">
        <is>
          <t>Sub-Saharan Africa</t>
        </is>
      </c>
      <c r="B9270" t="inlineStr">
        <is>
          <t>SSF</t>
        </is>
      </c>
      <c r="C9270" t="n">
        <v>2002</v>
      </c>
      <c r="D9270" t="n">
        <v>4.70579123746034</v>
      </c>
    </row>
    <row r="9271">
      <c r="A9271" t="inlineStr">
        <is>
          <t>Sub-Saharan Africa</t>
        </is>
      </c>
      <c r="B9271" t="inlineStr">
        <is>
          <t>SSF</t>
        </is>
      </c>
      <c r="C9271" t="n">
        <v>2003</v>
      </c>
      <c r="D9271" t="n">
        <v>5.67942414068799</v>
      </c>
    </row>
    <row r="9272">
      <c r="A9272" t="inlineStr">
        <is>
          <t>Sub-Saharan Africa</t>
        </is>
      </c>
      <c r="B9272" t="inlineStr">
        <is>
          <t>SSF</t>
        </is>
      </c>
      <c r="C9272" t="n">
        <v>2004</v>
      </c>
      <c r="D9272" t="n">
        <v>4.13663213144748</v>
      </c>
    </row>
    <row r="9273">
      <c r="A9273" t="inlineStr">
        <is>
          <t>Sub-Saharan Africa</t>
        </is>
      </c>
      <c r="B9273" t="inlineStr">
        <is>
          <t>SSF</t>
        </is>
      </c>
      <c r="C9273" t="n">
        <v>2005</v>
      </c>
      <c r="D9273" t="n">
        <v>6.42755278070087</v>
      </c>
    </row>
    <row r="9274">
      <c r="A9274" t="inlineStr">
        <is>
          <t>Sub-Saharan Africa</t>
        </is>
      </c>
      <c r="B9274" t="inlineStr">
        <is>
          <t>SSF</t>
        </is>
      </c>
      <c r="C9274" t="n">
        <v>2006</v>
      </c>
      <c r="D9274" t="n">
        <v>6.53784395299604</v>
      </c>
    </row>
    <row r="9275">
      <c r="A9275" t="inlineStr">
        <is>
          <t>Sub-Saharan Africa</t>
        </is>
      </c>
      <c r="B9275" t="inlineStr">
        <is>
          <t>SSF</t>
        </is>
      </c>
      <c r="C9275" t="n">
        <v>2007</v>
      </c>
      <c r="D9275" t="n">
        <v>6.78669789038244</v>
      </c>
    </row>
    <row r="9276">
      <c r="A9276" t="inlineStr">
        <is>
          <t>Sub-Saharan Africa</t>
        </is>
      </c>
      <c r="B9276" t="inlineStr">
        <is>
          <t>SSF</t>
        </is>
      </c>
      <c r="C9276" t="n">
        <v>2008</v>
      </c>
      <c r="D9276" t="n">
        <v>10.378524478798</v>
      </c>
    </row>
    <row r="9277">
      <c r="A9277" t="inlineStr">
        <is>
          <t>Sub-Saharan Africa</t>
        </is>
      </c>
      <c r="B9277" t="inlineStr">
        <is>
          <t>SSF</t>
        </is>
      </c>
      <c r="C9277" t="n">
        <v>2009</v>
      </c>
      <c r="D9277" t="n">
        <v>5.00627361534043</v>
      </c>
    </row>
    <row r="9278">
      <c r="A9278" t="inlineStr">
        <is>
          <t>Sub-Saharan Africa</t>
        </is>
      </c>
      <c r="B9278" t="inlineStr">
        <is>
          <t>SSF</t>
        </is>
      </c>
      <c r="C9278" t="n">
        <v>2010</v>
      </c>
      <c r="D9278" t="n">
        <v>4.02202422214216</v>
      </c>
    </row>
    <row r="9279">
      <c r="A9279" t="inlineStr">
        <is>
          <t>Sub-Saharan Africa</t>
        </is>
      </c>
      <c r="B9279" t="inlineStr">
        <is>
          <t>SSF</t>
        </is>
      </c>
      <c r="C9279" t="n">
        <v>2011</v>
      </c>
      <c r="D9279" t="n">
        <v>5.36621092948079</v>
      </c>
    </row>
    <row r="9280">
      <c r="A9280" t="inlineStr">
        <is>
          <t>Sub-Saharan Africa</t>
        </is>
      </c>
      <c r="B9280" t="inlineStr">
        <is>
          <t>SSF</t>
        </is>
      </c>
      <c r="C9280" t="n">
        <v>2012</v>
      </c>
      <c r="D9280" t="n">
        <v>6.58183105075141</v>
      </c>
    </row>
    <row r="9281">
      <c r="A9281" t="inlineStr">
        <is>
          <t>Sub-Saharan Africa</t>
        </is>
      </c>
      <c r="B9281" t="inlineStr">
        <is>
          <t>SSF</t>
        </is>
      </c>
      <c r="C9281" t="n">
        <v>2013</v>
      </c>
      <c r="D9281" t="n">
        <v>4.88516387595471</v>
      </c>
    </row>
    <row r="9282">
      <c r="A9282" t="inlineStr">
        <is>
          <t>Sub-Saharan Africa</t>
        </is>
      </c>
      <c r="B9282" t="inlineStr">
        <is>
          <t>SSF</t>
        </is>
      </c>
      <c r="C9282" t="n">
        <v>2014</v>
      </c>
      <c r="D9282" t="n">
        <v>4.40225309243427</v>
      </c>
    </row>
    <row r="9283">
      <c r="A9283" t="inlineStr">
        <is>
          <t>Sub-Saharan Africa</t>
        </is>
      </c>
      <c r="B9283" t="inlineStr">
        <is>
          <t>SSF</t>
        </is>
      </c>
      <c r="C9283" t="n">
        <v>2015</v>
      </c>
      <c r="D9283" t="n">
        <v>3.55075967356746</v>
      </c>
    </row>
    <row r="9284">
      <c r="A9284" t="inlineStr">
        <is>
          <t>Sub-Saharan Africa</t>
        </is>
      </c>
      <c r="B9284" t="inlineStr">
        <is>
          <t>SSF</t>
        </is>
      </c>
      <c r="C9284" t="n">
        <v>2016</v>
      </c>
      <c r="D9284" t="n">
        <v>5.43051966119156</v>
      </c>
    </row>
    <row r="9285">
      <c r="A9285" t="inlineStr">
        <is>
          <t>Sub-Saharan Africa</t>
        </is>
      </c>
      <c r="B9285" t="inlineStr">
        <is>
          <t>SSF</t>
        </is>
      </c>
      <c r="C9285" t="n">
        <v>2017</v>
      </c>
      <c r="D9285" t="n">
        <v>5.19795180719179</v>
      </c>
    </row>
    <row r="9286">
      <c r="A9286" t="inlineStr">
        <is>
          <t>Sub-Saharan Africa</t>
        </is>
      </c>
      <c r="B9286" t="inlineStr">
        <is>
          <t>SSF</t>
        </is>
      </c>
      <c r="C9286" t="n">
        <v>2018</v>
      </c>
      <c r="D9286" t="n">
        <v>4.09297819300637</v>
      </c>
    </row>
    <row r="9287">
      <c r="A9287" t="inlineStr">
        <is>
          <t>Sub-Saharan Africa</t>
        </is>
      </c>
      <c r="B9287" t="inlineStr">
        <is>
          <t>SSF</t>
        </is>
      </c>
      <c r="C9287" t="n">
        <v>2019</v>
      </c>
      <c r="D9287" t="n">
        <v>2.83514555687506</v>
      </c>
    </row>
    <row r="9288">
      <c r="A9288" t="inlineStr">
        <is>
          <t>Sub-Saharan Africa</t>
        </is>
      </c>
      <c r="B9288" t="inlineStr">
        <is>
          <t>SSF</t>
        </is>
      </c>
      <c r="C9288" t="n">
        <v>2020</v>
      </c>
      <c r="D9288" t="n">
        <v>3.48393567493204</v>
      </c>
    </row>
    <row r="9289">
      <c r="A9289" t="inlineStr">
        <is>
          <t>Sub-Saharan Africa</t>
        </is>
      </c>
      <c r="B9289" t="inlineStr">
        <is>
          <t>SSF</t>
        </is>
      </c>
      <c r="C9289" t="n">
        <v>2021</v>
      </c>
      <c r="D9289" t="n">
        <v>4.61874544887136</v>
      </c>
    </row>
    <row r="9290">
      <c r="A9290" t="inlineStr">
        <is>
          <t>Sub-Saharan Africa</t>
        </is>
      </c>
      <c r="B9290" t="inlineStr">
        <is>
          <t>SSF</t>
        </is>
      </c>
      <c r="C9290" t="n">
        <v>2022</v>
      </c>
      <c r="D9290" t="n">
        <v>9.393838774565911</v>
      </c>
    </row>
    <row r="9291">
      <c r="A9291" t="inlineStr">
        <is>
          <t>Sub-Saharan Africa</t>
        </is>
      </c>
      <c r="B9291" t="inlineStr">
        <is>
          <t>SSF</t>
        </is>
      </c>
      <c r="C9291" t="n">
        <v>2023</v>
      </c>
      <c r="D9291" t="n">
        <v>6.34221743124953</v>
      </c>
    </row>
    <row r="9292">
      <c r="A9292" t="inlineStr">
        <is>
          <t>Small states</t>
        </is>
      </c>
      <c r="B9292" t="inlineStr">
        <is>
          <t>SST</t>
        </is>
      </c>
      <c r="C9292" t="n">
        <v>1980</v>
      </c>
      <c r="D9292" t="n">
        <v>15.1200642549691</v>
      </c>
    </row>
    <row r="9293">
      <c r="A9293" t="inlineStr">
        <is>
          <t>Small states</t>
        </is>
      </c>
      <c r="B9293" t="inlineStr">
        <is>
          <t>SST</t>
        </is>
      </c>
      <c r="C9293" t="n">
        <v>1981</v>
      </c>
      <c r="D9293" t="n">
        <v>12.122706241982</v>
      </c>
    </row>
    <row r="9294">
      <c r="A9294" t="inlineStr">
        <is>
          <t>Small states</t>
        </is>
      </c>
      <c r="B9294" t="inlineStr">
        <is>
          <t>SST</t>
        </is>
      </c>
      <c r="C9294" t="n">
        <v>1982</v>
      </c>
      <c r="D9294" t="n">
        <v>7.12990675816712</v>
      </c>
    </row>
    <row r="9295">
      <c r="A9295" t="inlineStr">
        <is>
          <t>Small states</t>
        </is>
      </c>
      <c r="B9295" t="inlineStr">
        <is>
          <t>SST</t>
        </is>
      </c>
      <c r="C9295" t="n">
        <v>1983</v>
      </c>
      <c r="D9295" t="n">
        <v>5.14000651194858</v>
      </c>
    </row>
    <row r="9296">
      <c r="A9296" t="inlineStr">
        <is>
          <t>Small states</t>
        </is>
      </c>
      <c r="B9296" t="inlineStr">
        <is>
          <t>SST</t>
        </is>
      </c>
      <c r="C9296" t="n">
        <v>1984</v>
      </c>
      <c r="D9296" t="n">
        <v>4.09429280397012</v>
      </c>
    </row>
    <row r="9297">
      <c r="A9297" t="inlineStr">
        <is>
          <t>Small states</t>
        </is>
      </c>
      <c r="B9297" t="inlineStr">
        <is>
          <t>SST</t>
        </is>
      </c>
      <c r="C9297" t="n">
        <v>1985</v>
      </c>
      <c r="D9297" t="n">
        <v>3.91510525082794</v>
      </c>
    </row>
    <row r="9298">
      <c r="A9298" t="inlineStr">
        <is>
          <t>Small states</t>
        </is>
      </c>
      <c r="B9298" t="inlineStr">
        <is>
          <t>SST</t>
        </is>
      </c>
      <c r="C9298" t="n">
        <v>1986</v>
      </c>
      <c r="D9298" t="n">
        <v>2.48224596554419</v>
      </c>
    </row>
    <row r="9299">
      <c r="A9299" t="inlineStr">
        <is>
          <t>Small states</t>
        </is>
      </c>
      <c r="B9299" t="inlineStr">
        <is>
          <t>SST</t>
        </is>
      </c>
      <c r="C9299" t="n">
        <v>1987</v>
      </c>
      <c r="D9299" t="n">
        <v>4.05684843991425</v>
      </c>
    </row>
    <row r="9300">
      <c r="A9300" t="inlineStr">
        <is>
          <t>Small states</t>
        </is>
      </c>
      <c r="B9300" t="inlineStr">
        <is>
          <t>SST</t>
        </is>
      </c>
      <c r="C9300" t="n">
        <v>1988</v>
      </c>
      <c r="D9300" t="n">
        <v>4.40241182786764</v>
      </c>
    </row>
    <row r="9301">
      <c r="A9301" t="inlineStr">
        <is>
          <t>Small states</t>
        </is>
      </c>
      <c r="B9301" t="inlineStr">
        <is>
          <t>SST</t>
        </is>
      </c>
      <c r="C9301" t="n">
        <v>1989</v>
      </c>
      <c r="D9301" t="n">
        <v>5.38765822784807</v>
      </c>
    </row>
    <row r="9302">
      <c r="A9302" t="inlineStr">
        <is>
          <t>Small states</t>
        </is>
      </c>
      <c r="B9302" t="inlineStr">
        <is>
          <t>SST</t>
        </is>
      </c>
      <c r="C9302" t="n">
        <v>1990</v>
      </c>
      <c r="D9302" t="n">
        <v>4.66931912018676</v>
      </c>
    </row>
    <row r="9303">
      <c r="A9303" t="inlineStr">
        <is>
          <t>Small states</t>
        </is>
      </c>
      <c r="B9303" t="inlineStr">
        <is>
          <t>SST</t>
        </is>
      </c>
      <c r="C9303" t="n">
        <v>1991</v>
      </c>
      <c r="D9303" t="n">
        <v>6.25752663270021</v>
      </c>
    </row>
    <row r="9304">
      <c r="A9304" t="inlineStr">
        <is>
          <t>Small states</t>
        </is>
      </c>
      <c r="B9304" t="inlineStr">
        <is>
          <t>SST</t>
        </is>
      </c>
      <c r="C9304" t="n">
        <v>1992</v>
      </c>
      <c r="D9304" t="n">
        <v>4.88302271568611</v>
      </c>
    </row>
    <row r="9305">
      <c r="A9305" t="inlineStr">
        <is>
          <t>Small states</t>
        </is>
      </c>
      <c r="B9305" t="inlineStr">
        <is>
          <t>SST</t>
        </is>
      </c>
      <c r="C9305" t="n">
        <v>1993</v>
      </c>
      <c r="D9305" t="n">
        <v>4.09383622628718</v>
      </c>
    </row>
    <row r="9306">
      <c r="A9306" t="inlineStr">
        <is>
          <t>Small states</t>
        </is>
      </c>
      <c r="B9306" t="inlineStr">
        <is>
          <t>SST</t>
        </is>
      </c>
      <c r="C9306" t="n">
        <v>1994</v>
      </c>
      <c r="D9306" t="n">
        <v>2.69262984899131</v>
      </c>
    </row>
    <row r="9307">
      <c r="A9307" t="inlineStr">
        <is>
          <t>Small states</t>
        </is>
      </c>
      <c r="B9307" t="inlineStr">
        <is>
          <t>SST</t>
        </is>
      </c>
      <c r="C9307" t="n">
        <v>1995</v>
      </c>
      <c r="D9307" t="n">
        <v>2.88961584372151</v>
      </c>
    </row>
    <row r="9308">
      <c r="A9308" t="inlineStr">
        <is>
          <t>Small states</t>
        </is>
      </c>
      <c r="B9308" t="inlineStr">
        <is>
          <t>SST</t>
        </is>
      </c>
      <c r="C9308" t="n">
        <v>1996</v>
      </c>
      <c r="D9308" t="n">
        <v>2.97892486481265</v>
      </c>
    </row>
    <row r="9309">
      <c r="A9309" t="inlineStr">
        <is>
          <t>Small states</t>
        </is>
      </c>
      <c r="B9309" t="inlineStr">
        <is>
          <t>SST</t>
        </is>
      </c>
      <c r="C9309" t="n">
        <v>1997</v>
      </c>
      <c r="D9309" t="n">
        <v>3.46190548508375</v>
      </c>
    </row>
    <row r="9310">
      <c r="A9310" t="inlineStr">
        <is>
          <t>Small states</t>
        </is>
      </c>
      <c r="B9310" t="inlineStr">
        <is>
          <t>SST</t>
        </is>
      </c>
      <c r="C9310" t="n">
        <v>1998</v>
      </c>
      <c r="D9310" t="n">
        <v>2.89089799832167</v>
      </c>
    </row>
    <row r="9311">
      <c r="A9311" t="inlineStr">
        <is>
          <t>Small states</t>
        </is>
      </c>
      <c r="B9311" t="inlineStr">
        <is>
          <t>SST</t>
        </is>
      </c>
      <c r="C9311" t="n">
        <v>1999</v>
      </c>
      <c r="D9311" t="n">
        <v>2.95370836069129</v>
      </c>
    </row>
    <row r="9312">
      <c r="A9312" t="inlineStr">
        <is>
          <t>Small states</t>
        </is>
      </c>
      <c r="B9312" t="inlineStr">
        <is>
          <t>SST</t>
        </is>
      </c>
      <c r="C9312" t="n">
        <v>2000</v>
      </c>
      <c r="D9312" t="n">
        <v>2.48675073855121</v>
      </c>
    </row>
    <row r="9313">
      <c r="A9313" t="inlineStr">
        <is>
          <t>Small states</t>
        </is>
      </c>
      <c r="B9313" t="inlineStr">
        <is>
          <t>SST</t>
        </is>
      </c>
      <c r="C9313" t="n">
        <v>2001</v>
      </c>
      <c r="D9313" t="n">
        <v>3.38237709214744</v>
      </c>
    </row>
    <row r="9314">
      <c r="A9314" t="inlineStr">
        <is>
          <t>Small states</t>
        </is>
      </c>
      <c r="B9314" t="inlineStr">
        <is>
          <t>SST</t>
        </is>
      </c>
      <c r="C9314" t="n">
        <v>2002</v>
      </c>
      <c r="D9314" t="n">
        <v>2.18849048060549</v>
      </c>
    </row>
    <row r="9315">
      <c r="A9315" t="inlineStr">
        <is>
          <t>Small states</t>
        </is>
      </c>
      <c r="B9315" t="inlineStr">
        <is>
          <t>SST</t>
        </is>
      </c>
      <c r="C9315" t="n">
        <v>2003</v>
      </c>
      <c r="D9315" t="n">
        <v>2.19518237141616</v>
      </c>
    </row>
    <row r="9316">
      <c r="A9316" t="inlineStr">
        <is>
          <t>Small states</t>
        </is>
      </c>
      <c r="B9316" t="inlineStr">
        <is>
          <t>SST</t>
        </is>
      </c>
      <c r="C9316" t="n">
        <v>2004</v>
      </c>
      <c r="D9316" t="n">
        <v>2.96003946719286</v>
      </c>
    </row>
    <row r="9317">
      <c r="A9317" t="inlineStr">
        <is>
          <t>Small states</t>
        </is>
      </c>
      <c r="B9317" t="inlineStr">
        <is>
          <t>SST</t>
        </is>
      </c>
      <c r="C9317" t="n">
        <v>2005</v>
      </c>
      <c r="D9317" t="n">
        <v>3.10496640148298</v>
      </c>
    </row>
    <row r="9318">
      <c r="A9318" t="inlineStr">
        <is>
          <t>Small states</t>
        </is>
      </c>
      <c r="B9318" t="inlineStr">
        <is>
          <t>SST</t>
        </is>
      </c>
      <c r="C9318" t="n">
        <v>2006</v>
      </c>
      <c r="D9318" t="n">
        <v>3.5917469011671</v>
      </c>
    </row>
    <row r="9319">
      <c r="A9319" t="inlineStr">
        <is>
          <t>Small states</t>
        </is>
      </c>
      <c r="B9319" t="inlineStr">
        <is>
          <t>SST</t>
        </is>
      </c>
      <c r="C9319" t="n">
        <v>2007</v>
      </c>
      <c r="D9319" t="n">
        <v>4.46616710098134</v>
      </c>
    </row>
    <row r="9320">
      <c r="A9320" t="inlineStr">
        <is>
          <t>Small states</t>
        </is>
      </c>
      <c r="B9320" t="inlineStr">
        <is>
          <t>SST</t>
        </is>
      </c>
      <c r="C9320" t="n">
        <v>2008</v>
      </c>
      <c r="D9320" t="n">
        <v>8.32716049382713</v>
      </c>
    </row>
    <row r="9321">
      <c r="A9321" t="inlineStr">
        <is>
          <t>Small states</t>
        </is>
      </c>
      <c r="B9321" t="inlineStr">
        <is>
          <t>SST</t>
        </is>
      </c>
      <c r="C9321" t="n">
        <v>2009</v>
      </c>
      <c r="D9321" t="n">
        <v>2.19959237046011</v>
      </c>
    </row>
    <row r="9322">
      <c r="A9322" t="inlineStr">
        <is>
          <t>Small states</t>
        </is>
      </c>
      <c r="B9322" t="inlineStr">
        <is>
          <t>SST</t>
        </is>
      </c>
      <c r="C9322" t="n">
        <v>2010</v>
      </c>
      <c r="D9322" t="n">
        <v>2.97204512015694</v>
      </c>
    </row>
    <row r="9323">
      <c r="A9323" t="inlineStr">
        <is>
          <t>Small states</t>
        </is>
      </c>
      <c r="B9323" t="inlineStr">
        <is>
          <t>SST</t>
        </is>
      </c>
      <c r="C9323" t="n">
        <v>2011</v>
      </c>
      <c r="D9323" t="n">
        <v>4.0010266434312</v>
      </c>
    </row>
    <row r="9324">
      <c r="A9324" t="inlineStr">
        <is>
          <t>Small states</t>
        </is>
      </c>
      <c r="B9324" t="inlineStr">
        <is>
          <t>SST</t>
        </is>
      </c>
      <c r="C9324" t="n">
        <v>2012</v>
      </c>
      <c r="D9324" t="n">
        <v>3.40012783870427</v>
      </c>
    </row>
    <row r="9325">
      <c r="A9325" t="inlineStr">
        <is>
          <t>Small states</t>
        </is>
      </c>
      <c r="B9325" t="inlineStr">
        <is>
          <t>SST</t>
        </is>
      </c>
      <c r="C9325" t="n">
        <v>2013</v>
      </c>
      <c r="D9325" t="n">
        <v>1.75232737350762</v>
      </c>
    </row>
    <row r="9326">
      <c r="A9326" t="inlineStr">
        <is>
          <t>Small states</t>
        </is>
      </c>
      <c r="B9326" t="inlineStr">
        <is>
          <t>SST</t>
        </is>
      </c>
      <c r="C9326" t="n">
        <v>2014</v>
      </c>
      <c r="D9326" t="n">
        <v>1.15718133927454</v>
      </c>
    </row>
    <row r="9327">
      <c r="A9327" t="inlineStr">
        <is>
          <t>Small states</t>
        </is>
      </c>
      <c r="B9327" t="inlineStr">
        <is>
          <t>SST</t>
        </is>
      </c>
      <c r="C9327" t="n">
        <v>2015</v>
      </c>
      <c r="D9327" t="n">
        <v>0.562405884956054</v>
      </c>
    </row>
    <row r="9328">
      <c r="A9328" t="inlineStr">
        <is>
          <t>Small states</t>
        </is>
      </c>
      <c r="B9328" t="inlineStr">
        <is>
          <t>SST</t>
        </is>
      </c>
      <c r="C9328" t="n">
        <v>2016</v>
      </c>
      <c r="D9328" t="n">
        <v>0.643389055936928</v>
      </c>
    </row>
    <row r="9329">
      <c r="A9329" t="inlineStr">
        <is>
          <t>Small states</t>
        </is>
      </c>
      <c r="B9329" t="inlineStr">
        <is>
          <t>SST</t>
        </is>
      </c>
      <c r="C9329" t="n">
        <v>2017</v>
      </c>
      <c r="D9329" t="n">
        <v>1.63405189110426</v>
      </c>
    </row>
    <row r="9330">
      <c r="A9330" t="inlineStr">
        <is>
          <t>Small states</t>
        </is>
      </c>
      <c r="B9330" t="inlineStr">
        <is>
          <t>SST</t>
        </is>
      </c>
      <c r="C9330" t="n">
        <v>2018</v>
      </c>
      <c r="D9330" t="n">
        <v>2.10970464135017</v>
      </c>
    </row>
    <row r="9331">
      <c r="A9331" t="inlineStr">
        <is>
          <t>Small states</t>
        </is>
      </c>
      <c r="B9331" t="inlineStr">
        <is>
          <t>SST</t>
        </is>
      </c>
      <c r="C9331" t="n">
        <v>2019</v>
      </c>
      <c r="D9331" t="n">
        <v>1.17954334821808</v>
      </c>
    </row>
    <row r="9332">
      <c r="A9332" t="inlineStr">
        <is>
          <t>Small states</t>
        </is>
      </c>
      <c r="B9332" t="inlineStr">
        <is>
          <t>SST</t>
        </is>
      </c>
      <c r="C9332" t="n">
        <v>2020</v>
      </c>
      <c r="D9332" t="n">
        <v>0.356840516820702</v>
      </c>
    </row>
    <row r="9333">
      <c r="A9333" t="inlineStr">
        <is>
          <t>Small states</t>
        </is>
      </c>
      <c r="B9333" t="inlineStr">
        <is>
          <t>SST</t>
        </is>
      </c>
      <c r="C9333" t="n">
        <v>2021</v>
      </c>
      <c r="D9333" t="n">
        <v>2.41075255288779</v>
      </c>
    </row>
    <row r="9334">
      <c r="A9334" t="inlineStr">
        <is>
          <t>Small states</t>
        </is>
      </c>
      <c r="B9334" t="inlineStr">
        <is>
          <t>SST</t>
        </is>
      </c>
      <c r="C9334" t="n">
        <v>2022</v>
      </c>
      <c r="D9334" t="n">
        <v>6.2153247069029</v>
      </c>
    </row>
    <row r="9335">
      <c r="A9335" t="inlineStr">
        <is>
          <t>Small states</t>
        </is>
      </c>
      <c r="B9335" t="inlineStr">
        <is>
          <t>SST</t>
        </is>
      </c>
      <c r="C9335" t="n">
        <v>2023</v>
      </c>
      <c r="D9335" t="n">
        <v>4.81585792589553</v>
      </c>
    </row>
    <row r="9336">
      <c r="A9336" t="inlineStr">
        <is>
          <t>Sao Tome and Principe</t>
        </is>
      </c>
      <c r="B9336" t="inlineStr">
        <is>
          <t>STP</t>
        </is>
      </c>
      <c r="C9336" t="n">
        <v>1997</v>
      </c>
      <c r="D9336" t="n">
        <v>35.81717824448</v>
      </c>
    </row>
    <row r="9337">
      <c r="A9337" t="inlineStr">
        <is>
          <t>Sao Tome and Principe</t>
        </is>
      </c>
      <c r="B9337" t="inlineStr">
        <is>
          <t>STP</t>
        </is>
      </c>
      <c r="C9337" t="n">
        <v>1998</v>
      </c>
      <c r="D9337" t="n">
        <v>50.4931357486254</v>
      </c>
    </row>
    <row r="9338">
      <c r="A9338" t="inlineStr">
        <is>
          <t>Sao Tome and Principe</t>
        </is>
      </c>
      <c r="B9338" t="inlineStr">
        <is>
          <t>STP</t>
        </is>
      </c>
      <c r="C9338" t="n">
        <v>1999</v>
      </c>
      <c r="D9338" t="n">
        <v>12.7251770130085</v>
      </c>
    </row>
    <row r="9339">
      <c r="A9339" t="inlineStr">
        <is>
          <t>Sao Tome and Principe</t>
        </is>
      </c>
      <c r="B9339" t="inlineStr">
        <is>
          <t>STP</t>
        </is>
      </c>
      <c r="C9339" t="n">
        <v>2000</v>
      </c>
      <c r="D9339" t="n">
        <v>12.2089456308977</v>
      </c>
    </row>
    <row r="9340">
      <c r="A9340" t="inlineStr">
        <is>
          <t>Sao Tome and Principe</t>
        </is>
      </c>
      <c r="B9340" t="inlineStr">
        <is>
          <t>STP</t>
        </is>
      </c>
      <c r="C9340" t="n">
        <v>2001</v>
      </c>
      <c r="D9340" t="n">
        <v>9.22203707560889</v>
      </c>
    </row>
    <row r="9341">
      <c r="A9341" t="inlineStr">
        <is>
          <t>Sao Tome and Principe</t>
        </is>
      </c>
      <c r="B9341" t="inlineStr">
        <is>
          <t>STP</t>
        </is>
      </c>
      <c r="C9341" t="n">
        <v>2002</v>
      </c>
      <c r="D9341" t="n">
        <v>10.128724672229</v>
      </c>
    </row>
    <row r="9342">
      <c r="A9342" t="inlineStr">
        <is>
          <t>Sao Tome and Principe</t>
        </is>
      </c>
      <c r="B9342" t="inlineStr">
        <is>
          <t>STP</t>
        </is>
      </c>
      <c r="C9342" t="n">
        <v>2003</v>
      </c>
      <c r="D9342" t="n">
        <v>9.79241974934509</v>
      </c>
    </row>
    <row r="9343">
      <c r="A9343" t="inlineStr">
        <is>
          <t>Sao Tome and Principe</t>
        </is>
      </c>
      <c r="B9343" t="inlineStr">
        <is>
          <t>STP</t>
        </is>
      </c>
      <c r="C9343" t="n">
        <v>2004</v>
      </c>
      <c r="D9343" t="n">
        <v>13.2858860871796</v>
      </c>
    </row>
    <row r="9344">
      <c r="A9344" t="inlineStr">
        <is>
          <t>Sao Tome and Principe</t>
        </is>
      </c>
      <c r="B9344" t="inlineStr">
        <is>
          <t>STP</t>
        </is>
      </c>
      <c r="C9344" t="n">
        <v>2005</v>
      </c>
      <c r="D9344" t="n">
        <v>17.1522049354354</v>
      </c>
    </row>
    <row r="9345">
      <c r="A9345" t="inlineStr">
        <is>
          <t>Sao Tome and Principe</t>
        </is>
      </c>
      <c r="B9345" t="inlineStr">
        <is>
          <t>STP</t>
        </is>
      </c>
      <c r="C9345" t="n">
        <v>2006</v>
      </c>
      <c r="D9345" t="n">
        <v>23.0770373451381</v>
      </c>
    </row>
    <row r="9346">
      <c r="A9346" t="inlineStr">
        <is>
          <t>Sao Tome and Principe</t>
        </is>
      </c>
      <c r="B9346" t="inlineStr">
        <is>
          <t>STP</t>
        </is>
      </c>
      <c r="C9346" t="n">
        <v>2007</v>
      </c>
      <c r="D9346" t="n">
        <v>18.5485136325779</v>
      </c>
    </row>
    <row r="9347">
      <c r="A9347" t="inlineStr">
        <is>
          <t>Sao Tome and Principe</t>
        </is>
      </c>
      <c r="B9347" t="inlineStr">
        <is>
          <t>STP</t>
        </is>
      </c>
      <c r="C9347" t="n">
        <v>2008</v>
      </c>
      <c r="D9347" t="n">
        <v>31.9901039492573</v>
      </c>
    </row>
    <row r="9348">
      <c r="A9348" t="inlineStr">
        <is>
          <t>Sao Tome and Principe</t>
        </is>
      </c>
      <c r="B9348" t="inlineStr">
        <is>
          <t>STP</t>
        </is>
      </c>
      <c r="C9348" t="n">
        <v>2009</v>
      </c>
      <c r="D9348" t="n">
        <v>16.9574758025945</v>
      </c>
    </row>
    <row r="9349">
      <c r="A9349" t="inlineStr">
        <is>
          <t>Sao Tome and Principe</t>
        </is>
      </c>
      <c r="B9349" t="inlineStr">
        <is>
          <t>STP</t>
        </is>
      </c>
      <c r="C9349" t="n">
        <v>2010</v>
      </c>
      <c r="D9349" t="n">
        <v>13.34005235378</v>
      </c>
    </row>
    <row r="9350">
      <c r="A9350" t="inlineStr">
        <is>
          <t>Sao Tome and Principe</t>
        </is>
      </c>
      <c r="B9350" t="inlineStr">
        <is>
          <t>STP</t>
        </is>
      </c>
      <c r="C9350" t="n">
        <v>2011</v>
      </c>
      <c r="D9350" t="n">
        <v>14.3271667616801</v>
      </c>
    </row>
    <row r="9351">
      <c r="A9351" t="inlineStr">
        <is>
          <t>Sao Tome and Principe</t>
        </is>
      </c>
      <c r="B9351" t="inlineStr">
        <is>
          <t>STP</t>
        </is>
      </c>
      <c r="C9351" t="n">
        <v>2012</v>
      </c>
      <c r="D9351" t="n">
        <v>10.6379353431628</v>
      </c>
    </row>
    <row r="9352">
      <c r="A9352" t="inlineStr">
        <is>
          <t>Sao Tome and Principe</t>
        </is>
      </c>
      <c r="B9352" t="inlineStr">
        <is>
          <t>STP</t>
        </is>
      </c>
      <c r="C9352" t="n">
        <v>2013</v>
      </c>
      <c r="D9352" t="n">
        <v>8.105832708754759</v>
      </c>
    </row>
    <row r="9353">
      <c r="A9353" t="inlineStr">
        <is>
          <t>Sao Tome and Principe</t>
        </is>
      </c>
      <c r="B9353" t="inlineStr">
        <is>
          <t>STP</t>
        </is>
      </c>
      <c r="C9353" t="n">
        <v>2014</v>
      </c>
      <c r="D9353" t="n">
        <v>6.99849943966421</v>
      </c>
    </row>
    <row r="9354">
      <c r="A9354" t="inlineStr">
        <is>
          <t>Sao Tome and Principe</t>
        </is>
      </c>
      <c r="B9354" t="inlineStr">
        <is>
          <t>STP</t>
        </is>
      </c>
      <c r="C9354" t="n">
        <v>2015</v>
      </c>
      <c r="D9354" t="n">
        <v>5.24587835022454</v>
      </c>
    </row>
    <row r="9355">
      <c r="A9355" t="inlineStr">
        <is>
          <t>Sao Tome and Principe</t>
        </is>
      </c>
      <c r="B9355" t="inlineStr">
        <is>
          <t>STP</t>
        </is>
      </c>
      <c r="C9355" t="n">
        <v>2016</v>
      </c>
      <c r="D9355" t="n">
        <v>5.43051966119156</v>
      </c>
    </row>
    <row r="9356">
      <c r="A9356" t="inlineStr">
        <is>
          <t>Sao Tome and Principe</t>
        </is>
      </c>
      <c r="B9356" t="inlineStr">
        <is>
          <t>STP</t>
        </is>
      </c>
      <c r="C9356" t="n">
        <v>2017</v>
      </c>
      <c r="D9356" t="n">
        <v>5.6902961992902</v>
      </c>
    </row>
    <row r="9357">
      <c r="A9357" t="inlineStr">
        <is>
          <t>Sao Tome and Principe</t>
        </is>
      </c>
      <c r="B9357" t="inlineStr">
        <is>
          <t>STP</t>
        </is>
      </c>
      <c r="C9357" t="n">
        <v>2018</v>
      </c>
      <c r="D9357" t="n">
        <v>7.86859628873909</v>
      </c>
    </row>
    <row r="9358">
      <c r="A9358" t="inlineStr">
        <is>
          <t>Sao Tome and Principe</t>
        </is>
      </c>
      <c r="B9358" t="inlineStr">
        <is>
          <t>STP</t>
        </is>
      </c>
      <c r="C9358" t="n">
        <v>2019</v>
      </c>
      <c r="D9358" t="n">
        <v>7.72024525213248</v>
      </c>
    </row>
    <row r="9359">
      <c r="A9359" t="inlineStr">
        <is>
          <t>Sao Tome and Principe</t>
        </is>
      </c>
      <c r="B9359" t="inlineStr">
        <is>
          <t>STP</t>
        </is>
      </c>
      <c r="C9359" t="n">
        <v>2020</v>
      </c>
      <c r="D9359" t="n">
        <v>9.819327915401461</v>
      </c>
    </row>
    <row r="9360">
      <c r="A9360" t="inlineStr">
        <is>
          <t>Sao Tome and Principe</t>
        </is>
      </c>
      <c r="B9360" t="inlineStr">
        <is>
          <t>STP</t>
        </is>
      </c>
      <c r="C9360" t="n">
        <v>2021</v>
      </c>
      <c r="D9360" t="n">
        <v>8.13777038378732</v>
      </c>
    </row>
    <row r="9361">
      <c r="A9361" t="inlineStr">
        <is>
          <t>Sao Tome and Principe</t>
        </is>
      </c>
      <c r="B9361" t="inlineStr">
        <is>
          <t>STP</t>
        </is>
      </c>
      <c r="C9361" t="n">
        <v>2022</v>
      </c>
      <c r="D9361" t="n">
        <v>18.0056351122841</v>
      </c>
    </row>
    <row r="9362">
      <c r="A9362" t="inlineStr">
        <is>
          <t>Sao Tome and Principe</t>
        </is>
      </c>
      <c r="B9362" t="inlineStr">
        <is>
          <t>STP</t>
        </is>
      </c>
      <c r="C9362" t="n">
        <v>2023</v>
      </c>
      <c r="D9362" t="n">
        <v>21.2589138473</v>
      </c>
    </row>
    <row r="9363">
      <c r="A9363" t="inlineStr">
        <is>
          <t>Suriname</t>
        </is>
      </c>
      <c r="B9363" t="inlineStr">
        <is>
          <t>SUR</t>
        </is>
      </c>
      <c r="C9363" t="n">
        <v>1960</v>
      </c>
      <c r="D9363" t="n">
        <v>2.85714285714286</v>
      </c>
    </row>
    <row r="9364">
      <c r="A9364" t="inlineStr">
        <is>
          <t>Suriname</t>
        </is>
      </c>
      <c r="B9364" t="inlineStr">
        <is>
          <t>SUR</t>
        </is>
      </c>
      <c r="C9364" t="n">
        <v>1961</v>
      </c>
      <c r="D9364" t="n">
        <v>1.70940170940175</v>
      </c>
    </row>
    <row r="9365">
      <c r="A9365" t="inlineStr">
        <is>
          <t>Suriname</t>
        </is>
      </c>
      <c r="B9365" t="inlineStr">
        <is>
          <t>SUR</t>
        </is>
      </c>
      <c r="C9365" t="n">
        <v>1962</v>
      </c>
      <c r="D9365" t="n">
        <v>2.1008403361344</v>
      </c>
    </row>
    <row r="9366">
      <c r="A9366" t="inlineStr">
        <is>
          <t>Suriname</t>
        </is>
      </c>
      <c r="B9366" t="inlineStr">
        <is>
          <t>SUR</t>
        </is>
      </c>
      <c r="C9366" t="n">
        <v>1963</v>
      </c>
      <c r="D9366" t="n">
        <v>2.05761316872425</v>
      </c>
    </row>
    <row r="9367">
      <c r="A9367" t="inlineStr">
        <is>
          <t>Suriname</t>
        </is>
      </c>
      <c r="B9367" t="inlineStr">
        <is>
          <t>SUR</t>
        </is>
      </c>
      <c r="C9367" t="n">
        <v>1964</v>
      </c>
      <c r="D9367" t="n">
        <v>4.23387096774197</v>
      </c>
    </row>
    <row r="9368">
      <c r="A9368" t="inlineStr">
        <is>
          <t>Suriname</t>
        </is>
      </c>
      <c r="B9368" t="inlineStr">
        <is>
          <t>SUR</t>
        </is>
      </c>
      <c r="C9368" t="n">
        <v>1965</v>
      </c>
      <c r="D9368" t="n">
        <v>1.93423597678913</v>
      </c>
    </row>
    <row r="9369">
      <c r="A9369" t="inlineStr">
        <is>
          <t>Suriname</t>
        </is>
      </c>
      <c r="B9369" t="inlineStr">
        <is>
          <t>SUR</t>
        </is>
      </c>
      <c r="C9369" t="n">
        <v>1966</v>
      </c>
      <c r="D9369" t="n">
        <v>4.74383301707783</v>
      </c>
    </row>
    <row r="9370">
      <c r="A9370" t="inlineStr">
        <is>
          <t>Suriname</t>
        </is>
      </c>
      <c r="B9370" t="inlineStr">
        <is>
          <t>SUR</t>
        </is>
      </c>
      <c r="C9370" t="n">
        <v>1967</v>
      </c>
      <c r="D9370" t="n">
        <v>10.6884057971016</v>
      </c>
    </row>
    <row r="9371">
      <c r="A9371" t="inlineStr">
        <is>
          <t>Suriname</t>
        </is>
      </c>
      <c r="B9371" t="inlineStr">
        <is>
          <t>SUR</t>
        </is>
      </c>
      <c r="C9371" t="n">
        <v>1968</v>
      </c>
      <c r="D9371" t="n">
        <v>0.163666121112876</v>
      </c>
    </row>
    <row r="9372">
      <c r="A9372" t="inlineStr">
        <is>
          <t>Suriname</t>
        </is>
      </c>
      <c r="B9372" t="inlineStr">
        <is>
          <t>SUR</t>
        </is>
      </c>
      <c r="C9372" t="n">
        <v>1969</v>
      </c>
      <c r="D9372" t="n">
        <v>11.2745098039219</v>
      </c>
    </row>
    <row r="9373">
      <c r="A9373" t="inlineStr">
        <is>
          <t>Suriname</t>
        </is>
      </c>
      <c r="B9373" t="inlineStr">
        <is>
          <t>SUR</t>
        </is>
      </c>
      <c r="C9373" t="n">
        <v>1970</v>
      </c>
      <c r="D9373" t="n">
        <v>2.58804258797295</v>
      </c>
    </row>
    <row r="9374">
      <c r="A9374" t="inlineStr">
        <is>
          <t>Suriname</t>
        </is>
      </c>
      <c r="B9374" t="inlineStr">
        <is>
          <t>SUR</t>
        </is>
      </c>
      <c r="C9374" t="n">
        <v>1971</v>
      </c>
      <c r="D9374" t="n">
        <v>0.215551652643419</v>
      </c>
    </row>
    <row r="9375">
      <c r="A9375" t="inlineStr">
        <is>
          <t>Suriname</t>
        </is>
      </c>
      <c r="B9375" t="inlineStr">
        <is>
          <t>SUR</t>
        </is>
      </c>
      <c r="C9375" t="n">
        <v>1972</v>
      </c>
      <c r="D9375" t="n">
        <v>3.23428662488595</v>
      </c>
    </row>
    <row r="9376">
      <c r="A9376" t="inlineStr">
        <is>
          <t>Suriname</t>
        </is>
      </c>
      <c r="B9376" t="inlineStr">
        <is>
          <t>SUR</t>
        </is>
      </c>
      <c r="C9376" t="n">
        <v>1973</v>
      </c>
      <c r="D9376" t="n">
        <v>12.9408133340937</v>
      </c>
    </row>
    <row r="9377">
      <c r="A9377" t="inlineStr">
        <is>
          <t>Suriname</t>
        </is>
      </c>
      <c r="B9377" t="inlineStr">
        <is>
          <t>SUR</t>
        </is>
      </c>
      <c r="C9377" t="n">
        <v>1974</v>
      </c>
      <c r="D9377" t="n">
        <v>16.8761956821095</v>
      </c>
    </row>
    <row r="9378">
      <c r="A9378" t="inlineStr">
        <is>
          <t>Suriname</t>
        </is>
      </c>
      <c r="B9378" t="inlineStr">
        <is>
          <t>SUR</t>
        </is>
      </c>
      <c r="C9378" t="n">
        <v>1975</v>
      </c>
      <c r="D9378" t="n">
        <v>8.44732842274659</v>
      </c>
    </row>
    <row r="9379">
      <c r="A9379" t="inlineStr">
        <is>
          <t>Suriname</t>
        </is>
      </c>
      <c r="B9379" t="inlineStr">
        <is>
          <t>SUR</t>
        </is>
      </c>
      <c r="C9379" t="n">
        <v>1976</v>
      </c>
      <c r="D9379" t="n">
        <v>10.0695380302795</v>
      </c>
    </row>
    <row r="9380">
      <c r="A9380" t="inlineStr">
        <is>
          <t>Suriname</t>
        </is>
      </c>
      <c r="B9380" t="inlineStr">
        <is>
          <t>SUR</t>
        </is>
      </c>
      <c r="C9380" t="n">
        <v>1977</v>
      </c>
      <c r="D9380" t="n">
        <v>9.731132768537369</v>
      </c>
    </row>
    <row r="9381">
      <c r="A9381" t="inlineStr">
        <is>
          <t>Suriname</t>
        </is>
      </c>
      <c r="B9381" t="inlineStr">
        <is>
          <t>SUR</t>
        </is>
      </c>
      <c r="C9381" t="n">
        <v>1978</v>
      </c>
      <c r="D9381" t="n">
        <v>8.82352941179666</v>
      </c>
    </row>
    <row r="9382">
      <c r="A9382" t="inlineStr">
        <is>
          <t>Suriname</t>
        </is>
      </c>
      <c r="B9382" t="inlineStr">
        <is>
          <t>SUR</t>
        </is>
      </c>
      <c r="C9382" t="n">
        <v>1979</v>
      </c>
      <c r="D9382" t="n">
        <v>14.8423081655328</v>
      </c>
    </row>
    <row r="9383">
      <c r="A9383" t="inlineStr">
        <is>
          <t>Suriname</t>
        </is>
      </c>
      <c r="B9383" t="inlineStr">
        <is>
          <t>SUR</t>
        </is>
      </c>
      <c r="C9383" t="n">
        <v>1980</v>
      </c>
      <c r="D9383" t="n">
        <v>14.1097064496918</v>
      </c>
    </row>
    <row r="9384">
      <c r="A9384" t="inlineStr">
        <is>
          <t>Suriname</t>
        </is>
      </c>
      <c r="B9384" t="inlineStr">
        <is>
          <t>SUR</t>
        </is>
      </c>
      <c r="C9384" t="n">
        <v>1981</v>
      </c>
      <c r="D9384" t="n">
        <v>8.79396984924597</v>
      </c>
    </row>
    <row r="9385">
      <c r="A9385" t="inlineStr">
        <is>
          <t>Suriname</t>
        </is>
      </c>
      <c r="B9385" t="inlineStr">
        <is>
          <t>SUR</t>
        </is>
      </c>
      <c r="C9385" t="n">
        <v>1982</v>
      </c>
      <c r="D9385" t="n">
        <v>7.27640861779861</v>
      </c>
    </row>
    <row r="9386">
      <c r="A9386" t="inlineStr">
        <is>
          <t>Suriname</t>
        </is>
      </c>
      <c r="B9386" t="inlineStr">
        <is>
          <t>SUR</t>
        </is>
      </c>
      <c r="C9386" t="n">
        <v>1983</v>
      </c>
      <c r="D9386" t="n">
        <v>4.41180807455269</v>
      </c>
    </row>
    <row r="9387">
      <c r="A9387" t="inlineStr">
        <is>
          <t>Suriname</t>
        </is>
      </c>
      <c r="B9387" t="inlineStr">
        <is>
          <t>SUR</t>
        </is>
      </c>
      <c r="C9387" t="n">
        <v>1984</v>
      </c>
      <c r="D9387" t="n">
        <v>3.68874452760907</v>
      </c>
    </row>
    <row r="9388">
      <c r="A9388" t="inlineStr">
        <is>
          <t>Suriname</t>
        </is>
      </c>
      <c r="B9388" t="inlineStr">
        <is>
          <t>SUR</t>
        </is>
      </c>
      <c r="C9388" t="n">
        <v>1985</v>
      </c>
      <c r="D9388" t="n">
        <v>10.8659529841192</v>
      </c>
    </row>
    <row r="9389">
      <c r="A9389" t="inlineStr">
        <is>
          <t>Suriname</t>
        </is>
      </c>
      <c r="B9389" t="inlineStr">
        <is>
          <t>SUR</t>
        </is>
      </c>
      <c r="C9389" t="n">
        <v>1986</v>
      </c>
      <c r="D9389" t="n">
        <v>18.6879606879605</v>
      </c>
    </row>
    <row r="9390">
      <c r="A9390" t="inlineStr">
        <is>
          <t>Suriname</t>
        </is>
      </c>
      <c r="B9390" t="inlineStr">
        <is>
          <t>SUR</t>
        </is>
      </c>
      <c r="C9390" t="n">
        <v>1987</v>
      </c>
      <c r="D9390" t="n">
        <v>53.3929532563242</v>
      </c>
    </row>
    <row r="9391">
      <c r="A9391" t="inlineStr">
        <is>
          <t>Suriname</t>
        </is>
      </c>
      <c r="B9391" t="inlineStr">
        <is>
          <t>SUR</t>
        </is>
      </c>
      <c r="C9391" t="n">
        <v>1988</v>
      </c>
      <c r="D9391" t="n">
        <v>7.31328780803817</v>
      </c>
    </row>
    <row r="9392">
      <c r="A9392" t="inlineStr">
        <is>
          <t>Suriname</t>
        </is>
      </c>
      <c r="B9392" t="inlineStr">
        <is>
          <t>SUR</t>
        </is>
      </c>
      <c r="C9392" t="n">
        <v>1989</v>
      </c>
      <c r="D9392" t="n">
        <v>0.769646742205996</v>
      </c>
    </row>
    <row r="9393">
      <c r="A9393" t="inlineStr">
        <is>
          <t>Suriname</t>
        </is>
      </c>
      <c r="B9393" t="inlineStr">
        <is>
          <t>SUR</t>
        </is>
      </c>
      <c r="C9393" t="n">
        <v>1990</v>
      </c>
      <c r="D9393" t="n">
        <v>21.7399443397526</v>
      </c>
    </row>
    <row r="9394">
      <c r="A9394" t="inlineStr">
        <is>
          <t>Suriname</t>
        </is>
      </c>
      <c r="B9394" t="inlineStr">
        <is>
          <t>SUR</t>
        </is>
      </c>
      <c r="C9394" t="n">
        <v>1991</v>
      </c>
      <c r="D9394" t="n">
        <v>25.9674625060223</v>
      </c>
    </row>
    <row r="9395">
      <c r="A9395" t="inlineStr">
        <is>
          <t>Suriname</t>
        </is>
      </c>
      <c r="B9395" t="inlineStr">
        <is>
          <t>SUR</t>
        </is>
      </c>
      <c r="C9395" t="n">
        <v>1992</v>
      </c>
      <c r="D9395" t="n">
        <v>43.6661783854171</v>
      </c>
    </row>
    <row r="9396">
      <c r="A9396" t="inlineStr">
        <is>
          <t>Suriname</t>
        </is>
      </c>
      <c r="B9396" t="inlineStr">
        <is>
          <t>SUR</t>
        </is>
      </c>
      <c r="C9396" t="n">
        <v>1993</v>
      </c>
      <c r="D9396" t="n">
        <v>143.51155848349</v>
      </c>
    </row>
    <row r="9397">
      <c r="A9397" t="inlineStr">
        <is>
          <t>Suriname</t>
        </is>
      </c>
      <c r="B9397" t="inlineStr">
        <is>
          <t>SUR</t>
        </is>
      </c>
      <c r="C9397" t="n">
        <v>1994</v>
      </c>
      <c r="D9397" t="n">
        <v>368.478068706267</v>
      </c>
    </row>
    <row r="9398">
      <c r="A9398" t="inlineStr">
        <is>
          <t>Suriname</t>
        </is>
      </c>
      <c r="B9398" t="inlineStr">
        <is>
          <t>SUR</t>
        </is>
      </c>
      <c r="C9398" t="n">
        <v>1995</v>
      </c>
      <c r="D9398" t="n">
        <v>235.558815073605</v>
      </c>
    </row>
    <row r="9399">
      <c r="A9399" t="inlineStr">
        <is>
          <t>Suriname</t>
        </is>
      </c>
      <c r="B9399" t="inlineStr">
        <is>
          <t>SUR</t>
        </is>
      </c>
      <c r="C9399" t="n">
        <v>1996</v>
      </c>
      <c r="D9399" t="n">
        <v>-0.7018872514528181</v>
      </c>
    </row>
    <row r="9400">
      <c r="A9400" t="inlineStr">
        <is>
          <t>Suriname</t>
        </is>
      </c>
      <c r="B9400" t="inlineStr">
        <is>
          <t>SUR</t>
        </is>
      </c>
      <c r="C9400" t="n">
        <v>1997</v>
      </c>
      <c r="D9400" t="n">
        <v>7.14511160883929</v>
      </c>
    </row>
    <row r="9401">
      <c r="A9401" t="inlineStr">
        <is>
          <t>Suriname</t>
        </is>
      </c>
      <c r="B9401" t="inlineStr">
        <is>
          <t>SUR</t>
        </is>
      </c>
      <c r="C9401" t="n">
        <v>1998</v>
      </c>
      <c r="D9401" t="n">
        <v>18.9753691994478</v>
      </c>
    </row>
    <row r="9402">
      <c r="A9402" t="inlineStr">
        <is>
          <t>Suriname</t>
        </is>
      </c>
      <c r="B9402" t="inlineStr">
        <is>
          <t>SUR</t>
        </is>
      </c>
      <c r="C9402" t="n">
        <v>1999</v>
      </c>
      <c r="D9402" t="n">
        <v>98.7730914112164</v>
      </c>
    </row>
    <row r="9403">
      <c r="A9403" t="inlineStr">
        <is>
          <t>Suriname</t>
        </is>
      </c>
      <c r="B9403" t="inlineStr">
        <is>
          <t>SUR</t>
        </is>
      </c>
      <c r="C9403" t="n">
        <v>2000</v>
      </c>
      <c r="D9403" t="n">
        <v>59.401686545079</v>
      </c>
    </row>
    <row r="9404">
      <c r="A9404" t="inlineStr">
        <is>
          <t>Suriname</t>
        </is>
      </c>
      <c r="B9404" t="inlineStr">
        <is>
          <t>SUR</t>
        </is>
      </c>
      <c r="C9404" t="n">
        <v>2001</v>
      </c>
      <c r="D9404" t="n">
        <v>38.5862878872611</v>
      </c>
    </row>
    <row r="9405">
      <c r="A9405" t="inlineStr">
        <is>
          <t>Suriname</t>
        </is>
      </c>
      <c r="B9405" t="inlineStr">
        <is>
          <t>SUR</t>
        </is>
      </c>
      <c r="C9405" t="n">
        <v>2002</v>
      </c>
      <c r="D9405" t="n">
        <v>15.5273989185702</v>
      </c>
    </row>
    <row r="9406">
      <c r="A9406" t="inlineStr">
        <is>
          <t>Suriname</t>
        </is>
      </c>
      <c r="B9406" t="inlineStr">
        <is>
          <t>SUR</t>
        </is>
      </c>
      <c r="C9406" t="n">
        <v>2003</v>
      </c>
      <c r="D9406" t="n">
        <v>23.0022321778219</v>
      </c>
    </row>
    <row r="9407">
      <c r="A9407" t="inlineStr">
        <is>
          <t>Suriname</t>
        </is>
      </c>
      <c r="B9407" t="inlineStr">
        <is>
          <t>SUR</t>
        </is>
      </c>
      <c r="C9407" t="n">
        <v>2004</v>
      </c>
      <c r="D9407" t="n">
        <v>9.986325119748781</v>
      </c>
    </row>
    <row r="9408">
      <c r="A9408" t="inlineStr">
        <is>
          <t>Suriname</t>
        </is>
      </c>
      <c r="B9408" t="inlineStr">
        <is>
          <t>SUR</t>
        </is>
      </c>
      <c r="C9408" t="n">
        <v>2005</v>
      </c>
      <c r="D9408" t="n">
        <v>9.898004895614649</v>
      </c>
    </row>
    <row r="9409">
      <c r="A9409" t="inlineStr">
        <is>
          <t>Suriname</t>
        </is>
      </c>
      <c r="B9409" t="inlineStr">
        <is>
          <t>SUR</t>
        </is>
      </c>
      <c r="C9409" t="n">
        <v>2006</v>
      </c>
      <c r="D9409" t="n">
        <v>11.2813043273975</v>
      </c>
    </row>
    <row r="9410">
      <c r="A9410" t="inlineStr">
        <is>
          <t>Suriname</t>
        </is>
      </c>
      <c r="B9410" t="inlineStr">
        <is>
          <t>SUR</t>
        </is>
      </c>
      <c r="C9410" t="n">
        <v>2007</v>
      </c>
      <c r="D9410" t="n">
        <v>6.42627934470524</v>
      </c>
    </row>
    <row r="9411">
      <c r="A9411" t="inlineStr">
        <is>
          <t>Suriname</t>
        </is>
      </c>
      <c r="B9411" t="inlineStr">
        <is>
          <t>SUR</t>
        </is>
      </c>
      <c r="C9411" t="n">
        <v>2008</v>
      </c>
      <c r="D9411" t="n">
        <v>14.6671427437912</v>
      </c>
    </row>
    <row r="9412">
      <c r="A9412" t="inlineStr">
        <is>
          <t>Suriname</t>
        </is>
      </c>
      <c r="B9412" t="inlineStr">
        <is>
          <t>SUR</t>
        </is>
      </c>
      <c r="C9412" t="n">
        <v>2009</v>
      </c>
      <c r="D9412" t="n">
        <v>-0.133636646714877</v>
      </c>
    </row>
    <row r="9413">
      <c r="A9413" t="inlineStr">
        <is>
          <t>Suriname</t>
        </is>
      </c>
      <c r="B9413" t="inlineStr">
        <is>
          <t>SUR</t>
        </is>
      </c>
      <c r="C9413" t="n">
        <v>2010</v>
      </c>
      <c r="D9413" t="n">
        <v>6.94108221639996</v>
      </c>
    </row>
    <row r="9414">
      <c r="A9414" t="inlineStr">
        <is>
          <t>Suriname</t>
        </is>
      </c>
      <c r="B9414" t="inlineStr">
        <is>
          <t>SUR</t>
        </is>
      </c>
      <c r="C9414" t="n">
        <v>2011</v>
      </c>
      <c r="D9414" t="n">
        <v>17.7117796414558</v>
      </c>
    </row>
    <row r="9415">
      <c r="A9415" t="inlineStr">
        <is>
          <t>Suriname</t>
        </is>
      </c>
      <c r="B9415" t="inlineStr">
        <is>
          <t>SUR</t>
        </is>
      </c>
      <c r="C9415" t="n">
        <v>2012</v>
      </c>
      <c r="D9415" t="n">
        <v>5.00686319367273</v>
      </c>
    </row>
    <row r="9416">
      <c r="A9416" t="inlineStr">
        <is>
          <t>Suriname</t>
        </is>
      </c>
      <c r="B9416" t="inlineStr">
        <is>
          <t>SUR</t>
        </is>
      </c>
      <c r="C9416" t="n">
        <v>2013</v>
      </c>
      <c r="D9416" t="n">
        <v>1.92343604108305</v>
      </c>
    </row>
    <row r="9417">
      <c r="A9417" t="inlineStr">
        <is>
          <t>Suriname</t>
        </is>
      </c>
      <c r="B9417" t="inlineStr">
        <is>
          <t>SUR</t>
        </is>
      </c>
      <c r="C9417" t="n">
        <v>2014</v>
      </c>
      <c r="D9417" t="n">
        <v>3.38341272749477</v>
      </c>
    </row>
    <row r="9418">
      <c r="A9418" t="inlineStr">
        <is>
          <t>Suriname</t>
        </is>
      </c>
      <c r="B9418" t="inlineStr">
        <is>
          <t>SUR</t>
        </is>
      </c>
      <c r="C9418" t="n">
        <v>2015</v>
      </c>
      <c r="D9418" t="n">
        <v>6.89390359168238</v>
      </c>
    </row>
    <row r="9419">
      <c r="A9419" t="inlineStr">
        <is>
          <t>Suriname</t>
        </is>
      </c>
      <c r="B9419" t="inlineStr">
        <is>
          <t>SUR</t>
        </is>
      </c>
      <c r="C9419" t="n">
        <v>2016</v>
      </c>
      <c r="D9419" t="n">
        <v>55.4123879763196</v>
      </c>
    </row>
    <row r="9420">
      <c r="A9420" t="inlineStr">
        <is>
          <t>Suriname</t>
        </is>
      </c>
      <c r="B9420" t="inlineStr">
        <is>
          <t>SUR</t>
        </is>
      </c>
      <c r="C9420" t="n">
        <v>2017</v>
      </c>
      <c r="D9420" t="n">
        <v>21.9969430173304</v>
      </c>
    </row>
    <row r="9421">
      <c r="A9421" t="inlineStr">
        <is>
          <t>Suriname</t>
        </is>
      </c>
      <c r="B9421" t="inlineStr">
        <is>
          <t>SUR</t>
        </is>
      </c>
      <c r="C9421" t="n">
        <v>2020</v>
      </c>
      <c r="D9421" t="n">
        <v>34.889784309078</v>
      </c>
    </row>
    <row r="9422">
      <c r="A9422" t="inlineStr">
        <is>
          <t>Suriname</t>
        </is>
      </c>
      <c r="B9422" t="inlineStr">
        <is>
          <t>SUR</t>
        </is>
      </c>
      <c r="C9422" t="n">
        <v>2021</v>
      </c>
      <c r="D9422" t="n">
        <v>59.1196626251977</v>
      </c>
    </row>
    <row r="9423">
      <c r="A9423" t="inlineStr">
        <is>
          <t>Suriname</t>
        </is>
      </c>
      <c r="B9423" t="inlineStr">
        <is>
          <t>SUR</t>
        </is>
      </c>
      <c r="C9423" t="n">
        <v>2022</v>
      </c>
      <c r="D9423" t="n">
        <v>52.446027276241</v>
      </c>
    </row>
    <row r="9424">
      <c r="A9424" t="inlineStr">
        <is>
          <t>Suriname</t>
        </is>
      </c>
      <c r="B9424" t="inlineStr">
        <is>
          <t>SUR</t>
        </is>
      </c>
      <c r="C9424" t="n">
        <v>2023</v>
      </c>
      <c r="D9424" t="n">
        <v>51.5873159600861</v>
      </c>
    </row>
    <row r="9425">
      <c r="A9425" t="inlineStr">
        <is>
          <t>Suriname</t>
        </is>
      </c>
      <c r="B9425" t="inlineStr">
        <is>
          <t>SUR</t>
        </is>
      </c>
      <c r="C9425" t="n">
        <v>2024</v>
      </c>
      <c r="D9425" t="n">
        <v>16.2296159130279</v>
      </c>
    </row>
    <row r="9426">
      <c r="A9426" t="inlineStr">
        <is>
          <t>Slovak Republic</t>
        </is>
      </c>
      <c r="B9426" t="inlineStr">
        <is>
          <t>SVK</t>
        </is>
      </c>
      <c r="C9426" t="n">
        <v>1992</v>
      </c>
      <c r="D9426" t="n">
        <v>9.89350519771167</v>
      </c>
    </row>
    <row r="9427">
      <c r="A9427" t="inlineStr">
        <is>
          <t>Slovak Republic</t>
        </is>
      </c>
      <c r="B9427" t="inlineStr">
        <is>
          <t>SVK</t>
        </is>
      </c>
      <c r="C9427" t="n">
        <v>1993</v>
      </c>
      <c r="D9427" t="n">
        <v>23.287027664545</v>
      </c>
    </row>
    <row r="9428">
      <c r="A9428" t="inlineStr">
        <is>
          <t>Slovak Republic</t>
        </is>
      </c>
      <c r="B9428" t="inlineStr">
        <is>
          <t>SVK</t>
        </is>
      </c>
      <c r="C9428" t="n">
        <v>1994</v>
      </c>
      <c r="D9428" t="n">
        <v>13.4155203422246</v>
      </c>
    </row>
    <row r="9429">
      <c r="A9429" t="inlineStr">
        <is>
          <t>Slovak Republic</t>
        </is>
      </c>
      <c r="B9429" t="inlineStr">
        <is>
          <t>SVK</t>
        </is>
      </c>
      <c r="C9429" t="n">
        <v>1995</v>
      </c>
      <c r="D9429" t="n">
        <v>9.841095798377481</v>
      </c>
    </row>
    <row r="9430">
      <c r="A9430" t="inlineStr">
        <is>
          <t>Slovak Republic</t>
        </is>
      </c>
      <c r="B9430" t="inlineStr">
        <is>
          <t>SVK</t>
        </is>
      </c>
      <c r="C9430" t="n">
        <v>1996</v>
      </c>
      <c r="D9430" t="n">
        <v>5.77582786155949</v>
      </c>
    </row>
    <row r="9431">
      <c r="A9431" t="inlineStr">
        <is>
          <t>Slovak Republic</t>
        </is>
      </c>
      <c r="B9431" t="inlineStr">
        <is>
          <t>SVK</t>
        </is>
      </c>
      <c r="C9431" t="n">
        <v>1997</v>
      </c>
      <c r="D9431" t="n">
        <v>6.14198999595652</v>
      </c>
    </row>
    <row r="9432">
      <c r="A9432" t="inlineStr">
        <is>
          <t>Slovak Republic</t>
        </is>
      </c>
      <c r="B9432" t="inlineStr">
        <is>
          <t>SVK</t>
        </is>
      </c>
      <c r="C9432" t="n">
        <v>1998</v>
      </c>
      <c r="D9432" t="n">
        <v>6.66565123195824</v>
      </c>
    </row>
    <row r="9433">
      <c r="A9433" t="inlineStr">
        <is>
          <t>Slovak Republic</t>
        </is>
      </c>
      <c r="B9433" t="inlineStr">
        <is>
          <t>SVK</t>
        </is>
      </c>
      <c r="C9433" t="n">
        <v>1999</v>
      </c>
      <c r="D9433" t="n">
        <v>10.5704416075225</v>
      </c>
    </row>
    <row r="9434">
      <c r="A9434" t="inlineStr">
        <is>
          <t>Slovak Republic</t>
        </is>
      </c>
      <c r="B9434" t="inlineStr">
        <is>
          <t>SVK</t>
        </is>
      </c>
      <c r="C9434" t="n">
        <v>2000</v>
      </c>
      <c r="D9434" t="n">
        <v>12.0357805974299</v>
      </c>
    </row>
    <row r="9435">
      <c r="A9435" t="inlineStr">
        <is>
          <t>Slovak Republic</t>
        </is>
      </c>
      <c r="B9435" t="inlineStr">
        <is>
          <t>SVK</t>
        </is>
      </c>
      <c r="C9435" t="n">
        <v>2001</v>
      </c>
      <c r="D9435" t="n">
        <v>7.3296201911553</v>
      </c>
    </row>
    <row r="9436">
      <c r="A9436" t="inlineStr">
        <is>
          <t>Slovak Republic</t>
        </is>
      </c>
      <c r="B9436" t="inlineStr">
        <is>
          <t>SVK</t>
        </is>
      </c>
      <c r="C9436" t="n">
        <v>2002</v>
      </c>
      <c r="D9436" t="n">
        <v>3.12714222984608</v>
      </c>
    </row>
    <row r="9437">
      <c r="A9437" t="inlineStr">
        <is>
          <t>Slovak Republic</t>
        </is>
      </c>
      <c r="B9437" t="inlineStr">
        <is>
          <t>SVK</t>
        </is>
      </c>
      <c r="C9437" t="n">
        <v>2003</v>
      </c>
      <c r="D9437" t="n">
        <v>8.554143054066451</v>
      </c>
    </row>
    <row r="9438">
      <c r="A9438" t="inlineStr">
        <is>
          <t>Slovak Republic</t>
        </is>
      </c>
      <c r="B9438" t="inlineStr">
        <is>
          <t>SVK</t>
        </is>
      </c>
      <c r="C9438" t="n">
        <v>2004</v>
      </c>
      <c r="D9438" t="n">
        <v>7.54850088183423</v>
      </c>
    </row>
    <row r="9439">
      <c r="A9439" t="inlineStr">
        <is>
          <t>Slovak Republic</t>
        </is>
      </c>
      <c r="B9439" t="inlineStr">
        <is>
          <t>SVK</t>
        </is>
      </c>
      <c r="C9439" t="n">
        <v>2005</v>
      </c>
      <c r="D9439" t="n">
        <v>2.70908494588384</v>
      </c>
    </row>
    <row r="9440">
      <c r="A9440" t="inlineStr">
        <is>
          <t>Slovak Republic</t>
        </is>
      </c>
      <c r="B9440" t="inlineStr">
        <is>
          <t>SVK</t>
        </is>
      </c>
      <c r="C9440" t="n">
        <v>2006</v>
      </c>
      <c r="D9440" t="n">
        <v>4.48333120449611</v>
      </c>
    </row>
    <row r="9441">
      <c r="A9441" t="inlineStr">
        <is>
          <t>Slovak Republic</t>
        </is>
      </c>
      <c r="B9441" t="inlineStr">
        <is>
          <t>SVK</t>
        </is>
      </c>
      <c r="C9441" t="n">
        <v>2007</v>
      </c>
      <c r="D9441" t="n">
        <v>2.7567237163814</v>
      </c>
    </row>
    <row r="9442">
      <c r="A9442" t="inlineStr">
        <is>
          <t>Slovak Republic</t>
        </is>
      </c>
      <c r="B9442" t="inlineStr">
        <is>
          <t>SVK</t>
        </is>
      </c>
      <c r="C9442" t="n">
        <v>2008</v>
      </c>
      <c r="D9442" t="n">
        <v>4.59817976325028</v>
      </c>
    </row>
    <row r="9443">
      <c r="A9443" t="inlineStr">
        <is>
          <t>Slovak Republic</t>
        </is>
      </c>
      <c r="B9443" t="inlineStr">
        <is>
          <t>SVK</t>
        </is>
      </c>
      <c r="C9443" t="n">
        <v>2009</v>
      </c>
      <c r="D9443" t="n">
        <v>1.61510464058238</v>
      </c>
    </row>
    <row r="9444">
      <c r="A9444" t="inlineStr">
        <is>
          <t>Slovak Republic</t>
        </is>
      </c>
      <c r="B9444" t="inlineStr">
        <is>
          <t>SVK</t>
        </is>
      </c>
      <c r="C9444" t="n">
        <v>2010</v>
      </c>
      <c r="D9444" t="n">
        <v>0.957018132975143</v>
      </c>
    </row>
    <row r="9445">
      <c r="A9445" t="inlineStr">
        <is>
          <t>Slovak Republic</t>
        </is>
      </c>
      <c r="B9445" t="inlineStr">
        <is>
          <t>SVK</t>
        </is>
      </c>
      <c r="C9445" t="n">
        <v>2011</v>
      </c>
      <c r="D9445" t="n">
        <v>3.9192859914629</v>
      </c>
    </row>
    <row r="9446">
      <c r="A9446" t="inlineStr">
        <is>
          <t>Slovak Republic</t>
        </is>
      </c>
      <c r="B9446" t="inlineStr">
        <is>
          <t>SVK</t>
        </is>
      </c>
      <c r="C9446" t="n">
        <v>2012</v>
      </c>
      <c r="D9446" t="n">
        <v>3.6061026352289</v>
      </c>
    </row>
    <row r="9447">
      <c r="A9447" t="inlineStr">
        <is>
          <t>Slovak Republic</t>
        </is>
      </c>
      <c r="B9447" t="inlineStr">
        <is>
          <t>SVK</t>
        </is>
      </c>
      <c r="C9447" t="n">
        <v>2013</v>
      </c>
      <c r="D9447" t="n">
        <v>1.40047368963025</v>
      </c>
    </row>
    <row r="9448">
      <c r="A9448" t="inlineStr">
        <is>
          <t>Slovak Republic</t>
        </is>
      </c>
      <c r="B9448" t="inlineStr">
        <is>
          <t>SVK</t>
        </is>
      </c>
      <c r="C9448" t="n">
        <v>2014</v>
      </c>
      <c r="D9448" t="n">
        <v>-0.0761653295419871</v>
      </c>
    </row>
    <row r="9449">
      <c r="A9449" t="inlineStr">
        <is>
          <t>Slovak Republic</t>
        </is>
      </c>
      <c r="B9449" t="inlineStr">
        <is>
          <t>SVK</t>
        </is>
      </c>
      <c r="C9449" t="n">
        <v>2015</v>
      </c>
      <c r="D9449" t="n">
        <v>-0.325219777427673</v>
      </c>
    </row>
    <row r="9450">
      <c r="A9450" t="inlineStr">
        <is>
          <t>Slovak Republic</t>
        </is>
      </c>
      <c r="B9450" t="inlineStr">
        <is>
          <t>SVK</t>
        </is>
      </c>
      <c r="C9450" t="n">
        <v>2016</v>
      </c>
      <c r="D9450" t="n">
        <v>-0.5200101962782659</v>
      </c>
    </row>
    <row r="9451">
      <c r="A9451" t="inlineStr">
        <is>
          <t>Slovak Republic</t>
        </is>
      </c>
      <c r="B9451" t="inlineStr">
        <is>
          <t>SVK</t>
        </is>
      </c>
      <c r="C9451" t="n">
        <v>2017</v>
      </c>
      <c r="D9451" t="n">
        <v>1.31194588223228</v>
      </c>
    </row>
    <row r="9452">
      <c r="A9452" t="inlineStr">
        <is>
          <t>Slovak Republic</t>
        </is>
      </c>
      <c r="B9452" t="inlineStr">
        <is>
          <t>SVK</t>
        </is>
      </c>
      <c r="C9452" t="n">
        <v>2018</v>
      </c>
      <c r="D9452" t="n">
        <v>2.51403712883812</v>
      </c>
    </row>
    <row r="9453">
      <c r="A9453" t="inlineStr">
        <is>
          <t>Slovak Republic</t>
        </is>
      </c>
      <c r="B9453" t="inlineStr">
        <is>
          <t>SVK</t>
        </is>
      </c>
      <c r="C9453" t="n">
        <v>2019</v>
      </c>
      <c r="D9453" t="n">
        <v>2.66456133425431</v>
      </c>
    </row>
    <row r="9454">
      <c r="A9454" t="inlineStr">
        <is>
          <t>Slovak Republic</t>
        </is>
      </c>
      <c r="B9454" t="inlineStr">
        <is>
          <t>SVK</t>
        </is>
      </c>
      <c r="C9454" t="n">
        <v>2020</v>
      </c>
      <c r="D9454" t="n">
        <v>1.93694126694223</v>
      </c>
    </row>
    <row r="9455">
      <c r="A9455" t="inlineStr">
        <is>
          <t>Slovak Republic</t>
        </is>
      </c>
      <c r="B9455" t="inlineStr">
        <is>
          <t>SVK</t>
        </is>
      </c>
      <c r="C9455" t="n">
        <v>2021</v>
      </c>
      <c r="D9455" t="n">
        <v>3.14960629921268</v>
      </c>
    </row>
    <row r="9456">
      <c r="A9456" t="inlineStr">
        <is>
          <t>Slovak Republic</t>
        </is>
      </c>
      <c r="B9456" t="inlineStr">
        <is>
          <t>SVK</t>
        </is>
      </c>
      <c r="C9456" t="n">
        <v>2022</v>
      </c>
      <c r="D9456" t="n">
        <v>12.7741463637611</v>
      </c>
    </row>
    <row r="9457">
      <c r="A9457" t="inlineStr">
        <is>
          <t>Slovak Republic</t>
        </is>
      </c>
      <c r="B9457" t="inlineStr">
        <is>
          <t>SVK</t>
        </is>
      </c>
      <c r="C9457" t="n">
        <v>2023</v>
      </c>
      <c r="D9457" t="n">
        <v>10.5319476645211</v>
      </c>
    </row>
    <row r="9458">
      <c r="A9458" t="inlineStr">
        <is>
          <t>Slovak Republic</t>
        </is>
      </c>
      <c r="B9458" t="inlineStr">
        <is>
          <t>SVK</t>
        </is>
      </c>
      <c r="C9458" t="n">
        <v>2024</v>
      </c>
      <c r="D9458" t="n">
        <v>2.75760909424272</v>
      </c>
    </row>
    <row r="9459">
      <c r="A9459" t="inlineStr">
        <is>
          <t>Slovenia</t>
        </is>
      </c>
      <c r="B9459" t="inlineStr">
        <is>
          <t>SVN</t>
        </is>
      </c>
      <c r="C9459" t="n">
        <v>1981</v>
      </c>
      <c r="D9459" t="n">
        <v>42.6229527318244</v>
      </c>
    </row>
    <row r="9460">
      <c r="A9460" t="inlineStr">
        <is>
          <t>Slovenia</t>
        </is>
      </c>
      <c r="B9460" t="inlineStr">
        <is>
          <t>SVN</t>
        </is>
      </c>
      <c r="C9460" t="n">
        <v>1982</v>
      </c>
      <c r="D9460" t="n">
        <v>30.1125435950715</v>
      </c>
    </row>
    <row r="9461">
      <c r="A9461" t="inlineStr">
        <is>
          <t>Slovenia</t>
        </is>
      </c>
      <c r="B9461" t="inlineStr">
        <is>
          <t>SVN</t>
        </is>
      </c>
      <c r="C9461" t="n">
        <v>1983</v>
      </c>
      <c r="D9461" t="n">
        <v>40.2134918436935</v>
      </c>
    </row>
    <row r="9462">
      <c r="A9462" t="inlineStr">
        <is>
          <t>Slovenia</t>
        </is>
      </c>
      <c r="B9462" t="inlineStr">
        <is>
          <t>SVN</t>
        </is>
      </c>
      <c r="C9462" t="n">
        <v>1984</v>
      </c>
      <c r="D9462" t="n">
        <v>53.6719669102484</v>
      </c>
    </row>
    <row r="9463">
      <c r="A9463" t="inlineStr">
        <is>
          <t>Slovenia</t>
        </is>
      </c>
      <c r="B9463" t="inlineStr">
        <is>
          <t>SVN</t>
        </is>
      </c>
      <c r="C9463" t="n">
        <v>1985</v>
      </c>
      <c r="D9463" t="n">
        <v>79.40638114818741</v>
      </c>
    </row>
    <row r="9464">
      <c r="A9464" t="inlineStr">
        <is>
          <t>Slovenia</t>
        </is>
      </c>
      <c r="B9464" t="inlineStr">
        <is>
          <t>SVN</t>
        </is>
      </c>
      <c r="C9464" t="n">
        <v>1986</v>
      </c>
      <c r="D9464" t="n">
        <v>95.8865052101644</v>
      </c>
    </row>
    <row r="9465">
      <c r="A9465" t="inlineStr">
        <is>
          <t>Slovenia</t>
        </is>
      </c>
      <c r="B9465" t="inlineStr">
        <is>
          <t>SVN</t>
        </is>
      </c>
      <c r="C9465" t="n">
        <v>1987</v>
      </c>
      <c r="D9465" t="n">
        <v>132.072721014831</v>
      </c>
    </row>
    <row r="9466">
      <c r="A9466" t="inlineStr">
        <is>
          <t>Slovenia</t>
        </is>
      </c>
      <c r="B9466" t="inlineStr">
        <is>
          <t>SVN</t>
        </is>
      </c>
      <c r="C9466" t="n">
        <v>1988</v>
      </c>
      <c r="D9466" t="n">
        <v>198.753712862023</v>
      </c>
    </row>
    <row r="9467">
      <c r="A9467" t="inlineStr">
        <is>
          <t>Slovenia</t>
        </is>
      </c>
      <c r="B9467" t="inlineStr">
        <is>
          <t>SVN</t>
        </is>
      </c>
      <c r="C9467" t="n">
        <v>1989</v>
      </c>
      <c r="D9467" t="n">
        <v>1281.44349404876</v>
      </c>
    </row>
    <row r="9468">
      <c r="A9468" t="inlineStr">
        <is>
          <t>Slovenia</t>
        </is>
      </c>
      <c r="B9468" t="inlineStr">
        <is>
          <t>SVN</t>
        </is>
      </c>
      <c r="C9468" t="n">
        <v>1990</v>
      </c>
      <c r="D9468" t="n">
        <v>552.083528914325</v>
      </c>
    </row>
    <row r="9469">
      <c r="A9469" t="inlineStr">
        <is>
          <t>Slovenia</t>
        </is>
      </c>
      <c r="B9469" t="inlineStr">
        <is>
          <t>SVN</t>
        </is>
      </c>
      <c r="C9469" t="n">
        <v>1991</v>
      </c>
      <c r="D9469" t="n">
        <v>114.832935589747</v>
      </c>
    </row>
    <row r="9470">
      <c r="A9470" t="inlineStr">
        <is>
          <t>Slovenia</t>
        </is>
      </c>
      <c r="B9470" t="inlineStr">
        <is>
          <t>SVN</t>
        </is>
      </c>
      <c r="C9470" t="n">
        <v>1992</v>
      </c>
      <c r="D9470" t="n">
        <v>209.933731186822</v>
      </c>
    </row>
    <row r="9471">
      <c r="A9471" t="inlineStr">
        <is>
          <t>Slovenia</t>
        </is>
      </c>
      <c r="B9471" t="inlineStr">
        <is>
          <t>SVN</t>
        </is>
      </c>
      <c r="C9471" t="n">
        <v>1993</v>
      </c>
      <c r="D9471" t="n">
        <v>31.7621306305932</v>
      </c>
    </row>
    <row r="9472">
      <c r="A9472" t="inlineStr">
        <is>
          <t>Slovenia</t>
        </is>
      </c>
      <c r="B9472" t="inlineStr">
        <is>
          <t>SVN</t>
        </is>
      </c>
      <c r="C9472" t="n">
        <v>1994</v>
      </c>
      <c r="D9472" t="n">
        <v>20.9918180471498</v>
      </c>
    </row>
    <row r="9473">
      <c r="A9473" t="inlineStr">
        <is>
          <t>Slovenia</t>
        </is>
      </c>
      <c r="B9473" t="inlineStr">
        <is>
          <t>SVN</t>
        </is>
      </c>
      <c r="C9473" t="n">
        <v>1995</v>
      </c>
      <c r="D9473" t="n">
        <v>13.4637296178669</v>
      </c>
    </row>
    <row r="9474">
      <c r="A9474" t="inlineStr">
        <is>
          <t>Slovenia</t>
        </is>
      </c>
      <c r="B9474" t="inlineStr">
        <is>
          <t>SVN</t>
        </is>
      </c>
      <c r="C9474" t="n">
        <v>1996</v>
      </c>
      <c r="D9474" t="n">
        <v>9.86445061546851</v>
      </c>
    </row>
    <row r="9475">
      <c r="A9475" t="inlineStr">
        <is>
          <t>Slovenia</t>
        </is>
      </c>
      <c r="B9475" t="inlineStr">
        <is>
          <t>SVN</t>
        </is>
      </c>
      <c r="C9475" t="n">
        <v>1997</v>
      </c>
      <c r="D9475" t="n">
        <v>8.359679907043001</v>
      </c>
    </row>
    <row r="9476">
      <c r="A9476" t="inlineStr">
        <is>
          <t>Slovenia</t>
        </is>
      </c>
      <c r="B9476" t="inlineStr">
        <is>
          <t>SVN</t>
        </is>
      </c>
      <c r="C9476" t="n">
        <v>1998</v>
      </c>
      <c r="D9476" t="n">
        <v>7.89116682856684</v>
      </c>
    </row>
    <row r="9477">
      <c r="A9477" t="inlineStr">
        <is>
          <t>Slovenia</t>
        </is>
      </c>
      <c r="B9477" t="inlineStr">
        <is>
          <t>SVN</t>
        </is>
      </c>
      <c r="C9477" t="n">
        <v>1999</v>
      </c>
      <c r="D9477" t="n">
        <v>6.15558754451559</v>
      </c>
    </row>
    <row r="9478">
      <c r="A9478" t="inlineStr">
        <is>
          <t>Slovenia</t>
        </is>
      </c>
      <c r="B9478" t="inlineStr">
        <is>
          <t>SVN</t>
        </is>
      </c>
      <c r="C9478" t="n">
        <v>2000</v>
      </c>
      <c r="D9478" t="n">
        <v>8.91174418658769</v>
      </c>
    </row>
    <row r="9479">
      <c r="A9479" t="inlineStr">
        <is>
          <t>Slovenia</t>
        </is>
      </c>
      <c r="B9479" t="inlineStr">
        <is>
          <t>SVN</t>
        </is>
      </c>
      <c r="C9479" t="n">
        <v>2001</v>
      </c>
      <c r="D9479" t="n">
        <v>8.37966587492204</v>
      </c>
    </row>
    <row r="9480">
      <c r="A9480" t="inlineStr">
        <is>
          <t>Slovenia</t>
        </is>
      </c>
      <c r="B9480" t="inlineStr">
        <is>
          <t>SVN</t>
        </is>
      </c>
      <c r="C9480" t="n">
        <v>2002</v>
      </c>
      <c r="D9480" t="n">
        <v>7.48077770703754</v>
      </c>
    </row>
    <row r="9481">
      <c r="A9481" t="inlineStr">
        <is>
          <t>Slovenia</t>
        </is>
      </c>
      <c r="B9481" t="inlineStr">
        <is>
          <t>SVN</t>
        </is>
      </c>
      <c r="C9481" t="n">
        <v>2003</v>
      </c>
      <c r="D9481" t="n">
        <v>5.54416421752901</v>
      </c>
    </row>
    <row r="9482">
      <c r="A9482" t="inlineStr">
        <is>
          <t>Slovenia</t>
        </is>
      </c>
      <c r="B9482" t="inlineStr">
        <is>
          <t>SVN</t>
        </is>
      </c>
      <c r="C9482" t="n">
        <v>2004</v>
      </c>
      <c r="D9482" t="n">
        <v>3.59297594249509</v>
      </c>
    </row>
    <row r="9483">
      <c r="A9483" t="inlineStr">
        <is>
          <t>Slovenia</t>
        </is>
      </c>
      <c r="B9483" t="inlineStr">
        <is>
          <t>SVN</t>
        </is>
      </c>
      <c r="C9483" t="n">
        <v>2005</v>
      </c>
      <c r="D9483" t="n">
        <v>2.45150132316475</v>
      </c>
    </row>
    <row r="9484">
      <c r="A9484" t="inlineStr">
        <is>
          <t>Slovenia</t>
        </is>
      </c>
      <c r="B9484" t="inlineStr">
        <is>
          <t>SVN</t>
        </is>
      </c>
      <c r="C9484" t="n">
        <v>2006</v>
      </c>
      <c r="D9484" t="n">
        <v>2.45792444195865</v>
      </c>
    </row>
    <row r="9485">
      <c r="A9485" t="inlineStr">
        <is>
          <t>Slovenia</t>
        </is>
      </c>
      <c r="B9485" t="inlineStr">
        <is>
          <t>SVN</t>
        </is>
      </c>
      <c r="C9485" t="n">
        <v>2007</v>
      </c>
      <c r="D9485" t="n">
        <v>3.65749563284099</v>
      </c>
    </row>
    <row r="9486">
      <c r="A9486" t="inlineStr">
        <is>
          <t>Slovenia</t>
        </is>
      </c>
      <c r="B9486" t="inlineStr">
        <is>
          <t>SVN</t>
        </is>
      </c>
      <c r="C9486" t="n">
        <v>2008</v>
      </c>
      <c r="D9486" t="n">
        <v>5.64742380573935</v>
      </c>
    </row>
    <row r="9487">
      <c r="A9487" t="inlineStr">
        <is>
          <t>Slovenia</t>
        </is>
      </c>
      <c r="B9487" t="inlineStr">
        <is>
          <t>SVN</t>
        </is>
      </c>
      <c r="C9487" t="n">
        <v>2009</v>
      </c>
      <c r="D9487" t="n">
        <v>0.8392622467938869</v>
      </c>
    </row>
    <row r="9488">
      <c r="A9488" t="inlineStr">
        <is>
          <t>Slovenia</t>
        </is>
      </c>
      <c r="B9488" t="inlineStr">
        <is>
          <t>SVN</t>
        </is>
      </c>
      <c r="C9488" t="n">
        <v>2010</v>
      </c>
      <c r="D9488" t="n">
        <v>1.80117022137134</v>
      </c>
    </row>
    <row r="9489">
      <c r="A9489" t="inlineStr">
        <is>
          <t>Slovenia</t>
        </is>
      </c>
      <c r="B9489" t="inlineStr">
        <is>
          <t>SVN</t>
        </is>
      </c>
      <c r="C9489" t="n">
        <v>2011</v>
      </c>
      <c r="D9489" t="n">
        <v>1.8028517194191</v>
      </c>
    </row>
    <row r="9490">
      <c r="A9490" t="inlineStr">
        <is>
          <t>Slovenia</t>
        </is>
      </c>
      <c r="B9490" t="inlineStr">
        <is>
          <t>SVN</t>
        </is>
      </c>
      <c r="C9490" t="n">
        <v>2012</v>
      </c>
      <c r="D9490" t="n">
        <v>2.59741386039003</v>
      </c>
    </row>
    <row r="9491">
      <c r="A9491" t="inlineStr">
        <is>
          <t>Slovenia</t>
        </is>
      </c>
      <c r="B9491" t="inlineStr">
        <is>
          <t>SVN</t>
        </is>
      </c>
      <c r="C9491" t="n">
        <v>2013</v>
      </c>
      <c r="D9491" t="n">
        <v>1.76920085881907</v>
      </c>
    </row>
    <row r="9492">
      <c r="A9492" t="inlineStr">
        <is>
          <t>Slovenia</t>
        </is>
      </c>
      <c r="B9492" t="inlineStr">
        <is>
          <t>SVN</t>
        </is>
      </c>
      <c r="C9492" t="n">
        <v>2014</v>
      </c>
      <c r="D9492" t="n">
        <v>0.19934382657075</v>
      </c>
    </row>
    <row r="9493">
      <c r="A9493" t="inlineStr">
        <is>
          <t>Slovenia</t>
        </is>
      </c>
      <c r="B9493" t="inlineStr">
        <is>
          <t>SVN</t>
        </is>
      </c>
      <c r="C9493" t="n">
        <v>2015</v>
      </c>
      <c r="D9493" t="n">
        <v>-0.525552285820877</v>
      </c>
    </row>
    <row r="9494">
      <c r="A9494" t="inlineStr">
        <is>
          <t>Slovenia</t>
        </is>
      </c>
      <c r="B9494" t="inlineStr">
        <is>
          <t>SVN</t>
        </is>
      </c>
      <c r="C9494" t="n">
        <v>2016</v>
      </c>
      <c r="D9494" t="n">
        <v>-0.054999541670474</v>
      </c>
    </row>
    <row r="9495">
      <c r="A9495" t="inlineStr">
        <is>
          <t>Slovenia</t>
        </is>
      </c>
      <c r="B9495" t="inlineStr">
        <is>
          <t>SVN</t>
        </is>
      </c>
      <c r="C9495" t="n">
        <v>2017</v>
      </c>
      <c r="D9495" t="n">
        <v>1.42910743319306</v>
      </c>
    </row>
    <row r="9496">
      <c r="A9496" t="inlineStr">
        <is>
          <t>Slovenia</t>
        </is>
      </c>
      <c r="B9496" t="inlineStr">
        <is>
          <t>SVN</t>
        </is>
      </c>
      <c r="C9496" t="n">
        <v>2018</v>
      </c>
      <c r="D9496" t="n">
        <v>1.7386086198818</v>
      </c>
    </row>
    <row r="9497">
      <c r="A9497" t="inlineStr">
        <is>
          <t>Slovenia</t>
        </is>
      </c>
      <c r="B9497" t="inlineStr">
        <is>
          <t>SVN</t>
        </is>
      </c>
      <c r="C9497" t="n">
        <v>2019</v>
      </c>
      <c r="D9497" t="n">
        <v>1.63052260754344</v>
      </c>
    </row>
    <row r="9498">
      <c r="A9498" t="inlineStr">
        <is>
          <t>Slovenia</t>
        </is>
      </c>
      <c r="B9498" t="inlineStr">
        <is>
          <t>SVN</t>
        </is>
      </c>
      <c r="C9498" t="n">
        <v>2020</v>
      </c>
      <c r="D9498" t="n">
        <v>-0.05485681576061</v>
      </c>
    </row>
    <row r="9499">
      <c r="A9499" t="inlineStr">
        <is>
          <t>Slovenia</t>
        </is>
      </c>
      <c r="B9499" t="inlineStr">
        <is>
          <t>SVN</t>
        </is>
      </c>
      <c r="C9499" t="n">
        <v>2021</v>
      </c>
      <c r="D9499" t="n">
        <v>1.91706506089259</v>
      </c>
    </row>
    <row r="9500">
      <c r="A9500" t="inlineStr">
        <is>
          <t>Slovenia</t>
        </is>
      </c>
      <c r="B9500" t="inlineStr">
        <is>
          <t>SVN</t>
        </is>
      </c>
      <c r="C9500" t="n">
        <v>2022</v>
      </c>
      <c r="D9500" t="n">
        <v>8.833698867494521</v>
      </c>
    </row>
    <row r="9501">
      <c r="A9501" t="inlineStr">
        <is>
          <t>Slovenia</t>
        </is>
      </c>
      <c r="B9501" t="inlineStr">
        <is>
          <t>SVN</t>
        </is>
      </c>
      <c r="C9501" t="n">
        <v>2023</v>
      </c>
      <c r="D9501" t="n">
        <v>7.44687717385838</v>
      </c>
    </row>
    <row r="9502">
      <c r="A9502" t="inlineStr">
        <is>
          <t>Slovenia</t>
        </is>
      </c>
      <c r="B9502" t="inlineStr">
        <is>
          <t>SVN</t>
        </is>
      </c>
      <c r="C9502" t="n">
        <v>2024</v>
      </c>
      <c r="D9502" t="n">
        <v>1.96562656432512</v>
      </c>
    </row>
    <row r="9503">
      <c r="A9503" t="inlineStr">
        <is>
          <t>Sweden</t>
        </is>
      </c>
      <c r="B9503" t="inlineStr">
        <is>
          <t>SWE</t>
        </is>
      </c>
      <c r="C9503" t="n">
        <v>1960</v>
      </c>
      <c r="D9503" t="n">
        <v>4.14177915090215</v>
      </c>
    </row>
    <row r="9504">
      <c r="A9504" t="inlineStr">
        <is>
          <t>Sweden</t>
        </is>
      </c>
      <c r="B9504" t="inlineStr">
        <is>
          <t>SWE</t>
        </is>
      </c>
      <c r="C9504" t="n">
        <v>1961</v>
      </c>
      <c r="D9504" t="n">
        <v>2.15797310981964</v>
      </c>
    </row>
    <row r="9505">
      <c r="A9505" t="inlineStr">
        <is>
          <t>Sweden</t>
        </is>
      </c>
      <c r="B9505" t="inlineStr">
        <is>
          <t>SWE</t>
        </is>
      </c>
      <c r="C9505" t="n">
        <v>1962</v>
      </c>
      <c r="D9505" t="n">
        <v>4.76619721905823</v>
      </c>
    </row>
    <row r="9506">
      <c r="A9506" t="inlineStr">
        <is>
          <t>Sweden</t>
        </is>
      </c>
      <c r="B9506" t="inlineStr">
        <is>
          <t>SWE</t>
        </is>
      </c>
      <c r="C9506" t="n">
        <v>1963</v>
      </c>
      <c r="D9506" t="n">
        <v>2.8717403448577</v>
      </c>
    </row>
    <row r="9507">
      <c r="A9507" t="inlineStr">
        <is>
          <t>Sweden</t>
        </is>
      </c>
      <c r="B9507" t="inlineStr">
        <is>
          <t>SWE</t>
        </is>
      </c>
      <c r="C9507" t="n">
        <v>1964</v>
      </c>
      <c r="D9507" t="n">
        <v>3.38766231088349</v>
      </c>
    </row>
    <row r="9508">
      <c r="A9508" t="inlineStr">
        <is>
          <t>Sweden</t>
        </is>
      </c>
      <c r="B9508" t="inlineStr">
        <is>
          <t>SWE</t>
        </is>
      </c>
      <c r="C9508" t="n">
        <v>1965</v>
      </c>
      <c r="D9508" t="n">
        <v>5.01277129643838</v>
      </c>
    </row>
    <row r="9509">
      <c r="A9509" t="inlineStr">
        <is>
          <t>Sweden</t>
        </is>
      </c>
      <c r="B9509" t="inlineStr">
        <is>
          <t>SWE</t>
        </is>
      </c>
      <c r="C9509" t="n">
        <v>1966</v>
      </c>
      <c r="D9509" t="n">
        <v>6.40480825348414</v>
      </c>
    </row>
    <row r="9510">
      <c r="A9510" t="inlineStr">
        <is>
          <t>Sweden</t>
        </is>
      </c>
      <c r="B9510" t="inlineStr">
        <is>
          <t>SWE</t>
        </is>
      </c>
      <c r="C9510" t="n">
        <v>1967</v>
      </c>
      <c r="D9510" t="n">
        <v>4.28931922993319</v>
      </c>
    </row>
    <row r="9511">
      <c r="A9511" t="inlineStr">
        <is>
          <t>Sweden</t>
        </is>
      </c>
      <c r="B9511" t="inlineStr">
        <is>
          <t>SWE</t>
        </is>
      </c>
      <c r="C9511" t="n">
        <v>1968</v>
      </c>
      <c r="D9511" t="n">
        <v>1.94312582473244</v>
      </c>
    </row>
    <row r="9512">
      <c r="A9512" t="inlineStr">
        <is>
          <t>Sweden</t>
        </is>
      </c>
      <c r="B9512" t="inlineStr">
        <is>
          <t>SWE</t>
        </is>
      </c>
      <c r="C9512" t="n">
        <v>1969</v>
      </c>
      <c r="D9512" t="n">
        <v>2.691994585557</v>
      </c>
    </row>
    <row r="9513">
      <c r="A9513" t="inlineStr">
        <is>
          <t>Sweden</t>
        </is>
      </c>
      <c r="B9513" t="inlineStr">
        <is>
          <t>SWE</t>
        </is>
      </c>
      <c r="C9513" t="n">
        <v>1970</v>
      </c>
      <c r="D9513" t="n">
        <v>7.01635885100763</v>
      </c>
    </row>
    <row r="9514">
      <c r="A9514" t="inlineStr">
        <is>
          <t>Sweden</t>
        </is>
      </c>
      <c r="B9514" t="inlineStr">
        <is>
          <t>SWE</t>
        </is>
      </c>
      <c r="C9514" t="n">
        <v>1971</v>
      </c>
      <c r="D9514" t="n">
        <v>7.39554113837636</v>
      </c>
    </row>
    <row r="9515">
      <c r="A9515" t="inlineStr">
        <is>
          <t>Sweden</t>
        </is>
      </c>
      <c r="B9515" t="inlineStr">
        <is>
          <t>SWE</t>
        </is>
      </c>
      <c r="C9515" t="n">
        <v>1972</v>
      </c>
      <c r="D9515" t="n">
        <v>6.00738969862495</v>
      </c>
    </row>
    <row r="9516">
      <c r="A9516" t="inlineStr">
        <is>
          <t>Sweden</t>
        </is>
      </c>
      <c r="B9516" t="inlineStr">
        <is>
          <t>SWE</t>
        </is>
      </c>
      <c r="C9516" t="n">
        <v>1973</v>
      </c>
      <c r="D9516" t="n">
        <v>6.71799739819354</v>
      </c>
    </row>
    <row r="9517">
      <c r="A9517" t="inlineStr">
        <is>
          <t>Sweden</t>
        </is>
      </c>
      <c r="B9517" t="inlineStr">
        <is>
          <t>SWE</t>
        </is>
      </c>
      <c r="C9517" t="n">
        <v>1974</v>
      </c>
      <c r="D9517" t="n">
        <v>9.91172530113238</v>
      </c>
    </row>
    <row r="9518">
      <c r="A9518" t="inlineStr">
        <is>
          <t>Sweden</t>
        </is>
      </c>
      <c r="B9518" t="inlineStr">
        <is>
          <t>SWE</t>
        </is>
      </c>
      <c r="C9518" t="n">
        <v>1975</v>
      </c>
      <c r="D9518" t="n">
        <v>9.779873988225759</v>
      </c>
    </row>
    <row r="9519">
      <c r="A9519" t="inlineStr">
        <is>
          <t>Sweden</t>
        </is>
      </c>
      <c r="B9519" t="inlineStr">
        <is>
          <t>SWE</t>
        </is>
      </c>
      <c r="C9519" t="n">
        <v>1976</v>
      </c>
      <c r="D9519" t="n">
        <v>10.2492246529784</v>
      </c>
    </row>
    <row r="9520">
      <c r="A9520" t="inlineStr">
        <is>
          <t>Sweden</t>
        </is>
      </c>
      <c r="B9520" t="inlineStr">
        <is>
          <t>SWE</t>
        </is>
      </c>
      <c r="C9520" t="n">
        <v>1977</v>
      </c>
      <c r="D9520" t="n">
        <v>11.4418051091077</v>
      </c>
    </row>
    <row r="9521">
      <c r="A9521" t="inlineStr">
        <is>
          <t>Sweden</t>
        </is>
      </c>
      <c r="B9521" t="inlineStr">
        <is>
          <t>SWE</t>
        </is>
      </c>
      <c r="C9521" t="n">
        <v>1978</v>
      </c>
      <c r="D9521" t="n">
        <v>9.99526541717732</v>
      </c>
    </row>
    <row r="9522">
      <c r="A9522" t="inlineStr">
        <is>
          <t>Sweden</t>
        </is>
      </c>
      <c r="B9522" t="inlineStr">
        <is>
          <t>SWE</t>
        </is>
      </c>
      <c r="C9522" t="n">
        <v>1979</v>
      </c>
      <c r="D9522" t="n">
        <v>7.20978617047808</v>
      </c>
    </row>
    <row r="9523">
      <c r="A9523" t="inlineStr">
        <is>
          <t>Sweden</t>
        </is>
      </c>
      <c r="B9523" t="inlineStr">
        <is>
          <t>SWE</t>
        </is>
      </c>
      <c r="C9523" t="n">
        <v>1980</v>
      </c>
      <c r="D9523" t="n">
        <v>13.7063223649005</v>
      </c>
    </row>
    <row r="9524">
      <c r="A9524" t="inlineStr">
        <is>
          <t>Sweden</t>
        </is>
      </c>
      <c r="B9524" t="inlineStr">
        <is>
          <t>SWE</t>
        </is>
      </c>
      <c r="C9524" t="n">
        <v>1981</v>
      </c>
      <c r="D9524" t="n">
        <v>12.1039385302598</v>
      </c>
    </row>
    <row r="9525">
      <c r="A9525" t="inlineStr">
        <is>
          <t>Sweden</t>
        </is>
      </c>
      <c r="B9525" t="inlineStr">
        <is>
          <t>SWE</t>
        </is>
      </c>
      <c r="C9525" t="n">
        <v>1982</v>
      </c>
      <c r="D9525" t="n">
        <v>8.589185090471229</v>
      </c>
    </row>
    <row r="9526">
      <c r="A9526" t="inlineStr">
        <is>
          <t>Sweden</t>
        </is>
      </c>
      <c r="B9526" t="inlineStr">
        <is>
          <t>SWE</t>
        </is>
      </c>
      <c r="C9526" t="n">
        <v>1983</v>
      </c>
      <c r="D9526" t="n">
        <v>8.873021523632129</v>
      </c>
    </row>
    <row r="9527">
      <c r="A9527" t="inlineStr">
        <is>
          <t>Sweden</t>
        </is>
      </c>
      <c r="B9527" t="inlineStr">
        <is>
          <t>SWE</t>
        </is>
      </c>
      <c r="C9527" t="n">
        <v>1984</v>
      </c>
      <c r="D9527" t="n">
        <v>8.04424238994422</v>
      </c>
    </row>
    <row r="9528">
      <c r="A9528" t="inlineStr">
        <is>
          <t>Sweden</t>
        </is>
      </c>
      <c r="B9528" t="inlineStr">
        <is>
          <t>SWE</t>
        </is>
      </c>
      <c r="C9528" t="n">
        <v>1985</v>
      </c>
      <c r="D9528" t="n">
        <v>7.37257458126246</v>
      </c>
    </row>
    <row r="9529">
      <c r="A9529" t="inlineStr">
        <is>
          <t>Sweden</t>
        </is>
      </c>
      <c r="B9529" t="inlineStr">
        <is>
          <t>SWE</t>
        </is>
      </c>
      <c r="C9529" t="n">
        <v>1986</v>
      </c>
      <c r="D9529" t="n">
        <v>4.23591011089793</v>
      </c>
    </row>
    <row r="9530">
      <c r="A9530" t="inlineStr">
        <is>
          <t>Sweden</t>
        </is>
      </c>
      <c r="B9530" t="inlineStr">
        <is>
          <t>SWE</t>
        </is>
      </c>
      <c r="C9530" t="n">
        <v>1987</v>
      </c>
      <c r="D9530" t="n">
        <v>4.18857151771368</v>
      </c>
    </row>
    <row r="9531">
      <c r="A9531" t="inlineStr">
        <is>
          <t>Sweden</t>
        </is>
      </c>
      <c r="B9531" t="inlineStr">
        <is>
          <t>SWE</t>
        </is>
      </c>
      <c r="C9531" t="n">
        <v>1988</v>
      </c>
      <c r="D9531" t="n">
        <v>5.82489868439437</v>
      </c>
    </row>
    <row r="9532">
      <c r="A9532" t="inlineStr">
        <is>
          <t>Sweden</t>
        </is>
      </c>
      <c r="B9532" t="inlineStr">
        <is>
          <t>SWE</t>
        </is>
      </c>
      <c r="C9532" t="n">
        <v>1989</v>
      </c>
      <c r="D9532" t="n">
        <v>6.4432758742661</v>
      </c>
    </row>
    <row r="9533">
      <c r="A9533" t="inlineStr">
        <is>
          <t>Sweden</t>
        </is>
      </c>
      <c r="B9533" t="inlineStr">
        <is>
          <t>SWE</t>
        </is>
      </c>
      <c r="C9533" t="n">
        <v>1990</v>
      </c>
      <c r="D9533" t="n">
        <v>10.3665533879493</v>
      </c>
    </row>
    <row r="9534">
      <c r="A9534" t="inlineStr">
        <is>
          <t>Sweden</t>
        </is>
      </c>
      <c r="B9534" t="inlineStr">
        <is>
          <t>SWE</t>
        </is>
      </c>
      <c r="C9534" t="n">
        <v>1991</v>
      </c>
      <c r="D9534" t="n">
        <v>9.4446273294419</v>
      </c>
    </row>
    <row r="9535">
      <c r="A9535" t="inlineStr">
        <is>
          <t>Sweden</t>
        </is>
      </c>
      <c r="B9535" t="inlineStr">
        <is>
          <t>SWE</t>
        </is>
      </c>
      <c r="C9535" t="n">
        <v>1992</v>
      </c>
      <c r="D9535" t="n">
        <v>2.3743672511188</v>
      </c>
    </row>
    <row r="9536">
      <c r="A9536" t="inlineStr">
        <is>
          <t>Sweden</t>
        </is>
      </c>
      <c r="B9536" t="inlineStr">
        <is>
          <t>SWE</t>
        </is>
      </c>
      <c r="C9536" t="n">
        <v>1993</v>
      </c>
      <c r="D9536" t="n">
        <v>4.72817304626053</v>
      </c>
    </row>
    <row r="9537">
      <c r="A9537" t="inlineStr">
        <is>
          <t>Sweden</t>
        </is>
      </c>
      <c r="B9537" t="inlineStr">
        <is>
          <t>SWE</t>
        </is>
      </c>
      <c r="C9537" t="n">
        <v>1994</v>
      </c>
      <c r="D9537" t="n">
        <v>2.15813800724632</v>
      </c>
    </row>
    <row r="9538">
      <c r="A9538" t="inlineStr">
        <is>
          <t>Sweden</t>
        </is>
      </c>
      <c r="B9538" t="inlineStr">
        <is>
          <t>SWE</t>
        </is>
      </c>
      <c r="C9538" t="n">
        <v>1995</v>
      </c>
      <c r="D9538" t="n">
        <v>2.45514857818395</v>
      </c>
    </row>
    <row r="9539">
      <c r="A9539" t="inlineStr">
        <is>
          <t>Sweden</t>
        </is>
      </c>
      <c r="B9539" t="inlineStr">
        <is>
          <t>SWE</t>
        </is>
      </c>
      <c r="C9539" t="n">
        <v>1996</v>
      </c>
      <c r="D9539" t="n">
        <v>0.533131978766297</v>
      </c>
    </row>
    <row r="9540">
      <c r="A9540" t="inlineStr">
        <is>
          <t>Sweden</t>
        </is>
      </c>
      <c r="B9540" t="inlineStr">
        <is>
          <t>SWE</t>
        </is>
      </c>
      <c r="C9540" t="n">
        <v>1997</v>
      </c>
      <c r="D9540" t="n">
        <v>0.658410256243514</v>
      </c>
    </row>
    <row r="9541">
      <c r="A9541" t="inlineStr">
        <is>
          <t>Sweden</t>
        </is>
      </c>
      <c r="B9541" t="inlineStr">
        <is>
          <t>SWE</t>
        </is>
      </c>
      <c r="C9541" t="n">
        <v>1998</v>
      </c>
      <c r="D9541" t="n">
        <v>-0.267132668355006</v>
      </c>
    </row>
    <row r="9542">
      <c r="A9542" t="inlineStr">
        <is>
          <t>Sweden</t>
        </is>
      </c>
      <c r="B9542" t="inlineStr">
        <is>
          <t>SWE</t>
        </is>
      </c>
      <c r="C9542" t="n">
        <v>1999</v>
      </c>
      <c r="D9542" t="n">
        <v>0.462175756339173</v>
      </c>
    </row>
    <row r="9543">
      <c r="A9543" t="inlineStr">
        <is>
          <t>Sweden</t>
        </is>
      </c>
      <c r="B9543" t="inlineStr">
        <is>
          <t>SWE</t>
        </is>
      </c>
      <c r="C9543" t="n">
        <v>2000</v>
      </c>
      <c r="D9543" t="n">
        <v>0.8991437340416329</v>
      </c>
    </row>
    <row r="9544">
      <c r="A9544" t="inlineStr">
        <is>
          <t>Sweden</t>
        </is>
      </c>
      <c r="B9544" t="inlineStr">
        <is>
          <t>SWE</t>
        </is>
      </c>
      <c r="C9544" t="n">
        <v>2001</v>
      </c>
      <c r="D9544" t="n">
        <v>2.40595834145438</v>
      </c>
    </row>
    <row r="9545">
      <c r="A9545" t="inlineStr">
        <is>
          <t>Sweden</t>
        </is>
      </c>
      <c r="B9545" t="inlineStr">
        <is>
          <t>SWE</t>
        </is>
      </c>
      <c r="C9545" t="n">
        <v>2002</v>
      </c>
      <c r="D9545" t="n">
        <v>2.15848213589264</v>
      </c>
    </row>
    <row r="9546">
      <c r="A9546" t="inlineStr">
        <is>
          <t>Sweden</t>
        </is>
      </c>
      <c r="B9546" t="inlineStr">
        <is>
          <t>SWE</t>
        </is>
      </c>
      <c r="C9546" t="n">
        <v>2003</v>
      </c>
      <c r="D9546" t="n">
        <v>1.92565534892391</v>
      </c>
    </row>
    <row r="9547">
      <c r="A9547" t="inlineStr">
        <is>
          <t>Sweden</t>
        </is>
      </c>
      <c r="B9547" t="inlineStr">
        <is>
          <t>SWE</t>
        </is>
      </c>
      <c r="C9547" t="n">
        <v>2004</v>
      </c>
      <c r="D9547" t="n">
        <v>0.373659828721813</v>
      </c>
    </row>
    <row r="9548">
      <c r="A9548" t="inlineStr">
        <is>
          <t>Sweden</t>
        </is>
      </c>
      <c r="B9548" t="inlineStr">
        <is>
          <t>SWE</t>
        </is>
      </c>
      <c r="C9548" t="n">
        <v>2005</v>
      </c>
      <c r="D9548" t="n">
        <v>0.453170852576182</v>
      </c>
    </row>
    <row r="9549">
      <c r="A9549" t="inlineStr">
        <is>
          <t>Sweden</t>
        </is>
      </c>
      <c r="B9549" t="inlineStr">
        <is>
          <t>SWE</t>
        </is>
      </c>
      <c r="C9549" t="n">
        <v>2006</v>
      </c>
      <c r="D9549" t="n">
        <v>1.3602146862768</v>
      </c>
    </row>
    <row r="9550">
      <c r="A9550" t="inlineStr">
        <is>
          <t>Sweden</t>
        </is>
      </c>
      <c r="B9550" t="inlineStr">
        <is>
          <t>SWE</t>
        </is>
      </c>
      <c r="C9550" t="n">
        <v>2007</v>
      </c>
      <c r="D9550" t="n">
        <v>2.21216883436735</v>
      </c>
    </row>
    <row r="9551">
      <c r="A9551" t="inlineStr">
        <is>
          <t>Sweden</t>
        </is>
      </c>
      <c r="B9551" t="inlineStr">
        <is>
          <t>SWE</t>
        </is>
      </c>
      <c r="C9551" t="n">
        <v>2008</v>
      </c>
      <c r="D9551" t="n">
        <v>3.43704910602874</v>
      </c>
    </row>
    <row r="9552">
      <c r="A9552" t="inlineStr">
        <is>
          <t>Sweden</t>
        </is>
      </c>
      <c r="B9552" t="inlineStr">
        <is>
          <t>SWE</t>
        </is>
      </c>
      <c r="C9552" t="n">
        <v>2009</v>
      </c>
      <c r="D9552" t="n">
        <v>-0.494460544377991</v>
      </c>
    </row>
    <row r="9553">
      <c r="A9553" t="inlineStr">
        <is>
          <t>Sweden</t>
        </is>
      </c>
      <c r="B9553" t="inlineStr">
        <is>
          <t>SWE</t>
        </is>
      </c>
      <c r="C9553" t="n">
        <v>2010</v>
      </c>
      <c r="D9553" t="n">
        <v>1.15798802715628</v>
      </c>
    </row>
    <row r="9554">
      <c r="A9554" t="inlineStr">
        <is>
          <t>Sweden</t>
        </is>
      </c>
      <c r="B9554" t="inlineStr">
        <is>
          <t>SWE</t>
        </is>
      </c>
      <c r="C9554" t="n">
        <v>2011</v>
      </c>
      <c r="D9554" t="n">
        <v>2.9611507382214</v>
      </c>
    </row>
    <row r="9555">
      <c r="A9555" t="inlineStr">
        <is>
          <t>Sweden</t>
        </is>
      </c>
      <c r="B9555" t="inlineStr">
        <is>
          <t>SWE</t>
        </is>
      </c>
      <c r="C9555" t="n">
        <v>2012</v>
      </c>
      <c r="D9555" t="n">
        <v>0.888377506923638</v>
      </c>
    </row>
    <row r="9556">
      <c r="A9556" t="inlineStr">
        <is>
          <t>Sweden</t>
        </is>
      </c>
      <c r="B9556" t="inlineStr">
        <is>
          <t>SWE</t>
        </is>
      </c>
      <c r="C9556" t="n">
        <v>2013</v>
      </c>
      <c r="D9556" t="n">
        <v>-0.0442929701485858</v>
      </c>
    </row>
    <row r="9557">
      <c r="A9557" t="inlineStr">
        <is>
          <t>Sweden</t>
        </is>
      </c>
      <c r="B9557" t="inlineStr">
        <is>
          <t>SWE</t>
        </is>
      </c>
      <c r="C9557" t="n">
        <v>2014</v>
      </c>
      <c r="D9557" t="n">
        <v>-0.179638494114635</v>
      </c>
    </row>
    <row r="9558">
      <c r="A9558" t="inlineStr">
        <is>
          <t>Sweden</t>
        </is>
      </c>
      <c r="B9558" t="inlineStr">
        <is>
          <t>SWE</t>
        </is>
      </c>
      <c r="C9558" t="n">
        <v>2015</v>
      </c>
      <c r="D9558" t="n">
        <v>-0.0467847449832812</v>
      </c>
    </row>
    <row r="9559">
      <c r="A9559" t="inlineStr">
        <is>
          <t>Sweden</t>
        </is>
      </c>
      <c r="B9559" t="inlineStr">
        <is>
          <t>SWE</t>
        </is>
      </c>
      <c r="C9559" t="n">
        <v>2016</v>
      </c>
      <c r="D9559" t="n">
        <v>0.984269244577992</v>
      </c>
    </row>
    <row r="9560">
      <c r="A9560" t="inlineStr">
        <is>
          <t>Sweden</t>
        </is>
      </c>
      <c r="B9560" t="inlineStr">
        <is>
          <t>SWE</t>
        </is>
      </c>
      <c r="C9560" t="n">
        <v>2017</v>
      </c>
      <c r="D9560" t="n">
        <v>1.79449904665589</v>
      </c>
    </row>
    <row r="9561">
      <c r="A9561" t="inlineStr">
        <is>
          <t>Sweden</t>
        </is>
      </c>
      <c r="B9561" t="inlineStr">
        <is>
          <t>SWE</t>
        </is>
      </c>
      <c r="C9561" t="n">
        <v>2018</v>
      </c>
      <c r="D9561" t="n">
        <v>1.95353530127028</v>
      </c>
    </row>
    <row r="9562">
      <c r="A9562" t="inlineStr">
        <is>
          <t>Sweden</t>
        </is>
      </c>
      <c r="B9562" t="inlineStr">
        <is>
          <t>SWE</t>
        </is>
      </c>
      <c r="C9562" t="n">
        <v>2019</v>
      </c>
      <c r="D9562" t="n">
        <v>1.78415097403835</v>
      </c>
    </row>
    <row r="9563">
      <c r="A9563" t="inlineStr">
        <is>
          <t>Sweden</t>
        </is>
      </c>
      <c r="B9563" t="inlineStr">
        <is>
          <t>SWE</t>
        </is>
      </c>
      <c r="C9563" t="n">
        <v>2020</v>
      </c>
      <c r="D9563" t="n">
        <v>0.497367318853572</v>
      </c>
    </row>
    <row r="9564">
      <c r="A9564" t="inlineStr">
        <is>
          <t>Sweden</t>
        </is>
      </c>
      <c r="B9564" t="inlineStr">
        <is>
          <t>SWE</t>
        </is>
      </c>
      <c r="C9564" t="n">
        <v>2021</v>
      </c>
      <c r="D9564" t="n">
        <v>2.16319736447153</v>
      </c>
    </row>
    <row r="9565">
      <c r="A9565" t="inlineStr">
        <is>
          <t>Sweden</t>
        </is>
      </c>
      <c r="B9565" t="inlineStr">
        <is>
          <t>SWE</t>
        </is>
      </c>
      <c r="C9565" t="n">
        <v>2022</v>
      </c>
      <c r="D9565" t="n">
        <v>8.36929098869189</v>
      </c>
    </row>
    <row r="9566">
      <c r="A9566" t="inlineStr">
        <is>
          <t>Sweden</t>
        </is>
      </c>
      <c r="B9566" t="inlineStr">
        <is>
          <t>SWE</t>
        </is>
      </c>
      <c r="C9566" t="n">
        <v>2023</v>
      </c>
      <c r="D9566" t="n">
        <v>8.54862489748902</v>
      </c>
    </row>
    <row r="9567">
      <c r="A9567" t="inlineStr">
        <is>
          <t>Sweden</t>
        </is>
      </c>
      <c r="B9567" t="inlineStr">
        <is>
          <t>SWE</t>
        </is>
      </c>
      <c r="C9567" t="n">
        <v>2024</v>
      </c>
      <c r="D9567" t="n">
        <v>2.83581658224034</v>
      </c>
    </row>
    <row r="9568">
      <c r="A9568" t="inlineStr">
        <is>
          <t>Eswatini</t>
        </is>
      </c>
      <c r="B9568" t="inlineStr">
        <is>
          <t>SWZ</t>
        </is>
      </c>
      <c r="C9568" t="n">
        <v>1966</v>
      </c>
      <c r="D9568" t="n">
        <v>3.1775210084201</v>
      </c>
    </row>
    <row r="9569">
      <c r="A9569" t="inlineStr">
        <is>
          <t>Eswatini</t>
        </is>
      </c>
      <c r="B9569" t="inlineStr">
        <is>
          <t>SWZ</t>
        </is>
      </c>
      <c r="C9569" t="n">
        <v>1967</v>
      </c>
      <c r="D9569" t="n">
        <v>1.82404343794972</v>
      </c>
    </row>
    <row r="9570">
      <c r="A9570" t="inlineStr">
        <is>
          <t>Eswatini</t>
        </is>
      </c>
      <c r="B9570" t="inlineStr">
        <is>
          <t>SWZ</t>
        </is>
      </c>
      <c r="C9570" t="n">
        <v>1968</v>
      </c>
      <c r="D9570" t="n">
        <v>3.44942509524238</v>
      </c>
    </row>
    <row r="9571">
      <c r="A9571" t="inlineStr">
        <is>
          <t>Eswatini</t>
        </is>
      </c>
      <c r="B9571" t="inlineStr">
        <is>
          <t>SWZ</t>
        </is>
      </c>
      <c r="C9571" t="n">
        <v>1969</v>
      </c>
      <c r="D9571" t="n">
        <v>3.20554123770314</v>
      </c>
    </row>
    <row r="9572">
      <c r="A9572" t="inlineStr">
        <is>
          <t>Eswatini</t>
        </is>
      </c>
      <c r="B9572" t="inlineStr">
        <is>
          <t>SWZ</t>
        </is>
      </c>
      <c r="C9572" t="n">
        <v>1970</v>
      </c>
      <c r="D9572" t="n">
        <v>1.84953956571386</v>
      </c>
    </row>
    <row r="9573">
      <c r="A9573" t="inlineStr">
        <is>
          <t>Eswatini</t>
        </is>
      </c>
      <c r="B9573" t="inlineStr">
        <is>
          <t>SWZ</t>
        </is>
      </c>
      <c r="C9573" t="n">
        <v>1971</v>
      </c>
      <c r="D9573" t="n">
        <v>2.32166117555597</v>
      </c>
    </row>
    <row r="9574">
      <c r="A9574" t="inlineStr">
        <is>
          <t>Eswatini</t>
        </is>
      </c>
      <c r="B9574" t="inlineStr">
        <is>
          <t>SWZ</t>
        </is>
      </c>
      <c r="C9574" t="n">
        <v>1972</v>
      </c>
      <c r="D9574" t="n">
        <v>2.36633218489993</v>
      </c>
    </row>
    <row r="9575">
      <c r="A9575" t="inlineStr">
        <is>
          <t>Eswatini</t>
        </is>
      </c>
      <c r="B9575" t="inlineStr">
        <is>
          <t>SWZ</t>
        </is>
      </c>
      <c r="C9575" t="n">
        <v>1973</v>
      </c>
      <c r="D9575" t="n">
        <v>11.5435259696435</v>
      </c>
    </row>
    <row r="9576">
      <c r="A9576" t="inlineStr">
        <is>
          <t>Eswatini</t>
        </is>
      </c>
      <c r="B9576" t="inlineStr">
        <is>
          <t>SWZ</t>
        </is>
      </c>
      <c r="C9576" t="n">
        <v>1974</v>
      </c>
      <c r="D9576" t="n">
        <v>19.2877754456961</v>
      </c>
    </row>
    <row r="9577">
      <c r="A9577" t="inlineStr">
        <is>
          <t>Eswatini</t>
        </is>
      </c>
      <c r="B9577" t="inlineStr">
        <is>
          <t>SWZ</t>
        </is>
      </c>
      <c r="C9577" t="n">
        <v>1975</v>
      </c>
      <c r="D9577" t="n">
        <v>12.0457419321678</v>
      </c>
    </row>
    <row r="9578">
      <c r="A9578" t="inlineStr">
        <is>
          <t>Eswatini</t>
        </is>
      </c>
      <c r="B9578" t="inlineStr">
        <is>
          <t>SWZ</t>
        </is>
      </c>
      <c r="C9578" t="n">
        <v>1976</v>
      </c>
      <c r="D9578" t="n">
        <v>6.53091265949243</v>
      </c>
    </row>
    <row r="9579">
      <c r="A9579" t="inlineStr">
        <is>
          <t>Eswatini</t>
        </is>
      </c>
      <c r="B9579" t="inlineStr">
        <is>
          <t>SWZ</t>
        </is>
      </c>
      <c r="C9579" t="n">
        <v>1977</v>
      </c>
      <c r="D9579" t="n">
        <v>20.80512182762</v>
      </c>
    </row>
    <row r="9580">
      <c r="A9580" t="inlineStr">
        <is>
          <t>Eswatini</t>
        </is>
      </c>
      <c r="B9580" t="inlineStr">
        <is>
          <t>SWZ</t>
        </is>
      </c>
      <c r="C9580" t="n">
        <v>1978</v>
      </c>
      <c r="D9580" t="n">
        <v>8.51761476291623</v>
      </c>
    </row>
    <row r="9581">
      <c r="A9581" t="inlineStr">
        <is>
          <t>Eswatini</t>
        </is>
      </c>
      <c r="B9581" t="inlineStr">
        <is>
          <t>SWZ</t>
        </is>
      </c>
      <c r="C9581" t="n">
        <v>1979</v>
      </c>
      <c r="D9581" t="n">
        <v>16.4535169700762</v>
      </c>
    </row>
    <row r="9582">
      <c r="A9582" t="inlineStr">
        <is>
          <t>Eswatini</t>
        </is>
      </c>
      <c r="B9582" t="inlineStr">
        <is>
          <t>SWZ</t>
        </is>
      </c>
      <c r="C9582" t="n">
        <v>1980</v>
      </c>
      <c r="D9582" t="n">
        <v>18.6839754034956</v>
      </c>
    </row>
    <row r="9583">
      <c r="A9583" t="inlineStr">
        <is>
          <t>Eswatini</t>
        </is>
      </c>
      <c r="B9583" t="inlineStr">
        <is>
          <t>SWZ</t>
        </is>
      </c>
      <c r="C9583" t="n">
        <v>1981</v>
      </c>
      <c r="D9583" t="n">
        <v>20.0557966522539</v>
      </c>
    </row>
    <row r="9584">
      <c r="A9584" t="inlineStr">
        <is>
          <t>Eswatini</t>
        </is>
      </c>
      <c r="B9584" t="inlineStr">
        <is>
          <t>SWZ</t>
        </is>
      </c>
      <c r="C9584" t="n">
        <v>1982</v>
      </c>
      <c r="D9584" t="n">
        <v>10.8074213418412</v>
      </c>
    </row>
    <row r="9585">
      <c r="A9585" t="inlineStr">
        <is>
          <t>Eswatini</t>
        </is>
      </c>
      <c r="B9585" t="inlineStr">
        <is>
          <t>SWZ</t>
        </is>
      </c>
      <c r="C9585" t="n">
        <v>1983</v>
      </c>
      <c r="D9585" t="n">
        <v>11.5675243834069</v>
      </c>
    </row>
    <row r="9586">
      <c r="A9586" t="inlineStr">
        <is>
          <t>Eswatini</t>
        </is>
      </c>
      <c r="B9586" t="inlineStr">
        <is>
          <t>SWZ</t>
        </is>
      </c>
      <c r="C9586" t="n">
        <v>1984</v>
      </c>
      <c r="D9586" t="n">
        <v>12.9397266412726</v>
      </c>
    </row>
    <row r="9587">
      <c r="A9587" t="inlineStr">
        <is>
          <t>Eswatini</t>
        </is>
      </c>
      <c r="B9587" t="inlineStr">
        <is>
          <t>SWZ</t>
        </is>
      </c>
      <c r="C9587" t="n">
        <v>1985</v>
      </c>
      <c r="D9587" t="n">
        <v>20.4626334519576</v>
      </c>
    </row>
    <row r="9588">
      <c r="A9588" t="inlineStr">
        <is>
          <t>Eswatini</t>
        </is>
      </c>
      <c r="B9588" t="inlineStr">
        <is>
          <t>SWZ</t>
        </is>
      </c>
      <c r="C9588" t="n">
        <v>1986</v>
      </c>
      <c r="D9588" t="n">
        <v>13.7370753323486</v>
      </c>
    </row>
    <row r="9589">
      <c r="A9589" t="inlineStr">
        <is>
          <t>Eswatini</t>
        </is>
      </c>
      <c r="B9589" t="inlineStr">
        <is>
          <t>SWZ</t>
        </is>
      </c>
      <c r="C9589" t="n">
        <v>1987</v>
      </c>
      <c r="D9589" t="n">
        <v>13.3766233766228</v>
      </c>
    </row>
    <row r="9590">
      <c r="A9590" t="inlineStr">
        <is>
          <t>Eswatini</t>
        </is>
      </c>
      <c r="B9590" t="inlineStr">
        <is>
          <t>SWZ</t>
        </is>
      </c>
      <c r="C9590" t="n">
        <v>1988</v>
      </c>
      <c r="D9590" t="n">
        <v>20.3945622781115</v>
      </c>
    </row>
    <row r="9591">
      <c r="A9591" t="inlineStr">
        <is>
          <t>Eswatini</t>
        </is>
      </c>
      <c r="B9591" t="inlineStr">
        <is>
          <t>SWZ</t>
        </is>
      </c>
      <c r="C9591" t="n">
        <v>1989</v>
      </c>
      <c r="D9591" t="n">
        <v>7.54616477272771</v>
      </c>
    </row>
    <row r="9592">
      <c r="A9592" t="inlineStr">
        <is>
          <t>Eswatini</t>
        </is>
      </c>
      <c r="B9592" t="inlineStr">
        <is>
          <t>SWZ</t>
        </is>
      </c>
      <c r="C9592" t="n">
        <v>1990</v>
      </c>
      <c r="D9592" t="n">
        <v>13.0922899124981</v>
      </c>
    </row>
    <row r="9593">
      <c r="A9593" t="inlineStr">
        <is>
          <t>Eswatini</t>
        </is>
      </c>
      <c r="B9593" t="inlineStr">
        <is>
          <t>SWZ</t>
        </is>
      </c>
      <c r="C9593" t="n">
        <v>1991</v>
      </c>
      <c r="D9593" t="n">
        <v>8.93430656934288</v>
      </c>
    </row>
    <row r="9594">
      <c r="A9594" t="inlineStr">
        <is>
          <t>Eswatini</t>
        </is>
      </c>
      <c r="B9594" t="inlineStr">
        <is>
          <t>SWZ</t>
        </is>
      </c>
      <c r="C9594" t="n">
        <v>1992</v>
      </c>
      <c r="D9594" t="n">
        <v>7.55829536317337</v>
      </c>
    </row>
    <row r="9595">
      <c r="A9595" t="inlineStr">
        <is>
          <t>Eswatini</t>
        </is>
      </c>
      <c r="B9595" t="inlineStr">
        <is>
          <t>SWZ</t>
        </is>
      </c>
      <c r="C9595" t="n">
        <v>1993</v>
      </c>
      <c r="D9595" t="n">
        <v>12.0234238724148</v>
      </c>
    </row>
    <row r="9596">
      <c r="A9596" t="inlineStr">
        <is>
          <t>Eswatini</t>
        </is>
      </c>
      <c r="B9596" t="inlineStr">
        <is>
          <t>SWZ</t>
        </is>
      </c>
      <c r="C9596" t="n">
        <v>1994</v>
      </c>
      <c r="D9596" t="n">
        <v>13.7693248804359</v>
      </c>
    </row>
    <row r="9597">
      <c r="A9597" t="inlineStr">
        <is>
          <t>Eswatini</t>
        </is>
      </c>
      <c r="B9597" t="inlineStr">
        <is>
          <t>SWZ</t>
        </is>
      </c>
      <c r="C9597" t="n">
        <v>1995</v>
      </c>
      <c r="D9597" t="n">
        <v>12.2885912601426</v>
      </c>
    </row>
    <row r="9598">
      <c r="A9598" t="inlineStr">
        <is>
          <t>Eswatini</t>
        </is>
      </c>
      <c r="B9598" t="inlineStr">
        <is>
          <t>SWZ</t>
        </is>
      </c>
      <c r="C9598" t="n">
        <v>1996</v>
      </c>
      <c r="D9598" t="n">
        <v>6.42521330315218</v>
      </c>
    </row>
    <row r="9599">
      <c r="A9599" t="inlineStr">
        <is>
          <t>Eswatini</t>
        </is>
      </c>
      <c r="B9599" t="inlineStr">
        <is>
          <t>SWZ</t>
        </is>
      </c>
      <c r="C9599" t="n">
        <v>1997</v>
      </c>
      <c r="D9599" t="n">
        <v>7.12532722513057</v>
      </c>
    </row>
    <row r="9600">
      <c r="A9600" t="inlineStr">
        <is>
          <t>Eswatini</t>
        </is>
      </c>
      <c r="B9600" t="inlineStr">
        <is>
          <t>SWZ</t>
        </is>
      </c>
      <c r="C9600" t="n">
        <v>1998</v>
      </c>
      <c r="D9600" t="n">
        <v>8.10996563573863</v>
      </c>
    </row>
    <row r="9601">
      <c r="A9601" t="inlineStr">
        <is>
          <t>Eswatini</t>
        </is>
      </c>
      <c r="B9601" t="inlineStr">
        <is>
          <t>SWZ</t>
        </is>
      </c>
      <c r="C9601" t="n">
        <v>1999</v>
      </c>
      <c r="D9601" t="n">
        <v>6.08886063431493</v>
      </c>
    </row>
    <row r="9602">
      <c r="A9602" t="inlineStr">
        <is>
          <t>Eswatini</t>
        </is>
      </c>
      <c r="B9602" t="inlineStr">
        <is>
          <t>SWZ</t>
        </is>
      </c>
      <c r="C9602" t="n">
        <v>2000</v>
      </c>
      <c r="D9602" t="n">
        <v>12.2085358545844</v>
      </c>
    </row>
    <row r="9603">
      <c r="A9603" t="inlineStr">
        <is>
          <t>Eswatini</t>
        </is>
      </c>
      <c r="B9603" t="inlineStr">
        <is>
          <t>SWZ</t>
        </is>
      </c>
      <c r="C9603" t="n">
        <v>2001</v>
      </c>
      <c r="D9603" t="n">
        <v>5.94210982281648</v>
      </c>
    </row>
    <row r="9604">
      <c r="A9604" t="inlineStr">
        <is>
          <t>Eswatini</t>
        </is>
      </c>
      <c r="B9604" t="inlineStr">
        <is>
          <t>SWZ</t>
        </is>
      </c>
      <c r="C9604" t="n">
        <v>2002</v>
      </c>
      <c r="D9604" t="n">
        <v>12.0197154699232</v>
      </c>
    </row>
    <row r="9605">
      <c r="A9605" t="inlineStr">
        <is>
          <t>Eswatini</t>
        </is>
      </c>
      <c r="B9605" t="inlineStr">
        <is>
          <t>SWZ</t>
        </is>
      </c>
      <c r="C9605" t="n">
        <v>2003</v>
      </c>
      <c r="D9605" t="n">
        <v>7.28999999999999</v>
      </c>
    </row>
    <row r="9606">
      <c r="A9606" t="inlineStr">
        <is>
          <t>Eswatini</t>
        </is>
      </c>
      <c r="B9606" t="inlineStr">
        <is>
          <t>SWZ</t>
        </is>
      </c>
      <c r="C9606" t="n">
        <v>2004</v>
      </c>
      <c r="D9606" t="n">
        <v>3.44533507316614</v>
      </c>
    </row>
    <row r="9607">
      <c r="A9607" t="inlineStr">
        <is>
          <t>Eswatini</t>
        </is>
      </c>
      <c r="B9607" t="inlineStr">
        <is>
          <t>SWZ</t>
        </is>
      </c>
      <c r="C9607" t="n">
        <v>2005</v>
      </c>
      <c r="D9607" t="n">
        <v>4.77400404553712</v>
      </c>
    </row>
    <row r="9608">
      <c r="A9608" t="inlineStr">
        <is>
          <t>Eswatini</t>
        </is>
      </c>
      <c r="B9608" t="inlineStr">
        <is>
          <t>SWZ</t>
        </is>
      </c>
      <c r="C9608" t="n">
        <v>2006</v>
      </c>
      <c r="D9608" t="n">
        <v>5.30463946338728</v>
      </c>
    </row>
    <row r="9609">
      <c r="A9609" t="inlineStr">
        <is>
          <t>Eswatini</t>
        </is>
      </c>
      <c r="B9609" t="inlineStr">
        <is>
          <t>SWZ</t>
        </is>
      </c>
      <c r="C9609" t="n">
        <v>2007</v>
      </c>
      <c r="D9609" t="n">
        <v>8.07608827861589</v>
      </c>
    </row>
    <row r="9610">
      <c r="A9610" t="inlineStr">
        <is>
          <t>Eswatini</t>
        </is>
      </c>
      <c r="B9610" t="inlineStr">
        <is>
          <t>SWZ</t>
        </is>
      </c>
      <c r="C9610" t="n">
        <v>2008</v>
      </c>
      <c r="D9610" t="n">
        <v>12.6574601863915</v>
      </c>
    </row>
    <row r="9611">
      <c r="A9611" t="inlineStr">
        <is>
          <t>Eswatini</t>
        </is>
      </c>
      <c r="B9611" t="inlineStr">
        <is>
          <t>SWZ</t>
        </is>
      </c>
      <c r="C9611" t="n">
        <v>2009</v>
      </c>
      <c r="D9611" t="n">
        <v>7.44823423445754</v>
      </c>
    </row>
    <row r="9612">
      <c r="A9612" t="inlineStr">
        <is>
          <t>Eswatini</t>
        </is>
      </c>
      <c r="B9612" t="inlineStr">
        <is>
          <t>SWZ</t>
        </is>
      </c>
      <c r="C9612" t="n">
        <v>2010</v>
      </c>
      <c r="D9612" t="n">
        <v>4.50923691774369</v>
      </c>
    </row>
    <row r="9613">
      <c r="A9613" t="inlineStr">
        <is>
          <t>Eswatini</t>
        </is>
      </c>
      <c r="B9613" t="inlineStr">
        <is>
          <t>SWZ</t>
        </is>
      </c>
      <c r="C9613" t="n">
        <v>2011</v>
      </c>
      <c r="D9613" t="n">
        <v>6.10742714590251</v>
      </c>
    </row>
    <row r="9614">
      <c r="A9614" t="inlineStr">
        <is>
          <t>Eswatini</t>
        </is>
      </c>
      <c r="B9614" t="inlineStr">
        <is>
          <t>SWZ</t>
        </is>
      </c>
      <c r="C9614" t="n">
        <v>2012</v>
      </c>
      <c r="D9614" t="n">
        <v>8.93964682788212</v>
      </c>
    </row>
    <row r="9615">
      <c r="A9615" t="inlineStr">
        <is>
          <t>Eswatini</t>
        </is>
      </c>
      <c r="B9615" t="inlineStr">
        <is>
          <t>SWZ</t>
        </is>
      </c>
      <c r="C9615" t="n">
        <v>2013</v>
      </c>
      <c r="D9615" t="n">
        <v>5.62130623468948</v>
      </c>
    </row>
    <row r="9616">
      <c r="A9616" t="inlineStr">
        <is>
          <t>Eswatini</t>
        </is>
      </c>
      <c r="B9616" t="inlineStr">
        <is>
          <t>SWZ</t>
        </is>
      </c>
      <c r="C9616" t="n">
        <v>2014</v>
      </c>
      <c r="D9616" t="n">
        <v>5.68134885776447</v>
      </c>
    </row>
    <row r="9617">
      <c r="A9617" t="inlineStr">
        <is>
          <t>Eswatini</t>
        </is>
      </c>
      <c r="B9617" t="inlineStr">
        <is>
          <t>SWZ</t>
        </is>
      </c>
      <c r="C9617" t="n">
        <v>2015</v>
      </c>
      <c r="D9617" t="n">
        <v>4.95124493704919</v>
      </c>
    </row>
    <row r="9618">
      <c r="A9618" t="inlineStr">
        <is>
          <t>Eswatini</t>
        </is>
      </c>
      <c r="B9618" t="inlineStr">
        <is>
          <t>SWZ</t>
        </is>
      </c>
      <c r="C9618" t="n">
        <v>2016</v>
      </c>
      <c r="D9618" t="n">
        <v>7.8472745908568</v>
      </c>
    </row>
    <row r="9619">
      <c r="A9619" t="inlineStr">
        <is>
          <t>Eswatini</t>
        </is>
      </c>
      <c r="B9619" t="inlineStr">
        <is>
          <t>SWZ</t>
        </is>
      </c>
      <c r="C9619" t="n">
        <v>2017</v>
      </c>
      <c r="D9619" t="n">
        <v>6.22137528933118</v>
      </c>
    </row>
    <row r="9620">
      <c r="A9620" t="inlineStr">
        <is>
          <t>Eswatini</t>
        </is>
      </c>
      <c r="B9620" t="inlineStr">
        <is>
          <t>SWZ</t>
        </is>
      </c>
      <c r="C9620" t="n">
        <v>2018</v>
      </c>
      <c r="D9620" t="n">
        <v>4.81506167461513</v>
      </c>
    </row>
    <row r="9621">
      <c r="A9621" t="inlineStr">
        <is>
          <t>Eswatini</t>
        </is>
      </c>
      <c r="B9621" t="inlineStr">
        <is>
          <t>SWZ</t>
        </is>
      </c>
      <c r="C9621" t="n">
        <v>2019</v>
      </c>
      <c r="D9621" t="n">
        <v>2.59801620311077</v>
      </c>
    </row>
    <row r="9622">
      <c r="A9622" t="inlineStr">
        <is>
          <t>Sint Maarten (Dutch part)</t>
        </is>
      </c>
      <c r="B9622" t="inlineStr">
        <is>
          <t>SXM</t>
        </is>
      </c>
      <c r="C9622" t="n">
        <v>2006</v>
      </c>
      <c r="D9622" t="n">
        <v>0.300601202404805</v>
      </c>
    </row>
    <row r="9623">
      <c r="A9623" t="inlineStr">
        <is>
          <t>Sint Maarten (Dutch part)</t>
        </is>
      </c>
      <c r="B9623" t="inlineStr">
        <is>
          <t>SXM</t>
        </is>
      </c>
      <c r="C9623" t="n">
        <v>2007</v>
      </c>
      <c r="D9623" t="n">
        <v>4.43245754245754</v>
      </c>
    </row>
    <row r="9624">
      <c r="A9624" t="inlineStr">
        <is>
          <t>Sint Maarten (Dutch part)</t>
        </is>
      </c>
      <c r="B9624" t="inlineStr">
        <is>
          <t>SXM</t>
        </is>
      </c>
      <c r="C9624" t="n">
        <v>2008</v>
      </c>
      <c r="D9624" t="n">
        <v>-0.417929020080758</v>
      </c>
    </row>
    <row r="9625">
      <c r="A9625" t="inlineStr">
        <is>
          <t>Sint Maarten (Dutch part)</t>
        </is>
      </c>
      <c r="B9625" t="inlineStr">
        <is>
          <t>SXM</t>
        </is>
      </c>
      <c r="C9625" t="n">
        <v>2009</v>
      </c>
      <c r="D9625" t="n">
        <v>5.95763688760801</v>
      </c>
    </row>
    <row r="9626">
      <c r="A9626" t="inlineStr">
        <is>
          <t>Sint Maarten (Dutch part)</t>
        </is>
      </c>
      <c r="B9626" t="inlineStr">
        <is>
          <t>SXM</t>
        </is>
      </c>
      <c r="C9626" t="n">
        <v>2010</v>
      </c>
      <c r="D9626" t="n">
        <v>1.33857621672882</v>
      </c>
    </row>
    <row r="9627">
      <c r="A9627" t="inlineStr">
        <is>
          <t>Sint Maarten (Dutch part)</t>
        </is>
      </c>
      <c r="B9627" t="inlineStr">
        <is>
          <t>SXM</t>
        </is>
      </c>
      <c r="C9627" t="n">
        <v>2011</v>
      </c>
      <c r="D9627" t="n">
        <v>4.58475435650401</v>
      </c>
    </row>
    <row r="9628">
      <c r="A9628" t="inlineStr">
        <is>
          <t>Sint Maarten (Dutch part)</t>
        </is>
      </c>
      <c r="B9628" t="inlineStr">
        <is>
          <t>SXM</t>
        </is>
      </c>
      <c r="C9628" t="n">
        <v>2012</v>
      </c>
      <c r="D9628" t="n">
        <v>4.01518421081576</v>
      </c>
    </row>
    <row r="9629">
      <c r="A9629" t="inlineStr">
        <is>
          <t>Sint Maarten (Dutch part)</t>
        </is>
      </c>
      <c r="B9629" t="inlineStr">
        <is>
          <t>SXM</t>
        </is>
      </c>
      <c r="C9629" t="n">
        <v>2013</v>
      </c>
      <c r="D9629" t="n">
        <v>2.5286478853837</v>
      </c>
    </row>
    <row r="9630">
      <c r="A9630" t="inlineStr">
        <is>
          <t>Sint Maarten (Dutch part)</t>
        </is>
      </c>
      <c r="B9630" t="inlineStr">
        <is>
          <t>SXM</t>
        </is>
      </c>
      <c r="C9630" t="n">
        <v>2014</v>
      </c>
      <c r="D9630" t="n">
        <v>1.88675466275266</v>
      </c>
    </row>
    <row r="9631">
      <c r="A9631" t="inlineStr">
        <is>
          <t>Sint Maarten (Dutch part)</t>
        </is>
      </c>
      <c r="B9631" t="inlineStr">
        <is>
          <t>SXM</t>
        </is>
      </c>
      <c r="C9631" t="n">
        <v>2015</v>
      </c>
      <c r="D9631" t="n">
        <v>0.330027165141066</v>
      </c>
    </row>
    <row r="9632">
      <c r="A9632" t="inlineStr">
        <is>
          <t>Sint Maarten (Dutch part)</t>
        </is>
      </c>
      <c r="B9632" t="inlineStr">
        <is>
          <t>SXM</t>
        </is>
      </c>
      <c r="C9632" t="n">
        <v>2016</v>
      </c>
      <c r="D9632" t="n">
        <v>0.111682655737579</v>
      </c>
    </row>
    <row r="9633">
      <c r="A9633" t="inlineStr">
        <is>
          <t>Sint Maarten (Dutch part)</t>
        </is>
      </c>
      <c r="B9633" t="inlineStr">
        <is>
          <t>SXM</t>
        </is>
      </c>
      <c r="C9633" t="n">
        <v>2017</v>
      </c>
      <c r="D9633" t="n">
        <v>2.19201010962985</v>
      </c>
    </row>
    <row r="9634">
      <c r="A9634" t="inlineStr">
        <is>
          <t>Seychelles</t>
        </is>
      </c>
      <c r="B9634" t="inlineStr">
        <is>
          <t>SYC</t>
        </is>
      </c>
      <c r="C9634" t="n">
        <v>1971</v>
      </c>
      <c r="D9634" t="n">
        <v>14.5992928698164</v>
      </c>
    </row>
    <row r="9635">
      <c r="A9635" t="inlineStr">
        <is>
          <t>Seychelles</t>
        </is>
      </c>
      <c r="B9635" t="inlineStr">
        <is>
          <t>SYC</t>
        </is>
      </c>
      <c r="C9635" t="n">
        <v>1972</v>
      </c>
      <c r="D9635" t="n">
        <v>20.940994987157</v>
      </c>
    </row>
    <row r="9636">
      <c r="A9636" t="inlineStr">
        <is>
          <t>Seychelles</t>
        </is>
      </c>
      <c r="B9636" t="inlineStr">
        <is>
          <t>SYC</t>
        </is>
      </c>
      <c r="C9636" t="n">
        <v>1973</v>
      </c>
      <c r="D9636" t="n">
        <v>18.2397959188218</v>
      </c>
    </row>
    <row r="9637">
      <c r="A9637" t="inlineStr">
        <is>
          <t>Seychelles</t>
        </is>
      </c>
      <c r="B9637" t="inlineStr">
        <is>
          <t>SYC</t>
        </is>
      </c>
      <c r="C9637" t="n">
        <v>1974</v>
      </c>
      <c r="D9637" t="n">
        <v>24.4246673859205</v>
      </c>
    </row>
    <row r="9638">
      <c r="A9638" t="inlineStr">
        <is>
          <t>Seychelles</t>
        </is>
      </c>
      <c r="B9638" t="inlineStr">
        <is>
          <t>SYC</t>
        </is>
      </c>
      <c r="C9638" t="n">
        <v>1975</v>
      </c>
      <c r="D9638" t="n">
        <v>18.6113720103131</v>
      </c>
    </row>
    <row r="9639">
      <c r="A9639" t="inlineStr">
        <is>
          <t>Seychelles</t>
        </is>
      </c>
      <c r="B9639" t="inlineStr">
        <is>
          <t>SYC</t>
        </is>
      </c>
      <c r="C9639" t="n">
        <v>1976</v>
      </c>
      <c r="D9639" t="n">
        <v>14.8687336300478</v>
      </c>
    </row>
    <row r="9640">
      <c r="A9640" t="inlineStr">
        <is>
          <t>Seychelles</t>
        </is>
      </c>
      <c r="B9640" t="inlineStr">
        <is>
          <t>SYC</t>
        </is>
      </c>
      <c r="C9640" t="n">
        <v>1977</v>
      </c>
      <c r="D9640" t="n">
        <v>14.9591685227511</v>
      </c>
    </row>
    <row r="9641">
      <c r="A9641" t="inlineStr">
        <is>
          <t>Seychelles</t>
        </is>
      </c>
      <c r="B9641" t="inlineStr">
        <is>
          <t>SYC</t>
        </is>
      </c>
      <c r="C9641" t="n">
        <v>1978</v>
      </c>
      <c r="D9641" t="n">
        <v>11.7832512318923</v>
      </c>
    </row>
    <row r="9642">
      <c r="A9642" t="inlineStr">
        <is>
          <t>Seychelles</t>
        </is>
      </c>
      <c r="B9642" t="inlineStr">
        <is>
          <t>SYC</t>
        </is>
      </c>
      <c r="C9642" t="n">
        <v>1979</v>
      </c>
      <c r="D9642" t="n">
        <v>12.480169222314</v>
      </c>
    </row>
    <row r="9643">
      <c r="A9643" t="inlineStr">
        <is>
          <t>Seychelles</t>
        </is>
      </c>
      <c r="B9643" t="inlineStr">
        <is>
          <t>SYC</t>
        </is>
      </c>
      <c r="C9643" t="n">
        <v>1980</v>
      </c>
      <c r="D9643" t="n">
        <v>13.5715405108088</v>
      </c>
    </row>
    <row r="9644">
      <c r="A9644" t="inlineStr">
        <is>
          <t>Seychelles</t>
        </is>
      </c>
      <c r="B9644" t="inlineStr">
        <is>
          <t>SYC</t>
        </is>
      </c>
      <c r="C9644" t="n">
        <v>1981</v>
      </c>
      <c r="D9644" t="n">
        <v>10.5767903960918</v>
      </c>
    </row>
    <row r="9645">
      <c r="A9645" t="inlineStr">
        <is>
          <t>Seychelles</t>
        </is>
      </c>
      <c r="B9645" t="inlineStr">
        <is>
          <t>SYC</t>
        </is>
      </c>
      <c r="C9645" t="n">
        <v>1982</v>
      </c>
      <c r="D9645" t="n">
        <v>-0.9126466753585269</v>
      </c>
    </row>
    <row r="9646">
      <c r="A9646" t="inlineStr">
        <is>
          <t>Seychelles</t>
        </is>
      </c>
      <c r="B9646" t="inlineStr">
        <is>
          <t>SYC</t>
        </is>
      </c>
      <c r="C9646" t="n">
        <v>1983</v>
      </c>
      <c r="D9646" t="n">
        <v>6.05263157894738</v>
      </c>
    </row>
    <row r="9647">
      <c r="A9647" t="inlineStr">
        <is>
          <t>Seychelles</t>
        </is>
      </c>
      <c r="B9647" t="inlineStr">
        <is>
          <t>SYC</t>
        </is>
      </c>
      <c r="C9647" t="n">
        <v>1984</v>
      </c>
      <c r="D9647" t="n">
        <v>4.09429280397012</v>
      </c>
    </row>
    <row r="9648">
      <c r="A9648" t="inlineStr">
        <is>
          <t>Seychelles</t>
        </is>
      </c>
      <c r="B9648" t="inlineStr">
        <is>
          <t>SYC</t>
        </is>
      </c>
      <c r="C9648" t="n">
        <v>1985</v>
      </c>
      <c r="D9648" t="n">
        <v>0.8343265792610139</v>
      </c>
    </row>
    <row r="9649">
      <c r="A9649" t="inlineStr">
        <is>
          <t>Seychelles</t>
        </is>
      </c>
      <c r="B9649" t="inlineStr">
        <is>
          <t>SYC</t>
        </is>
      </c>
      <c r="C9649" t="n">
        <v>1986</v>
      </c>
      <c r="D9649" t="n">
        <v>0.236406619385411</v>
      </c>
    </row>
    <row r="9650">
      <c r="A9650" t="inlineStr">
        <is>
          <t>Seychelles</t>
        </is>
      </c>
      <c r="B9650" t="inlineStr">
        <is>
          <t>SYC</t>
        </is>
      </c>
      <c r="C9650" t="n">
        <v>1987</v>
      </c>
      <c r="D9650" t="n">
        <v>2.59433962264135</v>
      </c>
    </row>
    <row r="9651">
      <c r="A9651" t="inlineStr">
        <is>
          <t>Seychelles</t>
        </is>
      </c>
      <c r="B9651" t="inlineStr">
        <is>
          <t>SYC</t>
        </is>
      </c>
      <c r="C9651" t="n">
        <v>1988</v>
      </c>
      <c r="D9651" t="n">
        <v>1.8390804597701</v>
      </c>
    </row>
    <row r="9652">
      <c r="A9652" t="inlineStr">
        <is>
          <t>Seychelles</t>
        </is>
      </c>
      <c r="B9652" t="inlineStr">
        <is>
          <t>SYC</t>
        </is>
      </c>
      <c r="C9652" t="n">
        <v>1989</v>
      </c>
      <c r="D9652" t="n">
        <v>1.58013544018057</v>
      </c>
    </row>
    <row r="9653">
      <c r="A9653" t="inlineStr">
        <is>
          <t>Seychelles</t>
        </is>
      </c>
      <c r="B9653" t="inlineStr">
        <is>
          <t>SYC</t>
        </is>
      </c>
      <c r="C9653" t="n">
        <v>1990</v>
      </c>
      <c r="D9653" t="n">
        <v>3.88888888888912</v>
      </c>
    </row>
    <row r="9654">
      <c r="A9654" t="inlineStr">
        <is>
          <t>Seychelles</t>
        </is>
      </c>
      <c r="B9654" t="inlineStr">
        <is>
          <t>SYC</t>
        </is>
      </c>
      <c r="C9654" t="n">
        <v>1991</v>
      </c>
      <c r="D9654" t="n">
        <v>1.98675496688734</v>
      </c>
    </row>
    <row r="9655">
      <c r="A9655" t="inlineStr">
        <is>
          <t>Seychelles</t>
        </is>
      </c>
      <c r="B9655" t="inlineStr">
        <is>
          <t>SYC</t>
        </is>
      </c>
      <c r="C9655" t="n">
        <v>1992</v>
      </c>
      <c r="D9655" t="n">
        <v>3.24675324675323</v>
      </c>
    </row>
    <row r="9656">
      <c r="A9656" t="inlineStr">
        <is>
          <t>Seychelles</t>
        </is>
      </c>
      <c r="B9656" t="inlineStr">
        <is>
          <t>SYC</t>
        </is>
      </c>
      <c r="C9656" t="n">
        <v>1993</v>
      </c>
      <c r="D9656" t="n">
        <v>1.38364779874215</v>
      </c>
    </row>
    <row r="9657">
      <c r="A9657" t="inlineStr">
        <is>
          <t>Seychelles</t>
        </is>
      </c>
      <c r="B9657" t="inlineStr">
        <is>
          <t>SYC</t>
        </is>
      </c>
      <c r="C9657" t="n">
        <v>1994</v>
      </c>
      <c r="D9657" t="n">
        <v>1.73697270471464</v>
      </c>
    </row>
    <row r="9658">
      <c r="A9658" t="inlineStr">
        <is>
          <t>Seychelles</t>
        </is>
      </c>
      <c r="B9658" t="inlineStr">
        <is>
          <t>SYC</t>
        </is>
      </c>
      <c r="C9658" t="n">
        <v>1995</v>
      </c>
      <c r="D9658" t="n">
        <v>-0.243902439024459</v>
      </c>
    </row>
    <row r="9659">
      <c r="A9659" t="inlineStr">
        <is>
          <t>Seychelles</t>
        </is>
      </c>
      <c r="B9659" t="inlineStr">
        <is>
          <t>SYC</t>
        </is>
      </c>
      <c r="C9659" t="n">
        <v>1996</v>
      </c>
      <c r="D9659" t="n">
        <v>-1.10024449877743</v>
      </c>
    </row>
    <row r="9660">
      <c r="A9660" t="inlineStr">
        <is>
          <t>Seychelles</t>
        </is>
      </c>
      <c r="B9660" t="inlineStr">
        <is>
          <t>SYC</t>
        </is>
      </c>
      <c r="C9660" t="n">
        <v>1997</v>
      </c>
      <c r="D9660" t="n">
        <v>0.618046971569891</v>
      </c>
    </row>
    <row r="9661">
      <c r="A9661" t="inlineStr">
        <is>
          <t>Seychelles</t>
        </is>
      </c>
      <c r="B9661" t="inlineStr">
        <is>
          <t>SYC</t>
        </is>
      </c>
      <c r="C9661" t="n">
        <v>1998</v>
      </c>
      <c r="D9661" t="n">
        <v>2.57985257985242</v>
      </c>
    </row>
    <row r="9662">
      <c r="A9662" t="inlineStr">
        <is>
          <t>Seychelles</t>
        </is>
      </c>
      <c r="B9662" t="inlineStr">
        <is>
          <t>SYC</t>
        </is>
      </c>
      <c r="C9662" t="n">
        <v>1999</v>
      </c>
      <c r="D9662" t="n">
        <v>6.34730538922156</v>
      </c>
    </row>
    <row r="9663">
      <c r="A9663" t="inlineStr">
        <is>
          <t>Seychelles</t>
        </is>
      </c>
      <c r="B9663" t="inlineStr">
        <is>
          <t>SYC</t>
        </is>
      </c>
      <c r="C9663" t="n">
        <v>2000</v>
      </c>
      <c r="D9663" t="n">
        <v>6.26876876876878</v>
      </c>
    </row>
    <row r="9664">
      <c r="A9664" t="inlineStr">
        <is>
          <t>Seychelles</t>
        </is>
      </c>
      <c r="B9664" t="inlineStr">
        <is>
          <t>SYC</t>
        </is>
      </c>
      <c r="C9664" t="n">
        <v>2001</v>
      </c>
      <c r="D9664" t="n">
        <v>5.96962204168156</v>
      </c>
    </row>
    <row r="9665">
      <c r="A9665" t="inlineStr">
        <is>
          <t>Seychelles</t>
        </is>
      </c>
      <c r="B9665" t="inlineStr">
        <is>
          <t>SYC</t>
        </is>
      </c>
      <c r="C9665" t="n">
        <v>2002</v>
      </c>
      <c r="D9665" t="n">
        <v>0.174999999999924</v>
      </c>
    </row>
    <row r="9666">
      <c r="A9666" t="inlineStr">
        <is>
          <t>Seychelles</t>
        </is>
      </c>
      <c r="B9666" t="inlineStr">
        <is>
          <t>SYC</t>
        </is>
      </c>
      <c r="C9666" t="n">
        <v>2003</v>
      </c>
      <c r="D9666" t="n">
        <v>3.30255386407089</v>
      </c>
    </row>
    <row r="9667">
      <c r="A9667" t="inlineStr">
        <is>
          <t>Seychelles</t>
        </is>
      </c>
      <c r="B9667" t="inlineStr">
        <is>
          <t>SYC</t>
        </is>
      </c>
      <c r="C9667" t="n">
        <v>2004</v>
      </c>
      <c r="D9667" t="n">
        <v>3.85730391367399</v>
      </c>
    </row>
    <row r="9668">
      <c r="A9668" t="inlineStr">
        <is>
          <t>Seychelles</t>
        </is>
      </c>
      <c r="B9668" t="inlineStr">
        <is>
          <t>SYC</t>
        </is>
      </c>
      <c r="C9668" t="n">
        <v>2005</v>
      </c>
      <c r="D9668" t="n">
        <v>0.907187718073944</v>
      </c>
    </row>
    <row r="9669">
      <c r="A9669" t="inlineStr">
        <is>
          <t>Seychelles</t>
        </is>
      </c>
      <c r="B9669" t="inlineStr">
        <is>
          <t>SYC</t>
        </is>
      </c>
      <c r="C9669" t="n">
        <v>2006</v>
      </c>
      <c r="D9669" t="n">
        <v>-0.353465498693756</v>
      </c>
    </row>
    <row r="9670">
      <c r="A9670" t="inlineStr">
        <is>
          <t>Seychelles</t>
        </is>
      </c>
      <c r="B9670" t="inlineStr">
        <is>
          <t>SYC</t>
        </is>
      </c>
      <c r="C9670" t="n">
        <v>2007</v>
      </c>
      <c r="D9670" t="n">
        <v>5.32060027285142</v>
      </c>
    </row>
    <row r="9671">
      <c r="A9671" t="inlineStr">
        <is>
          <t>Seychelles</t>
        </is>
      </c>
      <c r="B9671" t="inlineStr">
        <is>
          <t>SYC</t>
        </is>
      </c>
      <c r="C9671" t="n">
        <v>2008</v>
      </c>
      <c r="D9671" t="n">
        <v>36.9647582875289</v>
      </c>
    </row>
    <row r="9672">
      <c r="A9672" t="inlineStr">
        <is>
          <t>Seychelles</t>
        </is>
      </c>
      <c r="B9672" t="inlineStr">
        <is>
          <t>SYC</t>
        </is>
      </c>
      <c r="C9672" t="n">
        <v>2009</v>
      </c>
      <c r="D9672" t="n">
        <v>31.7544407744178</v>
      </c>
    </row>
    <row r="9673">
      <c r="A9673" t="inlineStr">
        <is>
          <t>Seychelles</t>
        </is>
      </c>
      <c r="B9673" t="inlineStr">
        <is>
          <t>SYC</t>
        </is>
      </c>
      <c r="C9673" t="n">
        <v>2010</v>
      </c>
      <c r="D9673" t="n">
        <v>-2.40463875108227</v>
      </c>
    </row>
    <row r="9674">
      <c r="A9674" t="inlineStr">
        <is>
          <t>Seychelles</t>
        </is>
      </c>
      <c r="B9674" t="inlineStr">
        <is>
          <t>SYC</t>
        </is>
      </c>
      <c r="C9674" t="n">
        <v>2011</v>
      </c>
      <c r="D9674" t="n">
        <v>2.55926772230953</v>
      </c>
    </row>
    <row r="9675">
      <c r="A9675" t="inlineStr">
        <is>
          <t>Seychelles</t>
        </is>
      </c>
      <c r="B9675" t="inlineStr">
        <is>
          <t>SYC</t>
        </is>
      </c>
      <c r="C9675" t="n">
        <v>2012</v>
      </c>
      <c r="D9675" t="n">
        <v>7.11037062326403</v>
      </c>
    </row>
    <row r="9676">
      <c r="A9676" t="inlineStr">
        <is>
          <t>Seychelles</t>
        </is>
      </c>
      <c r="B9676" t="inlineStr">
        <is>
          <t>SYC</t>
        </is>
      </c>
      <c r="C9676" t="n">
        <v>2013</v>
      </c>
      <c r="D9676" t="n">
        <v>4.33893848329099</v>
      </c>
    </row>
    <row r="9677">
      <c r="A9677" t="inlineStr">
        <is>
          <t>Seychelles</t>
        </is>
      </c>
      <c r="B9677" t="inlineStr">
        <is>
          <t>SYC</t>
        </is>
      </c>
      <c r="C9677" t="n">
        <v>2014</v>
      </c>
      <c r="D9677" t="n">
        <v>1.38583454581263</v>
      </c>
    </row>
    <row r="9678">
      <c r="A9678" t="inlineStr">
        <is>
          <t>Seychelles</t>
        </is>
      </c>
      <c r="B9678" t="inlineStr">
        <is>
          <t>SYC</t>
        </is>
      </c>
      <c r="C9678" t="n">
        <v>2015</v>
      </c>
      <c r="D9678" t="n">
        <v>4.04194410725617</v>
      </c>
    </row>
    <row r="9679">
      <c r="A9679" t="inlineStr">
        <is>
          <t>Seychelles</t>
        </is>
      </c>
      <c r="B9679" t="inlineStr">
        <is>
          <t>SYC</t>
        </is>
      </c>
      <c r="C9679" t="n">
        <v>2016</v>
      </c>
      <c r="D9679" t="n">
        <v>-1.01548191697626</v>
      </c>
    </row>
    <row r="9680">
      <c r="A9680" t="inlineStr">
        <is>
          <t>Seychelles</t>
        </is>
      </c>
      <c r="B9680" t="inlineStr">
        <is>
          <t>SYC</t>
        </is>
      </c>
      <c r="C9680" t="n">
        <v>2017</v>
      </c>
      <c r="D9680" t="n">
        <v>2.85679575568437</v>
      </c>
    </row>
    <row r="9681">
      <c r="A9681" t="inlineStr">
        <is>
          <t>Seychelles</t>
        </is>
      </c>
      <c r="B9681" t="inlineStr">
        <is>
          <t>SYC</t>
        </is>
      </c>
      <c r="C9681" t="n">
        <v>2018</v>
      </c>
      <c r="D9681" t="n">
        <v>3.70291839111568</v>
      </c>
    </row>
    <row r="9682">
      <c r="A9682" t="inlineStr">
        <is>
          <t>Seychelles</t>
        </is>
      </c>
      <c r="B9682" t="inlineStr">
        <is>
          <t>SYC</t>
        </is>
      </c>
      <c r="C9682" t="n">
        <v>2019</v>
      </c>
      <c r="D9682" t="n">
        <v>1.80709400809982</v>
      </c>
    </row>
    <row r="9683">
      <c r="A9683" t="inlineStr">
        <is>
          <t>Seychelles</t>
        </is>
      </c>
      <c r="B9683" t="inlineStr">
        <is>
          <t>SYC</t>
        </is>
      </c>
      <c r="C9683" t="n">
        <v>2020</v>
      </c>
      <c r="D9683" t="n">
        <v>1.20266463987123</v>
      </c>
    </row>
    <row r="9684">
      <c r="A9684" t="inlineStr">
        <is>
          <t>Seychelles</t>
        </is>
      </c>
      <c r="B9684" t="inlineStr">
        <is>
          <t>SYC</t>
        </is>
      </c>
      <c r="C9684" t="n">
        <v>2021</v>
      </c>
      <c r="D9684" t="n">
        <v>9.76909936973542</v>
      </c>
    </row>
    <row r="9685">
      <c r="A9685" t="inlineStr">
        <is>
          <t>Seychelles</t>
        </is>
      </c>
      <c r="B9685" t="inlineStr">
        <is>
          <t>SYC</t>
        </is>
      </c>
      <c r="C9685" t="n">
        <v>2022</v>
      </c>
      <c r="D9685" t="n">
        <v>2.6260363285129</v>
      </c>
    </row>
    <row r="9686">
      <c r="A9686" t="inlineStr">
        <is>
          <t>Seychelles</t>
        </is>
      </c>
      <c r="B9686" t="inlineStr">
        <is>
          <t>SYC</t>
        </is>
      </c>
      <c r="C9686" t="n">
        <v>2023</v>
      </c>
      <c r="D9686" t="n">
        <v>-1.03530088431952</v>
      </c>
    </row>
    <row r="9687">
      <c r="A9687" t="inlineStr">
        <is>
          <t>Seychelles</t>
        </is>
      </c>
      <c r="B9687" t="inlineStr">
        <is>
          <t>SYC</t>
        </is>
      </c>
      <c r="C9687" t="n">
        <v>2024</v>
      </c>
      <c r="D9687" t="n">
        <v>0.311726050919668</v>
      </c>
    </row>
    <row r="9688">
      <c r="A9688" t="inlineStr">
        <is>
          <t>Syrian Arab Republic</t>
        </is>
      </c>
      <c r="B9688" t="inlineStr">
        <is>
          <t>SYR</t>
        </is>
      </c>
      <c r="C9688" t="n">
        <v>1960</v>
      </c>
      <c r="D9688" t="n">
        <v>5.11890951276099</v>
      </c>
    </row>
    <row r="9689">
      <c r="A9689" t="inlineStr">
        <is>
          <t>Syrian Arab Republic</t>
        </is>
      </c>
      <c r="B9689" t="inlineStr">
        <is>
          <t>SYR</t>
        </is>
      </c>
      <c r="C9689" t="n">
        <v>1961</v>
      </c>
      <c r="D9689" t="n">
        <v>1.95889088150075</v>
      </c>
    </row>
    <row r="9690">
      <c r="A9690" t="inlineStr">
        <is>
          <t>Syrian Arab Republic</t>
        </is>
      </c>
      <c r="B9690" t="inlineStr">
        <is>
          <t>SYR</t>
        </is>
      </c>
      <c r="C9690" t="n">
        <v>1962</v>
      </c>
      <c r="D9690" t="n">
        <v>-3.8461538461533</v>
      </c>
    </row>
    <row r="9691">
      <c r="A9691" t="inlineStr">
        <is>
          <t>Syrian Arab Republic</t>
        </is>
      </c>
      <c r="B9691" t="inlineStr">
        <is>
          <t>SYR</t>
        </is>
      </c>
      <c r="C9691" t="n">
        <v>1963</v>
      </c>
      <c r="D9691" t="n">
        <v>1.91666666666659</v>
      </c>
    </row>
    <row r="9692">
      <c r="A9692" t="inlineStr">
        <is>
          <t>Syrian Arab Republic</t>
        </is>
      </c>
      <c r="B9692" t="inlineStr">
        <is>
          <t>SYR</t>
        </is>
      </c>
      <c r="C9692" t="n">
        <v>1964</v>
      </c>
      <c r="D9692" t="n">
        <v>5.39656582175021</v>
      </c>
    </row>
    <row r="9693">
      <c r="A9693" t="inlineStr">
        <is>
          <t>Syrian Arab Republic</t>
        </is>
      </c>
      <c r="B9693" t="inlineStr">
        <is>
          <t>SYR</t>
        </is>
      </c>
      <c r="C9693" t="n">
        <v>1965</v>
      </c>
      <c r="D9693" t="n">
        <v>-3.87897595034945</v>
      </c>
    </row>
    <row r="9694">
      <c r="A9694" t="inlineStr">
        <is>
          <t>Syrian Arab Republic</t>
        </is>
      </c>
      <c r="B9694" t="inlineStr">
        <is>
          <t>SYR</t>
        </is>
      </c>
      <c r="C9694" t="n">
        <v>1966</v>
      </c>
      <c r="D9694" t="n">
        <v>3.79338175948378</v>
      </c>
    </row>
    <row r="9695">
      <c r="A9695" t="inlineStr">
        <is>
          <t>Syrian Arab Republic</t>
        </is>
      </c>
      <c r="B9695" t="inlineStr">
        <is>
          <t>SYR</t>
        </is>
      </c>
      <c r="C9695" t="n">
        <v>1967</v>
      </c>
      <c r="D9695" t="n">
        <v>6.45412130637526</v>
      </c>
    </row>
    <row r="9696">
      <c r="A9696" t="inlineStr">
        <is>
          <t>Syrian Arab Republic</t>
        </is>
      </c>
      <c r="B9696" t="inlineStr">
        <is>
          <t>SYR</t>
        </is>
      </c>
      <c r="C9696" t="n">
        <v>1968</v>
      </c>
      <c r="D9696" t="n">
        <v>2.84879474068662</v>
      </c>
    </row>
    <row r="9697">
      <c r="A9697" t="inlineStr">
        <is>
          <t>Syrian Arab Republic</t>
        </is>
      </c>
      <c r="B9697" t="inlineStr">
        <is>
          <t>SYR</t>
        </is>
      </c>
      <c r="C9697" t="n">
        <v>1969</v>
      </c>
      <c r="D9697" t="n">
        <v>-1.98863636363599</v>
      </c>
    </row>
    <row r="9698">
      <c r="A9698" t="inlineStr">
        <is>
          <t>Syrian Arab Republic</t>
        </is>
      </c>
      <c r="B9698" t="inlineStr">
        <is>
          <t>SYR</t>
        </is>
      </c>
      <c r="C9698" t="n">
        <v>1970</v>
      </c>
      <c r="D9698" t="n">
        <v>4.63768115941983</v>
      </c>
    </row>
    <row r="9699">
      <c r="A9699" t="inlineStr">
        <is>
          <t>Syrian Arab Republic</t>
        </is>
      </c>
      <c r="B9699" t="inlineStr">
        <is>
          <t>SYR</t>
        </is>
      </c>
      <c r="C9699" t="n">
        <v>1971</v>
      </c>
      <c r="D9699" t="n">
        <v>5.6094182825485</v>
      </c>
    </row>
    <row r="9700">
      <c r="A9700" t="inlineStr">
        <is>
          <t>Syrian Arab Republic</t>
        </is>
      </c>
      <c r="B9700" t="inlineStr">
        <is>
          <t>SYR</t>
        </is>
      </c>
      <c r="C9700" t="n">
        <v>1972</v>
      </c>
      <c r="D9700" t="n">
        <v>2.09836065573833</v>
      </c>
    </row>
    <row r="9701">
      <c r="A9701" t="inlineStr">
        <is>
          <t>Syrian Arab Republic</t>
        </is>
      </c>
      <c r="B9701" t="inlineStr">
        <is>
          <t>SYR</t>
        </is>
      </c>
      <c r="C9701" t="n">
        <v>1973</v>
      </c>
      <c r="D9701" t="n">
        <v>20.3596660244059</v>
      </c>
    </row>
    <row r="9702">
      <c r="A9702" t="inlineStr">
        <is>
          <t>Syrian Arab Republic</t>
        </is>
      </c>
      <c r="B9702" t="inlineStr">
        <is>
          <t>SYR</t>
        </is>
      </c>
      <c r="C9702" t="n">
        <v>1974</v>
      </c>
      <c r="D9702" t="n">
        <v>15.5282817502668</v>
      </c>
    </row>
    <row r="9703">
      <c r="A9703" t="inlineStr">
        <is>
          <t>Syrian Arab Republic</t>
        </is>
      </c>
      <c r="B9703" t="inlineStr">
        <is>
          <t>SYR</t>
        </is>
      </c>
      <c r="C9703" t="n">
        <v>1975</v>
      </c>
      <c r="D9703" t="n">
        <v>11.4649681528663</v>
      </c>
    </row>
    <row r="9704">
      <c r="A9704" t="inlineStr">
        <is>
          <t>Syrian Arab Republic</t>
        </is>
      </c>
      <c r="B9704" t="inlineStr">
        <is>
          <t>SYR</t>
        </is>
      </c>
      <c r="C9704" t="n">
        <v>1976</v>
      </c>
      <c r="D9704" t="n">
        <v>11.4285714285715</v>
      </c>
    </row>
    <row r="9705">
      <c r="A9705" t="inlineStr">
        <is>
          <t>Syrian Arab Republic</t>
        </is>
      </c>
      <c r="B9705" t="inlineStr">
        <is>
          <t>SYR</t>
        </is>
      </c>
      <c r="C9705" t="n">
        <v>1977</v>
      </c>
      <c r="D9705" t="n">
        <v>11.9658119658116</v>
      </c>
    </row>
    <row r="9706">
      <c r="A9706" t="inlineStr">
        <is>
          <t>Syrian Arab Republic</t>
        </is>
      </c>
      <c r="B9706" t="inlineStr">
        <is>
          <t>SYR</t>
        </is>
      </c>
      <c r="C9706" t="n">
        <v>1978</v>
      </c>
      <c r="D9706" t="n">
        <v>4.80916030534371</v>
      </c>
    </row>
    <row r="9707">
      <c r="A9707" t="inlineStr">
        <is>
          <t>Syrian Arab Republic</t>
        </is>
      </c>
      <c r="B9707" t="inlineStr">
        <is>
          <t>SYR</t>
        </is>
      </c>
      <c r="C9707" t="n">
        <v>1979</v>
      </c>
      <c r="D9707" t="n">
        <v>4.55207574654038</v>
      </c>
    </row>
    <row r="9708">
      <c r="A9708" t="inlineStr">
        <is>
          <t>Syrian Arab Republic</t>
        </is>
      </c>
      <c r="B9708" t="inlineStr">
        <is>
          <t>SYR</t>
        </is>
      </c>
      <c r="C9708" t="n">
        <v>1980</v>
      </c>
      <c r="D9708" t="n">
        <v>19.2964123998608</v>
      </c>
    </row>
    <row r="9709">
      <c r="A9709" t="inlineStr">
        <is>
          <t>Syrian Arab Republic</t>
        </is>
      </c>
      <c r="B9709" t="inlineStr">
        <is>
          <t>SYR</t>
        </is>
      </c>
      <c r="C9709" t="n">
        <v>1981</v>
      </c>
      <c r="D9709" t="n">
        <v>18.3941605839417</v>
      </c>
    </row>
    <row r="9710">
      <c r="A9710" t="inlineStr">
        <is>
          <t>Syrian Arab Republic</t>
        </is>
      </c>
      <c r="B9710" t="inlineStr">
        <is>
          <t>SYR</t>
        </is>
      </c>
      <c r="C9710" t="n">
        <v>1982</v>
      </c>
      <c r="D9710" t="n">
        <v>14.3033292231811</v>
      </c>
    </row>
    <row r="9711">
      <c r="A9711" t="inlineStr">
        <is>
          <t>Syrian Arab Republic</t>
        </is>
      </c>
      <c r="B9711" t="inlineStr">
        <is>
          <t>SYR</t>
        </is>
      </c>
      <c r="C9711" t="n">
        <v>1983</v>
      </c>
      <c r="D9711" t="n">
        <v>6.1272923408846</v>
      </c>
    </row>
    <row r="9712">
      <c r="A9712" t="inlineStr">
        <is>
          <t>Syrian Arab Republic</t>
        </is>
      </c>
      <c r="B9712" t="inlineStr">
        <is>
          <t>SYR</t>
        </is>
      </c>
      <c r="C9712" t="n">
        <v>1984</v>
      </c>
      <c r="D9712" t="n">
        <v>9.229518194754959</v>
      </c>
    </row>
    <row r="9713">
      <c r="A9713" t="inlineStr">
        <is>
          <t>Syrian Arab Republic</t>
        </is>
      </c>
      <c r="B9713" t="inlineStr">
        <is>
          <t>SYR</t>
        </is>
      </c>
      <c r="C9713" t="n">
        <v>1985</v>
      </c>
      <c r="D9713" t="n">
        <v>17.2529313232832</v>
      </c>
    </row>
    <row r="9714">
      <c r="A9714" t="inlineStr">
        <is>
          <t>Syrian Arab Republic</t>
        </is>
      </c>
      <c r="B9714" t="inlineStr">
        <is>
          <t>SYR</t>
        </is>
      </c>
      <c r="C9714" t="n">
        <v>1986</v>
      </c>
      <c r="D9714" t="n">
        <v>36.0634920634916</v>
      </c>
    </row>
    <row r="9715">
      <c r="A9715" t="inlineStr">
        <is>
          <t>Syrian Arab Republic</t>
        </is>
      </c>
      <c r="B9715" t="inlineStr">
        <is>
          <t>SYR</t>
        </is>
      </c>
      <c r="C9715" t="n">
        <v>1987</v>
      </c>
      <c r="D9715" t="n">
        <v>59.4843677088198</v>
      </c>
    </row>
    <row r="9716">
      <c r="A9716" t="inlineStr">
        <is>
          <t>Syrian Arab Republic</t>
        </is>
      </c>
      <c r="B9716" t="inlineStr">
        <is>
          <t>SYR</t>
        </is>
      </c>
      <c r="C9716" t="n">
        <v>1988</v>
      </c>
      <c r="D9716" t="n">
        <v>34.562211981567</v>
      </c>
    </row>
    <row r="9717">
      <c r="A9717" t="inlineStr">
        <is>
          <t>Syrian Arab Republic</t>
        </is>
      </c>
      <c r="B9717" t="inlineStr">
        <is>
          <t>SYR</t>
        </is>
      </c>
      <c r="C9717" t="n">
        <v>1989</v>
      </c>
      <c r="D9717" t="n">
        <v>11.3992172211349</v>
      </c>
    </row>
    <row r="9718">
      <c r="A9718" t="inlineStr">
        <is>
          <t>Syrian Arab Republic</t>
        </is>
      </c>
      <c r="B9718" t="inlineStr">
        <is>
          <t>SYR</t>
        </is>
      </c>
      <c r="C9718" t="n">
        <v>1990</v>
      </c>
      <c r="D9718" t="n">
        <v>19.3968672229543</v>
      </c>
    </row>
    <row r="9719">
      <c r="A9719" t="inlineStr">
        <is>
          <t>Syrian Arab Republic</t>
        </is>
      </c>
      <c r="B9719" t="inlineStr">
        <is>
          <t>SYR</t>
        </is>
      </c>
      <c r="C9719" t="n">
        <v>1991</v>
      </c>
      <c r="D9719" t="n">
        <v>9.00000000000003</v>
      </c>
    </row>
    <row r="9720">
      <c r="A9720" t="inlineStr">
        <is>
          <t>Syrian Arab Republic</t>
        </is>
      </c>
      <c r="B9720" t="inlineStr">
        <is>
          <t>SYR</t>
        </is>
      </c>
      <c r="C9720" t="n">
        <v>1992</v>
      </c>
      <c r="D9720" t="n">
        <v>11.0091743119265</v>
      </c>
    </row>
    <row r="9721">
      <c r="A9721" t="inlineStr">
        <is>
          <t>Syrian Arab Republic</t>
        </is>
      </c>
      <c r="B9721" t="inlineStr">
        <is>
          <t>SYR</t>
        </is>
      </c>
      <c r="C9721" t="n">
        <v>1993</v>
      </c>
      <c r="D9721" t="n">
        <v>13.2231404958679</v>
      </c>
    </row>
    <row r="9722">
      <c r="A9722" t="inlineStr">
        <is>
          <t>Syrian Arab Republic</t>
        </is>
      </c>
      <c r="B9722" t="inlineStr">
        <is>
          <t>SYR</t>
        </is>
      </c>
      <c r="C9722" t="n">
        <v>1994</v>
      </c>
      <c r="D9722" t="n">
        <v>15.3284671532846</v>
      </c>
    </row>
    <row r="9723">
      <c r="A9723" t="inlineStr">
        <is>
          <t>Syrian Arab Republic</t>
        </is>
      </c>
      <c r="B9723" t="inlineStr">
        <is>
          <t>SYR</t>
        </is>
      </c>
      <c r="C9723" t="n">
        <v>1995</v>
      </c>
      <c r="D9723" t="n">
        <v>7.97995780590686</v>
      </c>
    </row>
    <row r="9724">
      <c r="A9724" t="inlineStr">
        <is>
          <t>Syrian Arab Republic</t>
        </is>
      </c>
      <c r="B9724" t="inlineStr">
        <is>
          <t>SYR</t>
        </is>
      </c>
      <c r="C9724" t="n">
        <v>1996</v>
      </c>
      <c r="D9724" t="n">
        <v>8.249890099155101</v>
      </c>
    </row>
    <row r="9725">
      <c r="A9725" t="inlineStr">
        <is>
          <t>Syrian Arab Republic</t>
        </is>
      </c>
      <c r="B9725" t="inlineStr">
        <is>
          <t>SYR</t>
        </is>
      </c>
      <c r="C9725" t="n">
        <v>1997</v>
      </c>
      <c r="D9725" t="n">
        <v>1.88611136179086</v>
      </c>
    </row>
    <row r="9726">
      <c r="A9726" t="inlineStr">
        <is>
          <t>Syrian Arab Republic</t>
        </is>
      </c>
      <c r="B9726" t="inlineStr">
        <is>
          <t>SYR</t>
        </is>
      </c>
      <c r="C9726" t="n">
        <v>1998</v>
      </c>
      <c r="D9726" t="n">
        <v>-0.797165633303916</v>
      </c>
    </row>
    <row r="9727">
      <c r="A9727" t="inlineStr">
        <is>
          <t>Syrian Arab Republic</t>
        </is>
      </c>
      <c r="B9727" t="inlineStr">
        <is>
          <t>SYR</t>
        </is>
      </c>
      <c r="C9727" t="n">
        <v>1999</v>
      </c>
      <c r="D9727" t="n">
        <v>-3.70370370370365</v>
      </c>
    </row>
    <row r="9728">
      <c r="A9728" t="inlineStr">
        <is>
          <t>Syrian Arab Republic</t>
        </is>
      </c>
      <c r="B9728" t="inlineStr">
        <is>
          <t>SYR</t>
        </is>
      </c>
      <c r="C9728" t="n">
        <v>2000</v>
      </c>
      <c r="D9728" t="n">
        <v>-3.84615384615379</v>
      </c>
    </row>
    <row r="9729">
      <c r="A9729" t="inlineStr">
        <is>
          <t>Syrian Arab Republic</t>
        </is>
      </c>
      <c r="B9729" t="inlineStr">
        <is>
          <t>SYR</t>
        </is>
      </c>
      <c r="C9729" t="n">
        <v>2001</v>
      </c>
      <c r="D9729" t="n">
        <v>2.99999999999995</v>
      </c>
    </row>
    <row r="9730">
      <c r="A9730" t="inlineStr">
        <is>
          <t>Syrian Arab Republic</t>
        </is>
      </c>
      <c r="B9730" t="inlineStr">
        <is>
          <t>SYR</t>
        </is>
      </c>
      <c r="C9730" t="n">
        <v>2002</v>
      </c>
      <c r="D9730" t="n">
        <v>-0.130505282417402</v>
      </c>
    </row>
    <row r="9731">
      <c r="A9731" t="inlineStr">
        <is>
          <t>Syrian Arab Republic</t>
        </is>
      </c>
      <c r="B9731" t="inlineStr">
        <is>
          <t>SYR</t>
        </is>
      </c>
      <c r="C9731" t="n">
        <v>2003</v>
      </c>
      <c r="D9731" t="n">
        <v>5.79682944905841</v>
      </c>
    </row>
    <row r="9732">
      <c r="A9732" t="inlineStr">
        <is>
          <t>Syrian Arab Republic</t>
        </is>
      </c>
      <c r="B9732" t="inlineStr">
        <is>
          <t>SYR</t>
        </is>
      </c>
      <c r="C9732" t="n">
        <v>2004</v>
      </c>
      <c r="D9732" t="n">
        <v>4.43314136719839</v>
      </c>
    </row>
    <row r="9733">
      <c r="A9733" t="inlineStr">
        <is>
          <t>Syrian Arab Republic</t>
        </is>
      </c>
      <c r="B9733" t="inlineStr">
        <is>
          <t>SYR</t>
        </is>
      </c>
      <c r="C9733" t="n">
        <v>2005</v>
      </c>
      <c r="D9733" t="n">
        <v>7.24034939348535</v>
      </c>
    </row>
    <row r="9734">
      <c r="A9734" t="inlineStr">
        <is>
          <t>Syrian Arab Republic</t>
        </is>
      </c>
      <c r="B9734" t="inlineStr">
        <is>
          <t>SYR</t>
        </is>
      </c>
      <c r="C9734" t="n">
        <v>2006</v>
      </c>
      <c r="D9734" t="n">
        <v>10.0241105377571</v>
      </c>
    </row>
    <row r="9735">
      <c r="A9735" t="inlineStr">
        <is>
          <t>Syrian Arab Republic</t>
        </is>
      </c>
      <c r="B9735" t="inlineStr">
        <is>
          <t>SYR</t>
        </is>
      </c>
      <c r="C9735" t="n">
        <v>2007</v>
      </c>
      <c r="D9735" t="n">
        <v>3.90770950443607</v>
      </c>
    </row>
    <row r="9736">
      <c r="A9736" t="inlineStr">
        <is>
          <t>Syrian Arab Republic</t>
        </is>
      </c>
      <c r="B9736" t="inlineStr">
        <is>
          <t>SYR</t>
        </is>
      </c>
      <c r="C9736" t="n">
        <v>2008</v>
      </c>
      <c r="D9736" t="n">
        <v>15.7453252219709</v>
      </c>
    </row>
    <row r="9737">
      <c r="A9737" t="inlineStr">
        <is>
          <t>Syrian Arab Republic</t>
        </is>
      </c>
      <c r="B9737" t="inlineStr">
        <is>
          <t>SYR</t>
        </is>
      </c>
      <c r="C9737" t="n">
        <v>2009</v>
      </c>
      <c r="D9737" t="n">
        <v>2.92089711805367</v>
      </c>
    </row>
    <row r="9738">
      <c r="A9738" t="inlineStr">
        <is>
          <t>Syrian Arab Republic</t>
        </is>
      </c>
      <c r="B9738" t="inlineStr">
        <is>
          <t>SYR</t>
        </is>
      </c>
      <c r="C9738" t="n">
        <v>2010</v>
      </c>
      <c r="D9738" t="n">
        <v>4.3974138315007</v>
      </c>
    </row>
    <row r="9739">
      <c r="A9739" t="inlineStr">
        <is>
          <t>Syrian Arab Republic</t>
        </is>
      </c>
      <c r="B9739" t="inlineStr">
        <is>
          <t>SYR</t>
        </is>
      </c>
      <c r="C9739" t="n">
        <v>2011</v>
      </c>
      <c r="D9739" t="n">
        <v>4.7531638888563</v>
      </c>
    </row>
    <row r="9740">
      <c r="A9740" t="inlineStr">
        <is>
          <t>Syrian Arab Republic</t>
        </is>
      </c>
      <c r="B9740" t="inlineStr">
        <is>
          <t>SYR</t>
        </is>
      </c>
      <c r="C9740" t="n">
        <v>2012</v>
      </c>
      <c r="D9740" t="n">
        <v>36.7022953364139</v>
      </c>
    </row>
    <row r="9741">
      <c r="A9741" t="inlineStr">
        <is>
          <t>Syrian Arab Republic</t>
        </is>
      </c>
      <c r="B9741" t="inlineStr">
        <is>
          <t>SYR</t>
        </is>
      </c>
      <c r="C9741" t="n">
        <v>2013</v>
      </c>
      <c r="D9741" t="n">
        <v>40.0318378290723</v>
      </c>
    </row>
    <row r="9742">
      <c r="A9742" t="inlineStr">
        <is>
          <t>Syrian Arab Republic</t>
        </is>
      </c>
      <c r="B9742" t="inlineStr">
        <is>
          <t>SYR</t>
        </is>
      </c>
      <c r="C9742" t="n">
        <v>2014</v>
      </c>
      <c r="D9742" t="n">
        <v>10.9271141804297</v>
      </c>
    </row>
    <row r="9743">
      <c r="A9743" t="inlineStr">
        <is>
          <t>Syrian Arab Republic</t>
        </is>
      </c>
      <c r="B9743" t="inlineStr">
        <is>
          <t>SYR</t>
        </is>
      </c>
      <c r="C9743" t="n">
        <v>2015</v>
      </c>
      <c r="D9743" t="n">
        <v>38.4611429599733</v>
      </c>
    </row>
    <row r="9744">
      <c r="A9744" t="inlineStr">
        <is>
          <t>Syrian Arab Republic</t>
        </is>
      </c>
      <c r="B9744" t="inlineStr">
        <is>
          <t>SYR</t>
        </is>
      </c>
      <c r="C9744" t="n">
        <v>2016</v>
      </c>
      <c r="D9744" t="n">
        <v>47.7051615298923</v>
      </c>
    </row>
    <row r="9745">
      <c r="A9745" t="inlineStr">
        <is>
          <t>Syrian Arab Republic</t>
        </is>
      </c>
      <c r="B9745" t="inlineStr">
        <is>
          <t>SYR</t>
        </is>
      </c>
      <c r="C9745" t="n">
        <v>2017</v>
      </c>
      <c r="D9745" t="n">
        <v>18.0752696281771</v>
      </c>
    </row>
    <row r="9746">
      <c r="A9746" t="inlineStr">
        <is>
          <t>Syrian Arab Republic</t>
        </is>
      </c>
      <c r="B9746" t="inlineStr">
        <is>
          <t>SYR</t>
        </is>
      </c>
      <c r="C9746" t="n">
        <v>2018</v>
      </c>
      <c r="D9746" t="n">
        <v>0.940983843906769</v>
      </c>
    </row>
    <row r="9747">
      <c r="A9747" t="inlineStr">
        <is>
          <t>Syrian Arab Republic</t>
        </is>
      </c>
      <c r="B9747" t="inlineStr">
        <is>
          <t>SYR</t>
        </is>
      </c>
      <c r="C9747" t="n">
        <v>2019</v>
      </c>
      <c r="D9747" t="n">
        <v>13.4175653228571</v>
      </c>
    </row>
    <row r="9748">
      <c r="A9748" t="inlineStr">
        <is>
          <t>Chad</t>
        </is>
      </c>
      <c r="B9748" t="inlineStr">
        <is>
          <t>TCD</t>
        </is>
      </c>
      <c r="C9748" t="n">
        <v>1984</v>
      </c>
      <c r="D9748" t="n">
        <v>20.2508960573479</v>
      </c>
    </row>
    <row r="9749">
      <c r="A9749" t="inlineStr">
        <is>
          <t>Chad</t>
        </is>
      </c>
      <c r="B9749" t="inlineStr">
        <is>
          <t>TCD</t>
        </is>
      </c>
      <c r="C9749" t="n">
        <v>1985</v>
      </c>
      <c r="D9749" t="n">
        <v>5.15399900645818</v>
      </c>
    </row>
    <row r="9750">
      <c r="A9750" t="inlineStr">
        <is>
          <t>Chad</t>
        </is>
      </c>
      <c r="B9750" t="inlineStr">
        <is>
          <t>TCD</t>
        </is>
      </c>
      <c r="C9750" t="n">
        <v>1986</v>
      </c>
      <c r="D9750" t="n">
        <v>-13.0565725758829</v>
      </c>
    </row>
    <row r="9751">
      <c r="A9751" t="inlineStr">
        <is>
          <t>Chad</t>
        </is>
      </c>
      <c r="B9751" t="inlineStr">
        <is>
          <t>TCD</t>
        </is>
      </c>
      <c r="C9751" t="n">
        <v>1987</v>
      </c>
      <c r="D9751" t="n">
        <v>-5.97484276729554</v>
      </c>
    </row>
    <row r="9752">
      <c r="A9752" t="inlineStr">
        <is>
          <t>Chad</t>
        </is>
      </c>
      <c r="B9752" t="inlineStr">
        <is>
          <t>TCD</t>
        </is>
      </c>
      <c r="C9752" t="n">
        <v>1988</v>
      </c>
      <c r="D9752" t="n">
        <v>15.4775176514303</v>
      </c>
    </row>
    <row r="9753">
      <c r="A9753" t="inlineStr">
        <is>
          <t>Chad</t>
        </is>
      </c>
      <c r="B9753" t="inlineStr">
        <is>
          <t>TCD</t>
        </is>
      </c>
      <c r="C9753" t="n">
        <v>1989</v>
      </c>
      <c r="D9753" t="n">
        <v>-3.68913460441471</v>
      </c>
    </row>
    <row r="9754">
      <c r="A9754" t="inlineStr">
        <is>
          <t>Chad</t>
        </is>
      </c>
      <c r="B9754" t="inlineStr">
        <is>
          <t>TCD</t>
        </is>
      </c>
      <c r="C9754" t="n">
        <v>1990</v>
      </c>
      <c r="D9754" t="n">
        <v>-0.738282265310941</v>
      </c>
    </row>
    <row r="9755">
      <c r="A9755" t="inlineStr">
        <is>
          <t>Chad</t>
        </is>
      </c>
      <c r="B9755" t="inlineStr">
        <is>
          <t>TCD</t>
        </is>
      </c>
      <c r="C9755" t="n">
        <v>1991</v>
      </c>
      <c r="D9755" t="n">
        <v>3.19387473029498</v>
      </c>
    </row>
    <row r="9756">
      <c r="A9756" t="inlineStr">
        <is>
          <t>Chad</t>
        </is>
      </c>
      <c r="B9756" t="inlineStr">
        <is>
          <t>TCD</t>
        </is>
      </c>
      <c r="C9756" t="n">
        <v>1992</v>
      </c>
      <c r="D9756" t="n">
        <v>-3.11303067214949</v>
      </c>
    </row>
    <row r="9757">
      <c r="A9757" t="inlineStr">
        <is>
          <t>Chad</t>
        </is>
      </c>
      <c r="B9757" t="inlineStr">
        <is>
          <t>TCD</t>
        </is>
      </c>
      <c r="C9757" t="n">
        <v>1993</v>
      </c>
      <c r="D9757" t="n">
        <v>-8.42793348651802</v>
      </c>
    </row>
    <row r="9758">
      <c r="A9758" t="inlineStr">
        <is>
          <t>Chad</t>
        </is>
      </c>
      <c r="B9758" t="inlineStr">
        <is>
          <t>TCD</t>
        </is>
      </c>
      <c r="C9758" t="n">
        <v>1994</v>
      </c>
      <c r="D9758" t="n">
        <v>41.7248972364414</v>
      </c>
    </row>
    <row r="9759">
      <c r="A9759" t="inlineStr">
        <is>
          <t>Chad</t>
        </is>
      </c>
      <c r="B9759" t="inlineStr">
        <is>
          <t>TCD</t>
        </is>
      </c>
      <c r="C9759" t="n">
        <v>1995</v>
      </c>
      <c r="D9759" t="n">
        <v>9.23032599768656</v>
      </c>
    </row>
    <row r="9760">
      <c r="A9760" t="inlineStr">
        <is>
          <t>Chad</t>
        </is>
      </c>
      <c r="B9760" t="inlineStr">
        <is>
          <t>TCD</t>
        </is>
      </c>
      <c r="C9760" t="n">
        <v>1996</v>
      </c>
      <c r="D9760" t="n">
        <v>11.3308789057282</v>
      </c>
    </row>
    <row r="9761">
      <c r="A9761" t="inlineStr">
        <is>
          <t>Chad</t>
        </is>
      </c>
      <c r="B9761" t="inlineStr">
        <is>
          <t>TCD</t>
        </is>
      </c>
      <c r="C9761" t="n">
        <v>1997</v>
      </c>
      <c r="D9761" t="n">
        <v>5.57225711125331</v>
      </c>
    </row>
    <row r="9762">
      <c r="A9762" t="inlineStr">
        <is>
          <t>Chad</t>
        </is>
      </c>
      <c r="B9762" t="inlineStr">
        <is>
          <t>TCD</t>
        </is>
      </c>
      <c r="C9762" t="n">
        <v>1998</v>
      </c>
      <c r="D9762" t="n">
        <v>4.2588511022514</v>
      </c>
    </row>
    <row r="9763">
      <c r="A9763" t="inlineStr">
        <is>
          <t>Chad</t>
        </is>
      </c>
      <c r="B9763" t="inlineStr">
        <is>
          <t>TCD</t>
        </is>
      </c>
      <c r="C9763" t="n">
        <v>1999</v>
      </c>
      <c r="D9763" t="n">
        <v>-8.02505962727456</v>
      </c>
    </row>
    <row r="9764">
      <c r="A9764" t="inlineStr">
        <is>
          <t>Chad</t>
        </is>
      </c>
      <c r="B9764" t="inlineStr">
        <is>
          <t>TCD</t>
        </is>
      </c>
      <c r="C9764" t="n">
        <v>2000</v>
      </c>
      <c r="D9764" t="n">
        <v>3.82260088086307</v>
      </c>
    </row>
    <row r="9765">
      <c r="A9765" t="inlineStr">
        <is>
          <t>Chad</t>
        </is>
      </c>
      <c r="B9765" t="inlineStr">
        <is>
          <t>TCD</t>
        </is>
      </c>
      <c r="C9765" t="n">
        <v>2001</v>
      </c>
      <c r="D9765" t="n">
        <v>12.4312865279941</v>
      </c>
    </row>
    <row r="9766">
      <c r="A9766" t="inlineStr">
        <is>
          <t>Chad</t>
        </is>
      </c>
      <c r="B9766" t="inlineStr">
        <is>
          <t>TCD</t>
        </is>
      </c>
      <c r="C9766" t="n">
        <v>2002</v>
      </c>
      <c r="D9766" t="n">
        <v>5.19181895195446</v>
      </c>
    </row>
    <row r="9767">
      <c r="A9767" t="inlineStr">
        <is>
          <t>Chad</t>
        </is>
      </c>
      <c r="B9767" t="inlineStr">
        <is>
          <t>TCD</t>
        </is>
      </c>
      <c r="C9767" t="n">
        <v>2003</v>
      </c>
      <c r="D9767" t="n">
        <v>-1.75256941248655</v>
      </c>
    </row>
    <row r="9768">
      <c r="A9768" t="inlineStr">
        <is>
          <t>Chad</t>
        </is>
      </c>
      <c r="B9768" t="inlineStr">
        <is>
          <t>TCD</t>
        </is>
      </c>
      <c r="C9768" t="n">
        <v>2004</v>
      </c>
      <c r="D9768" t="n">
        <v>-5.35540028884816</v>
      </c>
    </row>
    <row r="9769">
      <c r="A9769" t="inlineStr">
        <is>
          <t>Chad</t>
        </is>
      </c>
      <c r="B9769" t="inlineStr">
        <is>
          <t>TCD</t>
        </is>
      </c>
      <c r="C9769" t="n">
        <v>2005</v>
      </c>
      <c r="D9769" t="n">
        <v>7.89036567462993</v>
      </c>
    </row>
    <row r="9770">
      <c r="A9770" t="inlineStr">
        <is>
          <t>Chad</t>
        </is>
      </c>
      <c r="B9770" t="inlineStr">
        <is>
          <t>TCD</t>
        </is>
      </c>
      <c r="C9770" t="n">
        <v>2006</v>
      </c>
      <c r="D9770" t="n">
        <v>8.036288979513319</v>
      </c>
    </row>
    <row r="9771">
      <c r="A9771" t="inlineStr">
        <is>
          <t>Chad</t>
        </is>
      </c>
      <c r="B9771" t="inlineStr">
        <is>
          <t>TCD</t>
        </is>
      </c>
      <c r="C9771" t="n">
        <v>2007</v>
      </c>
      <c r="D9771" t="n">
        <v>-8.9747396200927</v>
      </c>
    </row>
    <row r="9772">
      <c r="A9772" t="inlineStr">
        <is>
          <t>Chad</t>
        </is>
      </c>
      <c r="B9772" t="inlineStr">
        <is>
          <t>TCD</t>
        </is>
      </c>
      <c r="C9772" t="n">
        <v>2008</v>
      </c>
      <c r="D9772" t="n">
        <v>10.2969758221254</v>
      </c>
    </row>
    <row r="9773">
      <c r="A9773" t="inlineStr">
        <is>
          <t>Chad</t>
        </is>
      </c>
      <c r="B9773" t="inlineStr">
        <is>
          <t>TCD</t>
        </is>
      </c>
      <c r="C9773" t="n">
        <v>2009</v>
      </c>
      <c r="D9773" t="n">
        <v>9.952422907488639</v>
      </c>
    </row>
    <row r="9774">
      <c r="A9774" t="inlineStr">
        <is>
          <t>Chad</t>
        </is>
      </c>
      <c r="B9774" t="inlineStr">
        <is>
          <t>TCD</t>
        </is>
      </c>
      <c r="C9774" t="n">
        <v>2010</v>
      </c>
      <c r="D9774" t="n">
        <v>-2.07786574641866</v>
      </c>
    </row>
    <row r="9775">
      <c r="A9775" t="inlineStr">
        <is>
          <t>Chad</t>
        </is>
      </c>
      <c r="B9775" t="inlineStr">
        <is>
          <t>TCD</t>
        </is>
      </c>
      <c r="C9775" t="n">
        <v>2011</v>
      </c>
      <c r="D9775" t="n">
        <v>2.0292405367826</v>
      </c>
    </row>
    <row r="9776">
      <c r="A9776" t="inlineStr">
        <is>
          <t>Chad</t>
        </is>
      </c>
      <c r="B9776" t="inlineStr">
        <is>
          <t>TCD</t>
        </is>
      </c>
      <c r="C9776" t="n">
        <v>2012</v>
      </c>
      <c r="D9776" t="n">
        <v>7.51662364663833</v>
      </c>
    </row>
    <row r="9777">
      <c r="A9777" t="inlineStr">
        <is>
          <t>Chad</t>
        </is>
      </c>
      <c r="B9777" t="inlineStr">
        <is>
          <t>TCD</t>
        </is>
      </c>
      <c r="C9777" t="n">
        <v>2013</v>
      </c>
      <c r="D9777" t="n">
        <v>0.222671564624642</v>
      </c>
    </row>
    <row r="9778">
      <c r="A9778" t="inlineStr">
        <is>
          <t>Chad</t>
        </is>
      </c>
      <c r="B9778" t="inlineStr">
        <is>
          <t>TCD</t>
        </is>
      </c>
      <c r="C9778" t="n">
        <v>2014</v>
      </c>
      <c r="D9778" t="n">
        <v>1.68197313925661</v>
      </c>
    </row>
    <row r="9779">
      <c r="A9779" t="inlineStr">
        <is>
          <t>Chad</t>
        </is>
      </c>
      <c r="B9779" t="inlineStr">
        <is>
          <t>TCD</t>
        </is>
      </c>
      <c r="C9779" t="n">
        <v>2015</v>
      </c>
      <c r="D9779" t="n">
        <v>4.37712665065654</v>
      </c>
    </row>
    <row r="9780">
      <c r="A9780" t="inlineStr">
        <is>
          <t>Chad</t>
        </is>
      </c>
      <c r="B9780" t="inlineStr">
        <is>
          <t>TCD</t>
        </is>
      </c>
      <c r="C9780" t="n">
        <v>2016</v>
      </c>
      <c r="D9780" t="n">
        <v>-0.792440525236016</v>
      </c>
    </row>
    <row r="9781">
      <c r="A9781" t="inlineStr">
        <is>
          <t>Chad</t>
        </is>
      </c>
      <c r="B9781" t="inlineStr">
        <is>
          <t>TCD</t>
        </is>
      </c>
      <c r="C9781" t="n">
        <v>2017</v>
      </c>
      <c r="D9781" t="n">
        <v>-1.53709962980849</v>
      </c>
    </row>
    <row r="9782">
      <c r="A9782" t="inlineStr">
        <is>
          <t>Chad</t>
        </is>
      </c>
      <c r="B9782" t="inlineStr">
        <is>
          <t>TCD</t>
        </is>
      </c>
      <c r="C9782" t="n">
        <v>2018</v>
      </c>
      <c r="D9782" t="n">
        <v>4.27462198610545</v>
      </c>
    </row>
    <row r="9783">
      <c r="A9783" t="inlineStr">
        <is>
          <t>Chad</t>
        </is>
      </c>
      <c r="B9783" t="inlineStr">
        <is>
          <t>TCD</t>
        </is>
      </c>
      <c r="C9783" t="n">
        <v>2019</v>
      </c>
      <c r="D9783" t="n">
        <v>-0.971939175419317</v>
      </c>
    </row>
    <row r="9784">
      <c r="A9784" t="inlineStr">
        <is>
          <t>Chad</t>
        </is>
      </c>
      <c r="B9784" t="inlineStr">
        <is>
          <t>TCD</t>
        </is>
      </c>
      <c r="C9784" t="n">
        <v>2020</v>
      </c>
      <c r="D9784" t="n">
        <v>4.4641443723286</v>
      </c>
    </row>
    <row r="9785">
      <c r="A9785" t="inlineStr">
        <is>
          <t>Chad</t>
        </is>
      </c>
      <c r="B9785" t="inlineStr">
        <is>
          <t>TCD</t>
        </is>
      </c>
      <c r="C9785" t="n">
        <v>2021</v>
      </c>
      <c r="D9785" t="n">
        <v>-0.772844370359139</v>
      </c>
    </row>
    <row r="9786">
      <c r="A9786" t="inlineStr">
        <is>
          <t>Chad</t>
        </is>
      </c>
      <c r="B9786" t="inlineStr">
        <is>
          <t>TCD</t>
        </is>
      </c>
      <c r="C9786" t="n">
        <v>2022</v>
      </c>
      <c r="D9786" t="n">
        <v>5.78802687843616</v>
      </c>
    </row>
    <row r="9787">
      <c r="A9787" t="inlineStr">
        <is>
          <t>Chad</t>
        </is>
      </c>
      <c r="B9787" t="inlineStr">
        <is>
          <t>TCD</t>
        </is>
      </c>
      <c r="C9787" t="n">
        <v>2023</v>
      </c>
      <c r="D9787" t="n">
        <v>10.8363568399842</v>
      </c>
    </row>
    <row r="9788">
      <c r="A9788" t="inlineStr">
        <is>
          <t>Chad</t>
        </is>
      </c>
      <c r="B9788" t="inlineStr">
        <is>
          <t>TCD</t>
        </is>
      </c>
      <c r="C9788" t="n">
        <v>2024</v>
      </c>
      <c r="D9788" t="n">
        <v>8.899507322637611</v>
      </c>
    </row>
    <row r="9789">
      <c r="A9789" t="inlineStr">
        <is>
          <t>East Asia &amp; Pacific (IDA &amp; IBRD countries)</t>
        </is>
      </c>
      <c r="B9789" t="inlineStr">
        <is>
          <t>TEA</t>
        </is>
      </c>
      <c r="C9789" t="n">
        <v>1987</v>
      </c>
      <c r="D9789" t="n">
        <v>5.17488127323863</v>
      </c>
    </row>
    <row r="9790">
      <c r="A9790" t="inlineStr">
        <is>
          <t>East Asia &amp; Pacific (IDA &amp; IBRD countries)</t>
        </is>
      </c>
      <c r="B9790" t="inlineStr">
        <is>
          <t>TEA</t>
        </is>
      </c>
      <c r="C9790" t="n">
        <v>1988</v>
      </c>
      <c r="D9790" t="n">
        <v>9.34212688547206</v>
      </c>
    </row>
    <row r="9791">
      <c r="A9791" t="inlineStr">
        <is>
          <t>East Asia &amp; Pacific (IDA &amp; IBRD countries)</t>
        </is>
      </c>
      <c r="B9791" t="inlineStr">
        <is>
          <t>TEA</t>
        </is>
      </c>
      <c r="C9791" t="n">
        <v>1989</v>
      </c>
      <c r="D9791" t="n">
        <v>6.46256171146444</v>
      </c>
    </row>
    <row r="9792">
      <c r="A9792" t="inlineStr">
        <is>
          <t>East Asia &amp; Pacific (IDA &amp; IBRD countries)</t>
        </is>
      </c>
      <c r="B9792" t="inlineStr">
        <is>
          <t>TEA</t>
        </is>
      </c>
      <c r="C9792" t="n">
        <v>1990</v>
      </c>
      <c r="D9792" t="n">
        <v>8.19137132040974</v>
      </c>
    </row>
    <row r="9793">
      <c r="A9793" t="inlineStr">
        <is>
          <t>East Asia &amp; Pacific (IDA &amp; IBRD countries)</t>
        </is>
      </c>
      <c r="B9793" t="inlineStr">
        <is>
          <t>TEA</t>
        </is>
      </c>
      <c r="C9793" t="n">
        <v>1991</v>
      </c>
      <c r="D9793" t="n">
        <v>6.96568127760753</v>
      </c>
    </row>
    <row r="9794">
      <c r="A9794" t="inlineStr">
        <is>
          <t>East Asia &amp; Pacific (IDA &amp; IBRD countries)</t>
        </is>
      </c>
      <c r="B9794" t="inlineStr">
        <is>
          <t>TEA</t>
        </is>
      </c>
      <c r="C9794" t="n">
        <v>1992</v>
      </c>
      <c r="D9794" t="n">
        <v>7.52351717022748</v>
      </c>
    </row>
    <row r="9795">
      <c r="A9795" t="inlineStr">
        <is>
          <t>East Asia &amp; Pacific (IDA &amp; IBRD countries)</t>
        </is>
      </c>
      <c r="B9795" t="inlineStr">
        <is>
          <t>TEA</t>
        </is>
      </c>
      <c r="C9795" t="n">
        <v>1993</v>
      </c>
      <c r="D9795" t="n">
        <v>5.73690583357397</v>
      </c>
    </row>
    <row r="9796">
      <c r="A9796" t="inlineStr">
        <is>
          <t>East Asia &amp; Pacific (IDA &amp; IBRD countries)</t>
        </is>
      </c>
      <c r="B9796" t="inlineStr">
        <is>
          <t>TEA</t>
        </is>
      </c>
      <c r="C9796" t="n">
        <v>1994</v>
      </c>
      <c r="D9796" t="n">
        <v>7.65824302019538</v>
      </c>
    </row>
    <row r="9797">
      <c r="A9797" t="inlineStr">
        <is>
          <t>East Asia &amp; Pacific (IDA &amp; IBRD countries)</t>
        </is>
      </c>
      <c r="B9797" t="inlineStr">
        <is>
          <t>TEA</t>
        </is>
      </c>
      <c r="C9797" t="n">
        <v>1995</v>
      </c>
      <c r="D9797" t="n">
        <v>5.81818181818192</v>
      </c>
    </row>
    <row r="9798">
      <c r="A9798" t="inlineStr">
        <is>
          <t>East Asia &amp; Pacific (IDA &amp; IBRD countries)</t>
        </is>
      </c>
      <c r="B9798" t="inlineStr">
        <is>
          <t>TEA</t>
        </is>
      </c>
      <c r="C9798" t="n">
        <v>1996</v>
      </c>
      <c r="D9798" t="n">
        <v>7.31348259330353</v>
      </c>
    </row>
    <row r="9799">
      <c r="A9799" t="inlineStr">
        <is>
          <t>East Asia &amp; Pacific (IDA &amp; IBRD countries)</t>
        </is>
      </c>
      <c r="B9799" t="inlineStr">
        <is>
          <t>TEA</t>
        </is>
      </c>
      <c r="C9799" t="n">
        <v>1997</v>
      </c>
      <c r="D9799" t="n">
        <v>5.60802843389853</v>
      </c>
    </row>
    <row r="9800">
      <c r="A9800" t="inlineStr">
        <is>
          <t>East Asia &amp; Pacific (IDA &amp; IBRD countries)</t>
        </is>
      </c>
      <c r="B9800" t="inlineStr">
        <is>
          <t>TEA</t>
        </is>
      </c>
      <c r="C9800" t="n">
        <v>1998</v>
      </c>
      <c r="D9800" t="n">
        <v>8.614831536472909</v>
      </c>
    </row>
    <row r="9801">
      <c r="A9801" t="inlineStr">
        <is>
          <t>East Asia &amp; Pacific (IDA &amp; IBRD countries)</t>
        </is>
      </c>
      <c r="B9801" t="inlineStr">
        <is>
          <t>TEA</t>
        </is>
      </c>
      <c r="C9801" t="n">
        <v>1999</v>
      </c>
      <c r="D9801" t="n">
        <v>4.29072851723813</v>
      </c>
    </row>
    <row r="9802">
      <c r="A9802" t="inlineStr">
        <is>
          <t>East Asia &amp; Pacific (IDA &amp; IBRD countries)</t>
        </is>
      </c>
      <c r="B9802" t="inlineStr">
        <is>
          <t>TEA</t>
        </is>
      </c>
      <c r="C9802" t="n">
        <v>2000</v>
      </c>
      <c r="D9802" t="n">
        <v>2.15851810619419</v>
      </c>
    </row>
    <row r="9803">
      <c r="A9803" t="inlineStr">
        <is>
          <t>East Asia &amp; Pacific (IDA &amp; IBRD countries)</t>
        </is>
      </c>
      <c r="B9803" t="inlineStr">
        <is>
          <t>TEA</t>
        </is>
      </c>
      <c r="C9803" t="n">
        <v>2001</v>
      </c>
      <c r="D9803" t="n">
        <v>4.27267024465105</v>
      </c>
    </row>
    <row r="9804">
      <c r="A9804" t="inlineStr">
        <is>
          <t>East Asia &amp; Pacific (IDA &amp; IBRD countries)</t>
        </is>
      </c>
      <c r="B9804" t="inlineStr">
        <is>
          <t>TEA</t>
        </is>
      </c>
      <c r="C9804" t="n">
        <v>2002</v>
      </c>
      <c r="D9804" t="n">
        <v>2.3431699096098</v>
      </c>
    </row>
    <row r="9805">
      <c r="A9805" t="inlineStr">
        <is>
          <t>East Asia &amp; Pacific (IDA &amp; IBRD countries)</t>
        </is>
      </c>
      <c r="B9805" t="inlineStr">
        <is>
          <t>TEA</t>
        </is>
      </c>
      <c r="C9805" t="n">
        <v>2003</v>
      </c>
      <c r="D9805" t="n">
        <v>3.23464817293927</v>
      </c>
    </row>
    <row r="9806">
      <c r="A9806" t="inlineStr">
        <is>
          <t>East Asia &amp; Pacific (IDA &amp; IBRD countries)</t>
        </is>
      </c>
      <c r="B9806" t="inlineStr">
        <is>
          <t>TEA</t>
        </is>
      </c>
      <c r="C9806" t="n">
        <v>2004</v>
      </c>
      <c r="D9806" t="n">
        <v>4.53421374129692</v>
      </c>
    </row>
    <row r="9807">
      <c r="A9807" t="inlineStr">
        <is>
          <t>East Asia &amp; Pacific (IDA &amp; IBRD countries)</t>
        </is>
      </c>
      <c r="B9807" t="inlineStr">
        <is>
          <t>TEA</t>
        </is>
      </c>
      <c r="C9807" t="n">
        <v>2005</v>
      </c>
      <c r="D9807" t="n">
        <v>4.54036919634535</v>
      </c>
    </row>
    <row r="9808">
      <c r="A9808" t="inlineStr">
        <is>
          <t>East Asia &amp; Pacific (IDA &amp; IBRD countries)</t>
        </is>
      </c>
      <c r="B9808" t="inlineStr">
        <is>
          <t>TEA</t>
        </is>
      </c>
      <c r="C9808" t="n">
        <v>2006</v>
      </c>
      <c r="D9808" t="n">
        <v>4.63747436011765</v>
      </c>
    </row>
    <row r="9809">
      <c r="A9809" t="inlineStr">
        <is>
          <t>East Asia &amp; Pacific (IDA &amp; IBRD countries)</t>
        </is>
      </c>
      <c r="B9809" t="inlineStr">
        <is>
          <t>TEA</t>
        </is>
      </c>
      <c r="C9809" t="n">
        <v>2007</v>
      </c>
      <c r="D9809" t="n">
        <v>4.81023704342912</v>
      </c>
    </row>
    <row r="9810">
      <c r="A9810" t="inlineStr">
        <is>
          <t>East Asia &amp; Pacific (IDA &amp; IBRD countries)</t>
        </is>
      </c>
      <c r="B9810" t="inlineStr">
        <is>
          <t>TEA</t>
        </is>
      </c>
      <c r="C9810" t="n">
        <v>2008</v>
      </c>
      <c r="D9810" t="n">
        <v>10.3368260300685</v>
      </c>
    </row>
    <row r="9811">
      <c r="A9811" t="inlineStr">
        <is>
          <t>East Asia &amp; Pacific (IDA &amp; IBRD countries)</t>
        </is>
      </c>
      <c r="B9811" t="inlineStr">
        <is>
          <t>TEA</t>
        </is>
      </c>
      <c r="C9811" t="n">
        <v>2009</v>
      </c>
      <c r="D9811" t="n">
        <v>3.67503305540296</v>
      </c>
    </row>
    <row r="9812">
      <c r="A9812" t="inlineStr">
        <is>
          <t>East Asia &amp; Pacific (IDA &amp; IBRD countries)</t>
        </is>
      </c>
      <c r="B9812" t="inlineStr">
        <is>
          <t>TEA</t>
        </is>
      </c>
      <c r="C9812" t="n">
        <v>2010</v>
      </c>
      <c r="D9812" t="n">
        <v>3.61196234430299</v>
      </c>
    </row>
    <row r="9813">
      <c r="A9813" t="inlineStr">
        <is>
          <t>East Asia &amp; Pacific (IDA &amp; IBRD countries)</t>
        </is>
      </c>
      <c r="B9813" t="inlineStr">
        <is>
          <t>TEA</t>
        </is>
      </c>
      <c r="C9813" t="n">
        <v>2011</v>
      </c>
      <c r="D9813" t="n">
        <v>5.15900497684403</v>
      </c>
    </row>
    <row r="9814">
      <c r="A9814" t="inlineStr">
        <is>
          <t>East Asia &amp; Pacific (IDA &amp; IBRD countries)</t>
        </is>
      </c>
      <c r="B9814" t="inlineStr">
        <is>
          <t>TEA</t>
        </is>
      </c>
      <c r="C9814" t="n">
        <v>2012</v>
      </c>
      <c r="D9814" t="n">
        <v>3.02696391124796</v>
      </c>
    </row>
    <row r="9815">
      <c r="A9815" t="inlineStr">
        <is>
          <t>East Asia &amp; Pacific (IDA &amp; IBRD countries)</t>
        </is>
      </c>
      <c r="B9815" t="inlineStr">
        <is>
          <t>TEA</t>
        </is>
      </c>
      <c r="C9815" t="n">
        <v>2013</v>
      </c>
      <c r="D9815" t="n">
        <v>2.92758351575675</v>
      </c>
    </row>
    <row r="9816">
      <c r="A9816" t="inlineStr">
        <is>
          <t>East Asia &amp; Pacific (IDA &amp; IBRD countries)</t>
        </is>
      </c>
      <c r="B9816" t="inlineStr">
        <is>
          <t>TEA</t>
        </is>
      </c>
      <c r="C9816" t="n">
        <v>2014</v>
      </c>
      <c r="D9816" t="n">
        <v>3.37040697371653</v>
      </c>
    </row>
    <row r="9817">
      <c r="A9817" t="inlineStr">
        <is>
          <t>East Asia &amp; Pacific (IDA &amp; IBRD countries)</t>
        </is>
      </c>
      <c r="B9817" t="inlineStr">
        <is>
          <t>TEA</t>
        </is>
      </c>
      <c r="C9817" t="n">
        <v>2015</v>
      </c>
      <c r="D9817" t="n">
        <v>1.08648629940414</v>
      </c>
    </row>
    <row r="9818">
      <c r="A9818" t="inlineStr">
        <is>
          <t>East Asia &amp; Pacific (IDA &amp; IBRD countries)</t>
        </is>
      </c>
      <c r="B9818" t="inlineStr">
        <is>
          <t>TEA</t>
        </is>
      </c>
      <c r="C9818" t="n">
        <v>2016</v>
      </c>
      <c r="D9818" t="n">
        <v>1.75711158908291</v>
      </c>
    </row>
    <row r="9819">
      <c r="A9819" t="inlineStr">
        <is>
          <t>East Asia &amp; Pacific (IDA &amp; IBRD countries)</t>
        </is>
      </c>
      <c r="B9819" t="inlineStr">
        <is>
          <t>TEA</t>
        </is>
      </c>
      <c r="C9819" t="n">
        <v>2017</v>
      </c>
      <c r="D9819" t="n">
        <v>2.88291164981212</v>
      </c>
    </row>
    <row r="9820">
      <c r="A9820" t="inlineStr">
        <is>
          <t>East Asia &amp; Pacific (IDA &amp; IBRD countries)</t>
        </is>
      </c>
      <c r="B9820" t="inlineStr">
        <is>
          <t>TEA</t>
        </is>
      </c>
      <c r="C9820" t="n">
        <v>2018</v>
      </c>
      <c r="D9820" t="n">
        <v>2.91740921289151</v>
      </c>
    </row>
    <row r="9821">
      <c r="A9821" t="inlineStr">
        <is>
          <t>East Asia &amp; Pacific (IDA &amp; IBRD countries)</t>
        </is>
      </c>
      <c r="B9821" t="inlineStr">
        <is>
          <t>TEA</t>
        </is>
      </c>
      <c r="C9821" t="n">
        <v>2019</v>
      </c>
      <c r="D9821" t="n">
        <v>1.93321335810515</v>
      </c>
    </row>
    <row r="9822">
      <c r="A9822" t="inlineStr">
        <is>
          <t>East Asia &amp; Pacific (IDA &amp; IBRD countries)</t>
        </is>
      </c>
      <c r="B9822" t="inlineStr">
        <is>
          <t>TEA</t>
        </is>
      </c>
      <c r="C9822" t="n">
        <v>2020</v>
      </c>
      <c r="D9822" t="n">
        <v>2.3931623931624</v>
      </c>
    </row>
    <row r="9823">
      <c r="A9823" t="inlineStr">
        <is>
          <t>East Asia &amp; Pacific (IDA &amp; IBRD countries)</t>
        </is>
      </c>
      <c r="B9823" t="inlineStr">
        <is>
          <t>TEA</t>
        </is>
      </c>
      <c r="C9823" t="n">
        <v>2021</v>
      </c>
      <c r="D9823" t="n">
        <v>2.6124818577648</v>
      </c>
    </row>
    <row r="9824">
      <c r="A9824" t="inlineStr">
        <is>
          <t>East Asia &amp; Pacific (IDA &amp; IBRD countries)</t>
        </is>
      </c>
      <c r="B9824" t="inlineStr">
        <is>
          <t>TEA</t>
        </is>
      </c>
      <c r="C9824" t="n">
        <v>2022</v>
      </c>
      <c r="D9824" t="n">
        <v>5.51812928576938</v>
      </c>
    </row>
    <row r="9825">
      <c r="A9825" t="inlineStr">
        <is>
          <t>East Asia &amp; Pacific (IDA &amp; IBRD countries)</t>
        </is>
      </c>
      <c r="B9825" t="inlineStr">
        <is>
          <t>TEA</t>
        </is>
      </c>
      <c r="C9825" t="n">
        <v>2023</v>
      </c>
      <c r="D9825" t="n">
        <v>5.93194206291786</v>
      </c>
    </row>
    <row r="9826">
      <c r="A9826" t="inlineStr">
        <is>
          <t>Europe &amp; Central Asia (IDA &amp; IBRD countries)</t>
        </is>
      </c>
      <c r="B9826" t="inlineStr">
        <is>
          <t>TEC</t>
        </is>
      </c>
      <c r="C9826" t="n">
        <v>1994</v>
      </c>
      <c r="D9826" t="n">
        <v>222.241014184317</v>
      </c>
    </row>
    <row r="9827">
      <c r="A9827" t="inlineStr">
        <is>
          <t>Europe &amp; Central Asia (IDA &amp; IBRD countries)</t>
        </is>
      </c>
      <c r="B9827" t="inlineStr">
        <is>
          <t>TEC</t>
        </is>
      </c>
      <c r="C9827" t="n">
        <v>1995</v>
      </c>
      <c r="D9827" t="n">
        <v>85.8869162056581</v>
      </c>
    </row>
    <row r="9828">
      <c r="A9828" t="inlineStr">
        <is>
          <t>Europe &amp; Central Asia (IDA &amp; IBRD countries)</t>
        </is>
      </c>
      <c r="B9828" t="inlineStr">
        <is>
          <t>TEC</t>
        </is>
      </c>
      <c r="C9828" t="n">
        <v>1996</v>
      </c>
      <c r="D9828" t="n">
        <v>38.8293013382852</v>
      </c>
    </row>
    <row r="9829">
      <c r="A9829" t="inlineStr">
        <is>
          <t>Europe &amp; Central Asia (IDA &amp; IBRD countries)</t>
        </is>
      </c>
      <c r="B9829" t="inlineStr">
        <is>
          <t>TEC</t>
        </is>
      </c>
      <c r="C9829" t="n">
        <v>1997</v>
      </c>
      <c r="D9829" t="n">
        <v>15.940599414943</v>
      </c>
    </row>
    <row r="9830">
      <c r="A9830" t="inlineStr">
        <is>
          <t>Europe &amp; Central Asia (IDA &amp; IBRD countries)</t>
        </is>
      </c>
      <c r="B9830" t="inlineStr">
        <is>
          <t>TEC</t>
        </is>
      </c>
      <c r="C9830" t="n">
        <v>1998</v>
      </c>
      <c r="D9830" t="n">
        <v>10.5771611482514</v>
      </c>
    </row>
    <row r="9831">
      <c r="A9831" t="inlineStr">
        <is>
          <t>Europe &amp; Central Asia (IDA &amp; IBRD countries)</t>
        </is>
      </c>
      <c r="B9831" t="inlineStr">
        <is>
          <t>TEC</t>
        </is>
      </c>
      <c r="C9831" t="n">
        <v>1999</v>
      </c>
      <c r="D9831" t="n">
        <v>19.1926758218895</v>
      </c>
    </row>
    <row r="9832">
      <c r="A9832" t="inlineStr">
        <is>
          <t>Europe &amp; Central Asia (IDA &amp; IBRD countries)</t>
        </is>
      </c>
      <c r="B9832" t="inlineStr">
        <is>
          <t>TEC</t>
        </is>
      </c>
      <c r="C9832" t="n">
        <v>2000</v>
      </c>
      <c r="D9832" t="n">
        <v>13.1808905865732</v>
      </c>
    </row>
    <row r="9833">
      <c r="A9833" t="inlineStr">
        <is>
          <t>Europe &amp; Central Asia (IDA &amp; IBRD countries)</t>
        </is>
      </c>
      <c r="B9833" t="inlineStr">
        <is>
          <t>TEC</t>
        </is>
      </c>
      <c r="C9833" t="n">
        <v>2001</v>
      </c>
      <c r="D9833" t="n">
        <v>7.85753852196591</v>
      </c>
    </row>
    <row r="9834">
      <c r="A9834" t="inlineStr">
        <is>
          <t>Europe &amp; Central Asia (IDA &amp; IBRD countries)</t>
        </is>
      </c>
      <c r="B9834" t="inlineStr">
        <is>
          <t>TEC</t>
        </is>
      </c>
      <c r="C9834" t="n">
        <v>2002</v>
      </c>
      <c r="D9834" t="n">
        <v>5.69899047861309</v>
      </c>
    </row>
    <row r="9835">
      <c r="A9835" t="inlineStr">
        <is>
          <t>Europe &amp; Central Asia (IDA &amp; IBRD countries)</t>
        </is>
      </c>
      <c r="B9835" t="inlineStr">
        <is>
          <t>TEC</t>
        </is>
      </c>
      <c r="C9835" t="n">
        <v>2003</v>
      </c>
      <c r="D9835" t="n">
        <v>4.7215533660534</v>
      </c>
    </row>
    <row r="9836">
      <c r="A9836" t="inlineStr">
        <is>
          <t>Europe &amp; Central Asia (IDA &amp; IBRD countries)</t>
        </is>
      </c>
      <c r="B9836" t="inlineStr">
        <is>
          <t>TEC</t>
        </is>
      </c>
      <c r="C9836" t="n">
        <v>2004</v>
      </c>
      <c r="D9836" t="n">
        <v>6.882054389819</v>
      </c>
    </row>
    <row r="9837">
      <c r="A9837" t="inlineStr">
        <is>
          <t>Europe &amp; Central Asia (IDA &amp; IBRD countries)</t>
        </is>
      </c>
      <c r="B9837" t="inlineStr">
        <is>
          <t>TEC</t>
        </is>
      </c>
      <c r="C9837" t="n">
        <v>2005</v>
      </c>
      <c r="D9837" t="n">
        <v>7.57999929125768</v>
      </c>
    </row>
    <row r="9838">
      <c r="A9838" t="inlineStr">
        <is>
          <t>Europe &amp; Central Asia (IDA &amp; IBRD countries)</t>
        </is>
      </c>
      <c r="B9838" t="inlineStr">
        <is>
          <t>TEC</t>
        </is>
      </c>
      <c r="C9838" t="n">
        <v>2006</v>
      </c>
      <c r="D9838" t="n">
        <v>6.99712903535589</v>
      </c>
    </row>
    <row r="9839">
      <c r="A9839" t="inlineStr">
        <is>
          <t>Europe &amp; Central Asia (IDA &amp; IBRD countries)</t>
        </is>
      </c>
      <c r="B9839" t="inlineStr">
        <is>
          <t>TEC</t>
        </is>
      </c>
      <c r="C9839" t="n">
        <v>2007</v>
      </c>
      <c r="D9839" t="n">
        <v>8.40253419005901</v>
      </c>
    </row>
    <row r="9840">
      <c r="A9840" t="inlineStr">
        <is>
          <t>Europe &amp; Central Asia (IDA &amp; IBRD countries)</t>
        </is>
      </c>
      <c r="B9840" t="inlineStr">
        <is>
          <t>TEC</t>
        </is>
      </c>
      <c r="C9840" t="n">
        <v>2008</v>
      </c>
      <c r="D9840" t="n">
        <v>10.4441283764885</v>
      </c>
    </row>
    <row r="9841">
      <c r="A9841" t="inlineStr">
        <is>
          <t>Europe &amp; Central Asia (IDA &amp; IBRD countries)</t>
        </is>
      </c>
      <c r="B9841" t="inlineStr">
        <is>
          <t>TEC</t>
        </is>
      </c>
      <c r="C9841" t="n">
        <v>2009</v>
      </c>
      <c r="D9841" t="n">
        <v>3.46672373207793</v>
      </c>
    </row>
    <row r="9842">
      <c r="A9842" t="inlineStr">
        <is>
          <t>Europe &amp; Central Asia (IDA &amp; IBRD countries)</t>
        </is>
      </c>
      <c r="B9842" t="inlineStr">
        <is>
          <t>TEC</t>
        </is>
      </c>
      <c r="C9842" t="n">
        <v>2010</v>
      </c>
      <c r="D9842" t="n">
        <v>6.14255360247248</v>
      </c>
    </row>
    <row r="9843">
      <c r="A9843" t="inlineStr">
        <is>
          <t>Europe &amp; Central Asia (IDA &amp; IBRD countries)</t>
        </is>
      </c>
      <c r="B9843" t="inlineStr">
        <is>
          <t>TEC</t>
        </is>
      </c>
      <c r="C9843" t="n">
        <v>2011</v>
      </c>
      <c r="D9843" t="n">
        <v>7.66862955607742</v>
      </c>
    </row>
    <row r="9844">
      <c r="A9844" t="inlineStr">
        <is>
          <t>Europe &amp; Central Asia (IDA &amp; IBRD countries)</t>
        </is>
      </c>
      <c r="B9844" t="inlineStr">
        <is>
          <t>TEC</t>
        </is>
      </c>
      <c r="C9844" t="n">
        <v>2012</v>
      </c>
      <c r="D9844" t="n">
        <v>3.373498083874</v>
      </c>
    </row>
    <row r="9845">
      <c r="A9845" t="inlineStr">
        <is>
          <t>Europe &amp; Central Asia (IDA &amp; IBRD countries)</t>
        </is>
      </c>
      <c r="B9845" t="inlineStr">
        <is>
          <t>TEC</t>
        </is>
      </c>
      <c r="C9845" t="n">
        <v>2013</v>
      </c>
      <c r="D9845" t="n">
        <v>3.38485646137124</v>
      </c>
    </row>
    <row r="9846">
      <c r="A9846" t="inlineStr">
        <is>
          <t>Europe &amp; Central Asia (IDA &amp; IBRD countries)</t>
        </is>
      </c>
      <c r="B9846" t="inlineStr">
        <is>
          <t>TEC</t>
        </is>
      </c>
      <c r="C9846" t="n">
        <v>2014</v>
      </c>
      <c r="D9846" t="n">
        <v>2.53187831406913</v>
      </c>
    </row>
    <row r="9847">
      <c r="A9847" t="inlineStr">
        <is>
          <t>Europe &amp; Central Asia (IDA &amp; IBRD countries)</t>
        </is>
      </c>
      <c r="B9847" t="inlineStr">
        <is>
          <t>TEC</t>
        </is>
      </c>
      <c r="C9847" t="n">
        <v>2015</v>
      </c>
      <c r="D9847" t="n">
        <v>3.86763469978395</v>
      </c>
    </row>
    <row r="9848">
      <c r="A9848" t="inlineStr">
        <is>
          <t>Europe &amp; Central Asia (IDA &amp; IBRD countries)</t>
        </is>
      </c>
      <c r="B9848" t="inlineStr">
        <is>
          <t>TEC</t>
        </is>
      </c>
      <c r="C9848" t="n">
        <v>2016</v>
      </c>
      <c r="D9848" t="n">
        <v>0.755576135536745</v>
      </c>
    </row>
    <row r="9849">
      <c r="A9849" t="inlineStr">
        <is>
          <t>Europe &amp; Central Asia (IDA &amp; IBRD countries)</t>
        </is>
      </c>
      <c r="B9849" t="inlineStr">
        <is>
          <t>TEC</t>
        </is>
      </c>
      <c r="C9849" t="n">
        <v>2017</v>
      </c>
      <c r="D9849" t="n">
        <v>3.13106248590115</v>
      </c>
    </row>
    <row r="9850">
      <c r="A9850" t="inlineStr">
        <is>
          <t>Europe &amp; Central Asia (IDA &amp; IBRD countries)</t>
        </is>
      </c>
      <c r="B9850" t="inlineStr">
        <is>
          <t>TEC</t>
        </is>
      </c>
      <c r="C9850" t="n">
        <v>2018</v>
      </c>
      <c r="D9850" t="n">
        <v>2.611223782638</v>
      </c>
    </row>
    <row r="9851">
      <c r="A9851" t="inlineStr">
        <is>
          <t>Europe &amp; Central Asia (IDA &amp; IBRD countries)</t>
        </is>
      </c>
      <c r="B9851" t="inlineStr">
        <is>
          <t>TEC</t>
        </is>
      </c>
      <c r="C9851" t="n">
        <v>2019</v>
      </c>
      <c r="D9851" t="n">
        <v>2.67599202639893</v>
      </c>
    </row>
    <row r="9852">
      <c r="A9852" t="inlineStr">
        <is>
          <t>Europe &amp; Central Asia (IDA &amp; IBRD countries)</t>
        </is>
      </c>
      <c r="B9852" t="inlineStr">
        <is>
          <t>TEC</t>
        </is>
      </c>
      <c r="C9852" t="n">
        <v>2020</v>
      </c>
      <c r="D9852" t="n">
        <v>2.73249209419427</v>
      </c>
    </row>
    <row r="9853">
      <c r="A9853" t="inlineStr">
        <is>
          <t>Europe &amp; Central Asia (IDA &amp; IBRD countries)</t>
        </is>
      </c>
      <c r="B9853" t="inlineStr">
        <is>
          <t>TEC</t>
        </is>
      </c>
      <c r="C9853" t="n">
        <v>2021</v>
      </c>
      <c r="D9853" t="n">
        <v>5.10641129002836</v>
      </c>
    </row>
    <row r="9854">
      <c r="A9854" t="inlineStr">
        <is>
          <t>Europe &amp; Central Asia (IDA &amp; IBRD countries)</t>
        </is>
      </c>
      <c r="B9854" t="inlineStr">
        <is>
          <t>TEC</t>
        </is>
      </c>
      <c r="C9854" t="n">
        <v>2022</v>
      </c>
      <c r="D9854" t="n">
        <v>13.8875841659221</v>
      </c>
    </row>
    <row r="9855">
      <c r="A9855" t="inlineStr">
        <is>
          <t>Europe &amp; Central Asia (IDA &amp; IBRD countries)</t>
        </is>
      </c>
      <c r="B9855" t="inlineStr">
        <is>
          <t>TEC</t>
        </is>
      </c>
      <c r="C9855" t="n">
        <v>2023</v>
      </c>
      <c r="D9855" t="n">
        <v>9.402356949287899</v>
      </c>
    </row>
    <row r="9856">
      <c r="A9856" t="inlineStr">
        <is>
          <t>Togo</t>
        </is>
      </c>
      <c r="B9856" t="inlineStr">
        <is>
          <t>TGO</t>
        </is>
      </c>
      <c r="C9856" t="n">
        <v>1967</v>
      </c>
      <c r="D9856" t="n">
        <v>-2.31884058067623</v>
      </c>
    </row>
    <row r="9857">
      <c r="A9857" t="inlineStr">
        <is>
          <t>Togo</t>
        </is>
      </c>
      <c r="B9857" t="inlineStr">
        <is>
          <t>TGO</t>
        </is>
      </c>
      <c r="C9857" t="n">
        <v>1968</v>
      </c>
      <c r="D9857" t="n">
        <v>0.296735906036536</v>
      </c>
    </row>
    <row r="9858">
      <c r="A9858" t="inlineStr">
        <is>
          <t>Togo</t>
        </is>
      </c>
      <c r="B9858" t="inlineStr">
        <is>
          <t>TGO</t>
        </is>
      </c>
      <c r="C9858" t="n">
        <v>1969</v>
      </c>
      <c r="D9858" t="n">
        <v>6.01577909270213</v>
      </c>
    </row>
    <row r="9859">
      <c r="A9859" t="inlineStr">
        <is>
          <t>Togo</t>
        </is>
      </c>
      <c r="B9859" t="inlineStr">
        <is>
          <t>TGO</t>
        </is>
      </c>
      <c r="C9859" t="n">
        <v>1970</v>
      </c>
      <c r="D9859" t="n">
        <v>4.48062015465097</v>
      </c>
    </row>
    <row r="9860">
      <c r="A9860" t="inlineStr">
        <is>
          <t>Togo</t>
        </is>
      </c>
      <c r="B9860" t="inlineStr">
        <is>
          <t>TGO</t>
        </is>
      </c>
      <c r="C9860" t="n">
        <v>1971</v>
      </c>
      <c r="D9860" t="n">
        <v>6.4920611363942</v>
      </c>
    </row>
    <row r="9861">
      <c r="A9861" t="inlineStr">
        <is>
          <t>Togo</t>
        </is>
      </c>
      <c r="B9861" t="inlineStr">
        <is>
          <t>TGO</t>
        </is>
      </c>
      <c r="C9861" t="n">
        <v>1972</v>
      </c>
      <c r="D9861" t="n">
        <v>7.7266076782349</v>
      </c>
    </row>
    <row r="9862">
      <c r="A9862" t="inlineStr">
        <is>
          <t>Togo</t>
        </is>
      </c>
      <c r="B9862" t="inlineStr">
        <is>
          <t>TGO</t>
        </is>
      </c>
      <c r="C9862" t="n">
        <v>1973</v>
      </c>
      <c r="D9862" t="n">
        <v>3.61531496573159</v>
      </c>
    </row>
    <row r="9863">
      <c r="A9863" t="inlineStr">
        <is>
          <t>Togo</t>
        </is>
      </c>
      <c r="B9863" t="inlineStr">
        <is>
          <t>TGO</t>
        </is>
      </c>
      <c r="C9863" t="n">
        <v>1974</v>
      </c>
      <c r="D9863" t="n">
        <v>12.8319316906201</v>
      </c>
    </row>
    <row r="9864">
      <c r="A9864" t="inlineStr">
        <is>
          <t>Togo</t>
        </is>
      </c>
      <c r="B9864" t="inlineStr">
        <is>
          <t>TGO</t>
        </is>
      </c>
      <c r="C9864" t="n">
        <v>1975</v>
      </c>
      <c r="D9864" t="n">
        <v>18.0121994976678</v>
      </c>
    </row>
    <row r="9865">
      <c r="A9865" t="inlineStr">
        <is>
          <t>Togo</t>
        </is>
      </c>
      <c r="B9865" t="inlineStr">
        <is>
          <t>TGO</t>
        </is>
      </c>
      <c r="C9865" t="n">
        <v>1976</v>
      </c>
      <c r="D9865" t="n">
        <v>11.6407308106915</v>
      </c>
    </row>
    <row r="9866">
      <c r="A9866" t="inlineStr">
        <is>
          <t>Togo</t>
        </is>
      </c>
      <c r="B9866" t="inlineStr">
        <is>
          <t>TGO</t>
        </is>
      </c>
      <c r="C9866" t="n">
        <v>1977</v>
      </c>
      <c r="D9866" t="n">
        <v>22.4570134066176</v>
      </c>
    </row>
    <row r="9867">
      <c r="A9867" t="inlineStr">
        <is>
          <t>Togo</t>
        </is>
      </c>
      <c r="B9867" t="inlineStr">
        <is>
          <t>TGO</t>
        </is>
      </c>
      <c r="C9867" t="n">
        <v>1978</v>
      </c>
      <c r="D9867" t="n">
        <v>0.442773093953005</v>
      </c>
    </row>
    <row r="9868">
      <c r="A9868" t="inlineStr">
        <is>
          <t>Togo</t>
        </is>
      </c>
      <c r="B9868" t="inlineStr">
        <is>
          <t>TGO</t>
        </is>
      </c>
      <c r="C9868" t="n">
        <v>1979</v>
      </c>
      <c r="D9868" t="n">
        <v>7.53925120772937</v>
      </c>
    </row>
    <row r="9869">
      <c r="A9869" t="inlineStr">
        <is>
          <t>Togo</t>
        </is>
      </c>
      <c r="B9869" t="inlineStr">
        <is>
          <t>TGO</t>
        </is>
      </c>
      <c r="C9869" t="n">
        <v>1980</v>
      </c>
      <c r="D9869" t="n">
        <v>12.3068572123796</v>
      </c>
    </row>
    <row r="9870">
      <c r="A9870" t="inlineStr">
        <is>
          <t>Togo</t>
        </is>
      </c>
      <c r="B9870" t="inlineStr">
        <is>
          <t>TGO</t>
        </is>
      </c>
      <c r="C9870" t="n">
        <v>1981</v>
      </c>
      <c r="D9870" t="n">
        <v>19.7165023624806</v>
      </c>
    </row>
    <row r="9871">
      <c r="A9871" t="inlineStr">
        <is>
          <t>Togo</t>
        </is>
      </c>
      <c r="B9871" t="inlineStr">
        <is>
          <t>TGO</t>
        </is>
      </c>
      <c r="C9871" t="n">
        <v>1982</v>
      </c>
      <c r="D9871" t="n">
        <v>11.1296733281827</v>
      </c>
    </row>
    <row r="9872">
      <c r="A9872" t="inlineStr">
        <is>
          <t>Togo</t>
        </is>
      </c>
      <c r="B9872" t="inlineStr">
        <is>
          <t>TGO</t>
        </is>
      </c>
      <c r="C9872" t="n">
        <v>1983</v>
      </c>
      <c r="D9872" t="n">
        <v>9.355465079861499</v>
      </c>
    </row>
    <row r="9873">
      <c r="A9873" t="inlineStr">
        <is>
          <t>Togo</t>
        </is>
      </c>
      <c r="B9873" t="inlineStr">
        <is>
          <t>TGO</t>
        </is>
      </c>
      <c r="C9873" t="n">
        <v>1984</v>
      </c>
      <c r="D9873" t="n">
        <v>-3.52662871020549</v>
      </c>
    </row>
    <row r="9874">
      <c r="A9874" t="inlineStr">
        <is>
          <t>Togo</t>
        </is>
      </c>
      <c r="B9874" t="inlineStr">
        <is>
          <t>TGO</t>
        </is>
      </c>
      <c r="C9874" t="n">
        <v>1985</v>
      </c>
      <c r="D9874" t="n">
        <v>-1.81441438232164</v>
      </c>
    </row>
    <row r="9875">
      <c r="A9875" t="inlineStr">
        <is>
          <t>Togo</t>
        </is>
      </c>
      <c r="B9875" t="inlineStr">
        <is>
          <t>TGO</t>
        </is>
      </c>
      <c r="C9875" t="n">
        <v>1986</v>
      </c>
      <c r="D9875" t="n">
        <v>4.12461526367686</v>
      </c>
    </row>
    <row r="9876">
      <c r="A9876" t="inlineStr">
        <is>
          <t>Togo</t>
        </is>
      </c>
      <c r="B9876" t="inlineStr">
        <is>
          <t>TGO</t>
        </is>
      </c>
      <c r="C9876" t="n">
        <v>1987</v>
      </c>
      <c r="D9876" t="n">
        <v>0.0540088504826715</v>
      </c>
    </row>
    <row r="9877">
      <c r="A9877" t="inlineStr">
        <is>
          <t>Togo</t>
        </is>
      </c>
      <c r="B9877" t="inlineStr">
        <is>
          <t>TGO</t>
        </is>
      </c>
      <c r="C9877" t="n">
        <v>1988</v>
      </c>
      <c r="D9877" t="n">
        <v>-0.150910979934777</v>
      </c>
    </row>
    <row r="9878">
      <c r="A9878" t="inlineStr">
        <is>
          <t>Togo</t>
        </is>
      </c>
      <c r="B9878" t="inlineStr">
        <is>
          <t>TGO</t>
        </is>
      </c>
      <c r="C9878" t="n">
        <v>1989</v>
      </c>
      <c r="D9878" t="n">
        <v>-0.839403116952551</v>
      </c>
    </row>
    <row r="9879">
      <c r="A9879" t="inlineStr">
        <is>
          <t>Togo</t>
        </is>
      </c>
      <c r="B9879" t="inlineStr">
        <is>
          <t>TGO</t>
        </is>
      </c>
      <c r="C9879" t="n">
        <v>1990</v>
      </c>
      <c r="D9879" t="n">
        <v>1.01534150530809</v>
      </c>
    </row>
    <row r="9880">
      <c r="A9880" t="inlineStr">
        <is>
          <t>Togo</t>
        </is>
      </c>
      <c r="B9880" t="inlineStr">
        <is>
          <t>TGO</t>
        </is>
      </c>
      <c r="C9880" t="n">
        <v>1991</v>
      </c>
      <c r="D9880" t="n">
        <v>0.387081797870731</v>
      </c>
    </row>
    <row r="9881">
      <c r="A9881" t="inlineStr">
        <is>
          <t>Togo</t>
        </is>
      </c>
      <c r="B9881" t="inlineStr">
        <is>
          <t>TGO</t>
        </is>
      </c>
      <c r="C9881" t="n">
        <v>1992</v>
      </c>
      <c r="D9881" t="n">
        <v>1.39378663675941</v>
      </c>
    </row>
    <row r="9882">
      <c r="A9882" t="inlineStr">
        <is>
          <t>Togo</t>
        </is>
      </c>
      <c r="B9882" t="inlineStr">
        <is>
          <t>TGO</t>
        </is>
      </c>
      <c r="C9882" t="n">
        <v>1993</v>
      </c>
      <c r="D9882" t="n">
        <v>-1.00688168855036</v>
      </c>
    </row>
    <row r="9883">
      <c r="A9883" t="inlineStr">
        <is>
          <t>Togo</t>
        </is>
      </c>
      <c r="B9883" t="inlineStr">
        <is>
          <t>TGO</t>
        </is>
      </c>
      <c r="C9883" t="n">
        <v>1994</v>
      </c>
      <c r="D9883" t="n">
        <v>39.1627673796796</v>
      </c>
    </row>
    <row r="9884">
      <c r="A9884" t="inlineStr">
        <is>
          <t>Togo</t>
        </is>
      </c>
      <c r="B9884" t="inlineStr">
        <is>
          <t>TGO</t>
        </is>
      </c>
      <c r="C9884" t="n">
        <v>1995</v>
      </c>
      <c r="D9884" t="n">
        <v>16.4335034524163</v>
      </c>
    </row>
    <row r="9885">
      <c r="A9885" t="inlineStr">
        <is>
          <t>Togo</t>
        </is>
      </c>
      <c r="B9885" t="inlineStr">
        <is>
          <t>TGO</t>
        </is>
      </c>
      <c r="C9885" t="n">
        <v>1996</v>
      </c>
      <c r="D9885" t="n">
        <v>4.68749999999997</v>
      </c>
    </row>
    <row r="9886">
      <c r="A9886" t="inlineStr">
        <is>
          <t>Togo</t>
        </is>
      </c>
      <c r="B9886" t="inlineStr">
        <is>
          <t>TGO</t>
        </is>
      </c>
      <c r="C9886" t="n">
        <v>1997</v>
      </c>
      <c r="D9886" t="n">
        <v>8.25082508250804</v>
      </c>
    </row>
    <row r="9887">
      <c r="A9887" t="inlineStr">
        <is>
          <t>Togo</t>
        </is>
      </c>
      <c r="B9887" t="inlineStr">
        <is>
          <t>TGO</t>
        </is>
      </c>
      <c r="C9887" t="n">
        <v>1998</v>
      </c>
      <c r="D9887" t="n">
        <v>0.975338381088715</v>
      </c>
    </row>
    <row r="9888">
      <c r="A9888" t="inlineStr">
        <is>
          <t>Togo</t>
        </is>
      </c>
      <c r="B9888" t="inlineStr">
        <is>
          <t>TGO</t>
        </is>
      </c>
      <c r="C9888" t="n">
        <v>1999</v>
      </c>
      <c r="D9888" t="n">
        <v>-0.0532136248824353</v>
      </c>
    </row>
    <row r="9889">
      <c r="A9889" t="inlineStr">
        <is>
          <t>Togo</t>
        </is>
      </c>
      <c r="B9889" t="inlineStr">
        <is>
          <t>TGO</t>
        </is>
      </c>
      <c r="C9889" t="n">
        <v>2000</v>
      </c>
      <c r="D9889" t="n">
        <v>1.86260595463066</v>
      </c>
    </row>
    <row r="9890">
      <c r="A9890" t="inlineStr">
        <is>
          <t>Togo</t>
        </is>
      </c>
      <c r="B9890" t="inlineStr">
        <is>
          <t>TGO</t>
        </is>
      </c>
      <c r="C9890" t="n">
        <v>2001</v>
      </c>
      <c r="D9890" t="n">
        <v>3.91959133653157</v>
      </c>
    </row>
    <row r="9891">
      <c r="A9891" t="inlineStr">
        <is>
          <t>Togo</t>
        </is>
      </c>
      <c r="B9891" t="inlineStr">
        <is>
          <t>TGO</t>
        </is>
      </c>
      <c r="C9891" t="n">
        <v>2002</v>
      </c>
      <c r="D9891" t="n">
        <v>3.05981857535874</v>
      </c>
    </row>
    <row r="9892">
      <c r="A9892" t="inlineStr">
        <is>
          <t>Togo</t>
        </is>
      </c>
      <c r="B9892" t="inlineStr">
        <is>
          <t>TGO</t>
        </is>
      </c>
      <c r="C9892" t="n">
        <v>2003</v>
      </c>
      <c r="D9892" t="n">
        <v>-0.9300008840722011</v>
      </c>
    </row>
    <row r="9893">
      <c r="A9893" t="inlineStr">
        <is>
          <t>Togo</t>
        </is>
      </c>
      <c r="B9893" t="inlineStr">
        <is>
          <t>TGO</t>
        </is>
      </c>
      <c r="C9893" t="n">
        <v>2004</v>
      </c>
      <c r="D9893" t="n">
        <v>0.393078681031619</v>
      </c>
    </row>
    <row r="9894">
      <c r="A9894" t="inlineStr">
        <is>
          <t>Togo</t>
        </is>
      </c>
      <c r="B9894" t="inlineStr">
        <is>
          <t>TGO</t>
        </is>
      </c>
      <c r="C9894" t="n">
        <v>2005</v>
      </c>
      <c r="D9894" t="n">
        <v>6.7829289302831</v>
      </c>
    </row>
    <row r="9895">
      <c r="A9895" t="inlineStr">
        <is>
          <t>Togo</t>
        </is>
      </c>
      <c r="B9895" t="inlineStr">
        <is>
          <t>TGO</t>
        </is>
      </c>
      <c r="C9895" t="n">
        <v>2006</v>
      </c>
      <c r="D9895" t="n">
        <v>2.22897779414036</v>
      </c>
    </row>
    <row r="9896">
      <c r="A9896" t="inlineStr">
        <is>
          <t>Togo</t>
        </is>
      </c>
      <c r="B9896" t="inlineStr">
        <is>
          <t>TGO</t>
        </is>
      </c>
      <c r="C9896" t="n">
        <v>2007</v>
      </c>
      <c r="D9896" t="n">
        <v>0.945673271705144</v>
      </c>
    </row>
    <row r="9897">
      <c r="A9897" t="inlineStr">
        <is>
          <t>Togo</t>
        </is>
      </c>
      <c r="B9897" t="inlineStr">
        <is>
          <t>TGO</t>
        </is>
      </c>
      <c r="C9897" t="n">
        <v>2008</v>
      </c>
      <c r="D9897" t="n">
        <v>8.6948281436391</v>
      </c>
    </row>
    <row r="9898">
      <c r="A9898" t="inlineStr">
        <is>
          <t>Togo</t>
        </is>
      </c>
      <c r="B9898" t="inlineStr">
        <is>
          <t>TGO</t>
        </is>
      </c>
      <c r="C9898" t="n">
        <v>2009</v>
      </c>
      <c r="D9898" t="n">
        <v>3.71360592035802</v>
      </c>
    </row>
    <row r="9899">
      <c r="A9899" t="inlineStr">
        <is>
          <t>Togo</t>
        </is>
      </c>
      <c r="B9899" t="inlineStr">
        <is>
          <t>TGO</t>
        </is>
      </c>
      <c r="C9899" t="n">
        <v>2010</v>
      </c>
      <c r="D9899" t="n">
        <v>1.44594517430866</v>
      </c>
    </row>
    <row r="9900">
      <c r="A9900" t="inlineStr">
        <is>
          <t>Togo</t>
        </is>
      </c>
      <c r="B9900" t="inlineStr">
        <is>
          <t>TGO</t>
        </is>
      </c>
      <c r="C9900" t="n">
        <v>2011</v>
      </c>
      <c r="D9900" t="n">
        <v>3.56351472903954</v>
      </c>
    </row>
    <row r="9901">
      <c r="A9901" t="inlineStr">
        <is>
          <t>Togo</t>
        </is>
      </c>
      <c r="B9901" t="inlineStr">
        <is>
          <t>TGO</t>
        </is>
      </c>
      <c r="C9901" t="n">
        <v>2012</v>
      </c>
      <c r="D9901" t="n">
        <v>2.57718174055848</v>
      </c>
    </row>
    <row r="9902">
      <c r="A9902" t="inlineStr">
        <is>
          <t>Togo</t>
        </is>
      </c>
      <c r="B9902" t="inlineStr">
        <is>
          <t>TGO</t>
        </is>
      </c>
      <c r="C9902" t="n">
        <v>2013</v>
      </c>
      <c r="D9902" t="n">
        <v>1.82539475909171</v>
      </c>
    </row>
    <row r="9903">
      <c r="A9903" t="inlineStr">
        <is>
          <t>Togo</t>
        </is>
      </c>
      <c r="B9903" t="inlineStr">
        <is>
          <t>TGO</t>
        </is>
      </c>
      <c r="C9903" t="n">
        <v>2014</v>
      </c>
      <c r="D9903" t="n">
        <v>0.19087507624975</v>
      </c>
    </row>
    <row r="9904">
      <c r="A9904" t="inlineStr">
        <is>
          <t>Togo</t>
        </is>
      </c>
      <c r="B9904" t="inlineStr">
        <is>
          <t>TGO</t>
        </is>
      </c>
      <c r="C9904" t="n">
        <v>2015</v>
      </c>
      <c r="D9904" t="n">
        <v>2.58500390801595</v>
      </c>
    </row>
    <row r="9905">
      <c r="A9905" t="inlineStr">
        <is>
          <t>Togo</t>
        </is>
      </c>
      <c r="B9905" t="inlineStr">
        <is>
          <t>TGO</t>
        </is>
      </c>
      <c r="C9905" t="n">
        <v>2016</v>
      </c>
      <c r="D9905" t="n">
        <v>1.28544847051417</v>
      </c>
    </row>
    <row r="9906">
      <c r="A9906" t="inlineStr">
        <is>
          <t>Togo</t>
        </is>
      </c>
      <c r="B9906" t="inlineStr">
        <is>
          <t>TGO</t>
        </is>
      </c>
      <c r="C9906" t="n">
        <v>2017</v>
      </c>
      <c r="D9906" t="n">
        <v>-0.981889868943119</v>
      </c>
    </row>
    <row r="9907">
      <c r="A9907" t="inlineStr">
        <is>
          <t>Togo</t>
        </is>
      </c>
      <c r="B9907" t="inlineStr">
        <is>
          <t>TGO</t>
        </is>
      </c>
      <c r="C9907" t="n">
        <v>2018</v>
      </c>
      <c r="D9907" t="n">
        <v>0.927755426457183</v>
      </c>
    </row>
    <row r="9908">
      <c r="A9908" t="inlineStr">
        <is>
          <t>Togo</t>
        </is>
      </c>
      <c r="B9908" t="inlineStr">
        <is>
          <t>TGO</t>
        </is>
      </c>
      <c r="C9908" t="n">
        <v>2019</v>
      </c>
      <c r="D9908" t="n">
        <v>0.674652770077436</v>
      </c>
    </row>
    <row r="9909">
      <c r="A9909" t="inlineStr">
        <is>
          <t>Togo</t>
        </is>
      </c>
      <c r="B9909" t="inlineStr">
        <is>
          <t>TGO</t>
        </is>
      </c>
      <c r="C9909" t="n">
        <v>2020</v>
      </c>
      <c r="D9909" t="n">
        <v>1.69928463299408</v>
      </c>
    </row>
    <row r="9910">
      <c r="A9910" t="inlineStr">
        <is>
          <t>Togo</t>
        </is>
      </c>
      <c r="B9910" t="inlineStr">
        <is>
          <t>TGO</t>
        </is>
      </c>
      <c r="C9910" t="n">
        <v>2021</v>
      </c>
      <c r="D9910" t="n">
        <v>4.1862150652352</v>
      </c>
    </row>
    <row r="9911">
      <c r="A9911" t="inlineStr">
        <is>
          <t>Togo</t>
        </is>
      </c>
      <c r="B9911" t="inlineStr">
        <is>
          <t>TGO</t>
        </is>
      </c>
      <c r="C9911" t="n">
        <v>2022</v>
      </c>
      <c r="D9911" t="n">
        <v>7.96757361617945</v>
      </c>
    </row>
    <row r="9912">
      <c r="A9912" t="inlineStr">
        <is>
          <t>Togo</t>
        </is>
      </c>
      <c r="B9912" t="inlineStr">
        <is>
          <t>TGO</t>
        </is>
      </c>
      <c r="C9912" t="n">
        <v>2023</v>
      </c>
      <c r="D9912" t="n">
        <v>5.48928568141124</v>
      </c>
    </row>
    <row r="9913">
      <c r="A9913" t="inlineStr">
        <is>
          <t>Thailand</t>
        </is>
      </c>
      <c r="B9913" t="inlineStr">
        <is>
          <t>THA</t>
        </is>
      </c>
      <c r="C9913" t="n">
        <v>1960</v>
      </c>
      <c r="D9913" t="n">
        <v>-0.765864332603765</v>
      </c>
    </row>
    <row r="9914">
      <c r="A9914" t="inlineStr">
        <is>
          <t>Thailand</t>
        </is>
      </c>
      <c r="B9914" t="inlineStr">
        <is>
          <t>THA</t>
        </is>
      </c>
      <c r="C9914" t="n">
        <v>1961</v>
      </c>
      <c r="D9914" t="n">
        <v>7.38699007717708</v>
      </c>
    </row>
    <row r="9915">
      <c r="A9915" t="inlineStr">
        <is>
          <t>Thailand</t>
        </is>
      </c>
      <c r="B9915" t="inlineStr">
        <is>
          <t>THA</t>
        </is>
      </c>
      <c r="C9915" t="n">
        <v>1962</v>
      </c>
      <c r="D9915" t="n">
        <v>3.69609856262894</v>
      </c>
    </row>
    <row r="9916">
      <c r="A9916" t="inlineStr">
        <is>
          <t>Thailand</t>
        </is>
      </c>
      <c r="B9916" t="inlineStr">
        <is>
          <t>THA</t>
        </is>
      </c>
      <c r="C9916" t="n">
        <v>1963</v>
      </c>
      <c r="D9916" t="n">
        <v>0</v>
      </c>
    </row>
    <row r="9917">
      <c r="A9917" t="inlineStr">
        <is>
          <t>Thailand</t>
        </is>
      </c>
      <c r="B9917" t="inlineStr">
        <is>
          <t>THA</t>
        </is>
      </c>
      <c r="C9917" t="n">
        <v>1964</v>
      </c>
      <c r="D9917" t="n">
        <v>-0.792079207921113</v>
      </c>
    </row>
    <row r="9918">
      <c r="A9918" t="inlineStr">
        <is>
          <t>Thailand</t>
        </is>
      </c>
      <c r="B9918" t="inlineStr">
        <is>
          <t>THA</t>
        </is>
      </c>
      <c r="C9918" t="n">
        <v>1965</v>
      </c>
      <c r="D9918" t="n">
        <v>0.166333998420151</v>
      </c>
    </row>
    <row r="9919">
      <c r="A9919" t="inlineStr">
        <is>
          <t>Thailand</t>
        </is>
      </c>
      <c r="B9919" t="inlineStr">
        <is>
          <t>THA</t>
        </is>
      </c>
      <c r="C9919" t="n">
        <v>1966</v>
      </c>
      <c r="D9919" t="n">
        <v>4.03520425067445</v>
      </c>
    </row>
    <row r="9920">
      <c r="A9920" t="inlineStr">
        <is>
          <t>Thailand</t>
        </is>
      </c>
      <c r="B9920" t="inlineStr">
        <is>
          <t>THA</t>
        </is>
      </c>
      <c r="C9920" t="n">
        <v>1967</v>
      </c>
      <c r="D9920" t="n">
        <v>4.30965682357132</v>
      </c>
    </row>
    <row r="9921">
      <c r="A9921" t="inlineStr">
        <is>
          <t>Thailand</t>
        </is>
      </c>
      <c r="B9921" t="inlineStr">
        <is>
          <t>THA</t>
        </is>
      </c>
      <c r="C9921" t="n">
        <v>1968</v>
      </c>
      <c r="D9921" t="n">
        <v>1.79035960223018</v>
      </c>
    </row>
    <row r="9922">
      <c r="A9922" t="inlineStr">
        <is>
          <t>Thailand</t>
        </is>
      </c>
      <c r="B9922" t="inlineStr">
        <is>
          <t>THA</t>
        </is>
      </c>
      <c r="C9922" t="n">
        <v>1969</v>
      </c>
      <c r="D9922" t="n">
        <v>2.45039085983105</v>
      </c>
    </row>
    <row r="9923">
      <c r="A9923" t="inlineStr">
        <is>
          <t>Thailand</t>
        </is>
      </c>
      <c r="B9923" t="inlineStr">
        <is>
          <t>THA</t>
        </is>
      </c>
      <c r="C9923" t="n">
        <v>1970</v>
      </c>
      <c r="D9923" t="n">
        <v>-0.0880410855462474</v>
      </c>
    </row>
    <row r="9924">
      <c r="A9924" t="inlineStr">
        <is>
          <t>Thailand</t>
        </is>
      </c>
      <c r="B9924" t="inlineStr">
        <is>
          <t>THA</t>
        </is>
      </c>
      <c r="C9924" t="n">
        <v>1971</v>
      </c>
      <c r="D9924" t="n">
        <v>0.484652665370717</v>
      </c>
    </row>
    <row r="9925">
      <c r="A9925" t="inlineStr">
        <is>
          <t>Thailand</t>
        </is>
      </c>
      <c r="B9925" t="inlineStr">
        <is>
          <t>THA</t>
        </is>
      </c>
      <c r="C9925" t="n">
        <v>1972</v>
      </c>
      <c r="D9925" t="n">
        <v>4.83776673497443</v>
      </c>
    </row>
    <row r="9926">
      <c r="A9926" t="inlineStr">
        <is>
          <t>Thailand</t>
        </is>
      </c>
      <c r="B9926" t="inlineStr">
        <is>
          <t>THA</t>
        </is>
      </c>
      <c r="C9926" t="n">
        <v>1973</v>
      </c>
      <c r="D9926" t="n">
        <v>15.5095497002705</v>
      </c>
    </row>
    <row r="9927">
      <c r="A9927" t="inlineStr">
        <is>
          <t>Thailand</t>
        </is>
      </c>
      <c r="B9927" t="inlineStr">
        <is>
          <t>THA</t>
        </is>
      </c>
      <c r="C9927" t="n">
        <v>1974</v>
      </c>
      <c r="D9927" t="n">
        <v>24.3135598335014</v>
      </c>
    </row>
    <row r="9928">
      <c r="A9928" t="inlineStr">
        <is>
          <t>Thailand</t>
        </is>
      </c>
      <c r="B9928" t="inlineStr">
        <is>
          <t>THA</t>
        </is>
      </c>
      <c r="C9928" t="n">
        <v>1975</v>
      </c>
      <c r="D9928" t="n">
        <v>5.33009708749865</v>
      </c>
    </row>
    <row r="9929">
      <c r="A9929" t="inlineStr">
        <is>
          <t>Thailand</t>
        </is>
      </c>
      <c r="B9929" t="inlineStr">
        <is>
          <t>THA</t>
        </is>
      </c>
      <c r="C9929" t="n">
        <v>1976</v>
      </c>
      <c r="D9929" t="n">
        <v>4.14930555494793</v>
      </c>
    </row>
    <row r="9930">
      <c r="A9930" t="inlineStr">
        <is>
          <t>Thailand</t>
        </is>
      </c>
      <c r="B9930" t="inlineStr">
        <is>
          <t>THA</t>
        </is>
      </c>
      <c r="C9930" t="n">
        <v>1977</v>
      </c>
      <c r="D9930" t="n">
        <v>7.60126687769027</v>
      </c>
    </row>
    <row r="9931">
      <c r="A9931" t="inlineStr">
        <is>
          <t>Thailand</t>
        </is>
      </c>
      <c r="B9931" t="inlineStr">
        <is>
          <t>THA</t>
        </is>
      </c>
      <c r="C9931" t="n">
        <v>1978</v>
      </c>
      <c r="D9931" t="n">
        <v>7.92408985303782</v>
      </c>
    </row>
    <row r="9932">
      <c r="A9932" t="inlineStr">
        <is>
          <t>Thailand</t>
        </is>
      </c>
      <c r="B9932" t="inlineStr">
        <is>
          <t>THA</t>
        </is>
      </c>
      <c r="C9932" t="n">
        <v>1979</v>
      </c>
      <c r="D9932" t="n">
        <v>9.897365965599271</v>
      </c>
    </row>
    <row r="9933">
      <c r="A9933" t="inlineStr">
        <is>
          <t>Thailand</t>
        </is>
      </c>
      <c r="B9933" t="inlineStr">
        <is>
          <t>THA</t>
        </is>
      </c>
      <c r="C9933" t="n">
        <v>1980</v>
      </c>
      <c r="D9933" t="n">
        <v>19.703500522778</v>
      </c>
    </row>
    <row r="9934">
      <c r="A9934" t="inlineStr">
        <is>
          <t>Thailand</t>
        </is>
      </c>
      <c r="B9934" t="inlineStr">
        <is>
          <t>THA</t>
        </is>
      </c>
      <c r="C9934" t="n">
        <v>1981</v>
      </c>
      <c r="D9934" t="n">
        <v>12.6629930710215</v>
      </c>
    </row>
    <row r="9935">
      <c r="A9935" t="inlineStr">
        <is>
          <t>Thailand</t>
        </is>
      </c>
      <c r="B9935" t="inlineStr">
        <is>
          <t>THA</t>
        </is>
      </c>
      <c r="C9935" t="n">
        <v>1982</v>
      </c>
      <c r="D9935" t="n">
        <v>5.25907990316824</v>
      </c>
    </row>
    <row r="9936">
      <c r="A9936" t="inlineStr">
        <is>
          <t>Thailand</t>
        </is>
      </c>
      <c r="B9936" t="inlineStr">
        <is>
          <t>THA</t>
        </is>
      </c>
      <c r="C9936" t="n">
        <v>1983</v>
      </c>
      <c r="D9936" t="n">
        <v>3.7265366212408</v>
      </c>
    </row>
    <row r="9937">
      <c r="A9937" t="inlineStr">
        <is>
          <t>Thailand</t>
        </is>
      </c>
      <c r="B9937" t="inlineStr">
        <is>
          <t>THA</t>
        </is>
      </c>
      <c r="C9937" t="n">
        <v>1984</v>
      </c>
      <c r="D9937" t="n">
        <v>0.864898430279296</v>
      </c>
    </row>
    <row r="9938">
      <c r="A9938" t="inlineStr">
        <is>
          <t>Thailand</t>
        </is>
      </c>
      <c r="B9938" t="inlineStr">
        <is>
          <t>THA</t>
        </is>
      </c>
      <c r="C9938" t="n">
        <v>1985</v>
      </c>
      <c r="D9938" t="n">
        <v>2.43173123433475</v>
      </c>
    </row>
    <row r="9939">
      <c r="A9939" t="inlineStr">
        <is>
          <t>Thailand</t>
        </is>
      </c>
      <c r="B9939" t="inlineStr">
        <is>
          <t>THA</t>
        </is>
      </c>
      <c r="C9939" t="n">
        <v>1986</v>
      </c>
      <c r="D9939" t="n">
        <v>1.84167596806049</v>
      </c>
    </row>
    <row r="9940">
      <c r="A9940" t="inlineStr">
        <is>
          <t>Thailand</t>
        </is>
      </c>
      <c r="B9940" t="inlineStr">
        <is>
          <t>THA</t>
        </is>
      </c>
      <c r="C9940" t="n">
        <v>1987</v>
      </c>
      <c r="D9940" t="n">
        <v>2.46646112823951</v>
      </c>
    </row>
    <row r="9941">
      <c r="A9941" t="inlineStr">
        <is>
          <t>Thailand</t>
        </is>
      </c>
      <c r="B9941" t="inlineStr">
        <is>
          <t>THA</t>
        </is>
      </c>
      <c r="C9941" t="n">
        <v>1988</v>
      </c>
      <c r="D9941" t="n">
        <v>3.86273074733655</v>
      </c>
    </row>
    <row r="9942">
      <c r="A9942" t="inlineStr">
        <is>
          <t>Thailand</t>
        </is>
      </c>
      <c r="B9942" t="inlineStr">
        <is>
          <t>THA</t>
        </is>
      </c>
      <c r="C9942" t="n">
        <v>1989</v>
      </c>
      <c r="D9942" t="n">
        <v>5.35546507986216</v>
      </c>
    </row>
    <row r="9943">
      <c r="A9943" t="inlineStr">
        <is>
          <t>Thailand</t>
        </is>
      </c>
      <c r="B9943" t="inlineStr">
        <is>
          <t>THA</t>
        </is>
      </c>
      <c r="C9943" t="n">
        <v>1990</v>
      </c>
      <c r="D9943" t="n">
        <v>5.86399474375828</v>
      </c>
    </row>
    <row r="9944">
      <c r="A9944" t="inlineStr">
        <is>
          <t>Thailand</t>
        </is>
      </c>
      <c r="B9944" t="inlineStr">
        <is>
          <t>THA</t>
        </is>
      </c>
      <c r="C9944" t="n">
        <v>1991</v>
      </c>
      <c r="D9944" t="n">
        <v>5.70985259891396</v>
      </c>
    </row>
    <row r="9945">
      <c r="A9945" t="inlineStr">
        <is>
          <t>Thailand</t>
        </is>
      </c>
      <c r="B9945" t="inlineStr">
        <is>
          <t>THA</t>
        </is>
      </c>
      <c r="C9945" t="n">
        <v>1992</v>
      </c>
      <c r="D9945" t="n">
        <v>4.13914575077056</v>
      </c>
    </row>
    <row r="9946">
      <c r="A9946" t="inlineStr">
        <is>
          <t>Thailand</t>
        </is>
      </c>
      <c r="B9946" t="inlineStr">
        <is>
          <t>THA</t>
        </is>
      </c>
      <c r="C9946" t="n">
        <v>1993</v>
      </c>
      <c r="D9946" t="n">
        <v>3.31219168428468</v>
      </c>
    </row>
    <row r="9947">
      <c r="A9947" t="inlineStr">
        <is>
          <t>Thailand</t>
        </is>
      </c>
      <c r="B9947" t="inlineStr">
        <is>
          <t>THA</t>
        </is>
      </c>
      <c r="C9947" t="n">
        <v>1994</v>
      </c>
      <c r="D9947" t="n">
        <v>5.04774897680755</v>
      </c>
    </row>
    <row r="9948">
      <c r="A9948" t="inlineStr">
        <is>
          <t>Thailand</t>
        </is>
      </c>
      <c r="B9948" t="inlineStr">
        <is>
          <t>THA</t>
        </is>
      </c>
      <c r="C9948" t="n">
        <v>1995</v>
      </c>
      <c r="D9948" t="n">
        <v>5.81818181818192</v>
      </c>
    </row>
    <row r="9949">
      <c r="A9949" t="inlineStr">
        <is>
          <t>Thailand</t>
        </is>
      </c>
      <c r="B9949" t="inlineStr">
        <is>
          <t>THA</t>
        </is>
      </c>
      <c r="C9949" t="n">
        <v>1996</v>
      </c>
      <c r="D9949" t="n">
        <v>5.80510554737349</v>
      </c>
    </row>
    <row r="9950">
      <c r="A9950" t="inlineStr">
        <is>
          <t>Thailand</t>
        </is>
      </c>
      <c r="B9950" t="inlineStr">
        <is>
          <t>THA</t>
        </is>
      </c>
      <c r="C9950" t="n">
        <v>1997</v>
      </c>
      <c r="D9950" t="n">
        <v>5.62579747129104</v>
      </c>
    </row>
    <row r="9951">
      <c r="A9951" t="inlineStr">
        <is>
          <t>Thailand</t>
        </is>
      </c>
      <c r="B9951" t="inlineStr">
        <is>
          <t>THA</t>
        </is>
      </c>
      <c r="C9951" t="n">
        <v>1998</v>
      </c>
      <c r="D9951" t="n">
        <v>7.9947287502746</v>
      </c>
    </row>
    <row r="9952">
      <c r="A9952" t="inlineStr">
        <is>
          <t>Thailand</t>
        </is>
      </c>
      <c r="B9952" t="inlineStr">
        <is>
          <t>THA</t>
        </is>
      </c>
      <c r="C9952" t="n">
        <v>1999</v>
      </c>
      <c r="D9952" t="n">
        <v>0.284726459223034</v>
      </c>
    </row>
    <row r="9953">
      <c r="A9953" t="inlineStr">
        <is>
          <t>Thailand</t>
        </is>
      </c>
      <c r="B9953" t="inlineStr">
        <is>
          <t>THA</t>
        </is>
      </c>
      <c r="C9953" t="n">
        <v>2000</v>
      </c>
      <c r="D9953" t="n">
        <v>1.59196917460972</v>
      </c>
    </row>
    <row r="9954">
      <c r="A9954" t="inlineStr">
        <is>
          <t>Thailand</t>
        </is>
      </c>
      <c r="B9954" t="inlineStr">
        <is>
          <t>THA</t>
        </is>
      </c>
      <c r="C9954" t="n">
        <v>2001</v>
      </c>
      <c r="D9954" t="n">
        <v>1.62690887314091</v>
      </c>
    </row>
    <row r="9955">
      <c r="A9955" t="inlineStr">
        <is>
          <t>Thailand</t>
        </is>
      </c>
      <c r="B9955" t="inlineStr">
        <is>
          <t>THA</t>
        </is>
      </c>
      <c r="C9955" t="n">
        <v>2002</v>
      </c>
      <c r="D9955" t="n">
        <v>0.697308976625449</v>
      </c>
    </row>
    <row r="9956">
      <c r="A9956" t="inlineStr">
        <is>
          <t>Thailand</t>
        </is>
      </c>
      <c r="B9956" t="inlineStr">
        <is>
          <t>THA</t>
        </is>
      </c>
      <c r="C9956" t="n">
        <v>2003</v>
      </c>
      <c r="D9956" t="n">
        <v>1.8043499463572</v>
      </c>
    </row>
    <row r="9957">
      <c r="A9957" t="inlineStr">
        <is>
          <t>Thailand</t>
        </is>
      </c>
      <c r="B9957" t="inlineStr">
        <is>
          <t>THA</t>
        </is>
      </c>
      <c r="C9957" t="n">
        <v>2004</v>
      </c>
      <c r="D9957" t="n">
        <v>2.75914926231081</v>
      </c>
    </row>
    <row r="9958">
      <c r="A9958" t="inlineStr">
        <is>
          <t>Thailand</t>
        </is>
      </c>
      <c r="B9958" t="inlineStr">
        <is>
          <t>THA</t>
        </is>
      </c>
      <c r="C9958" t="n">
        <v>2005</v>
      </c>
      <c r="D9958" t="n">
        <v>4.54036919634535</v>
      </c>
    </row>
    <row r="9959">
      <c r="A9959" t="inlineStr">
        <is>
          <t>Thailand</t>
        </is>
      </c>
      <c r="B9959" t="inlineStr">
        <is>
          <t>THA</t>
        </is>
      </c>
      <c r="C9959" t="n">
        <v>2006</v>
      </c>
      <c r="D9959" t="n">
        <v>4.63747436011765</v>
      </c>
    </row>
    <row r="9960">
      <c r="A9960" t="inlineStr">
        <is>
          <t>Thailand</t>
        </is>
      </c>
      <c r="B9960" t="inlineStr">
        <is>
          <t>THA</t>
        </is>
      </c>
      <c r="C9960" t="n">
        <v>2007</v>
      </c>
      <c r="D9960" t="n">
        <v>2.24154095286802</v>
      </c>
    </row>
    <row r="9961">
      <c r="A9961" t="inlineStr">
        <is>
          <t>Thailand</t>
        </is>
      </c>
      <c r="B9961" t="inlineStr">
        <is>
          <t>THA</t>
        </is>
      </c>
      <c r="C9961" t="n">
        <v>2008</v>
      </c>
      <c r="D9961" t="n">
        <v>5.46848949649846</v>
      </c>
    </row>
    <row r="9962">
      <c r="A9962" t="inlineStr">
        <is>
          <t>Thailand</t>
        </is>
      </c>
      <c r="B9962" t="inlineStr">
        <is>
          <t>THA</t>
        </is>
      </c>
      <c r="C9962" t="n">
        <v>2009</v>
      </c>
      <c r="D9962" t="n">
        <v>-0.845716092316721</v>
      </c>
    </row>
    <row r="9963">
      <c r="A9963" t="inlineStr">
        <is>
          <t>Thailand</t>
        </is>
      </c>
      <c r="B9963" t="inlineStr">
        <is>
          <t>THA</t>
        </is>
      </c>
      <c r="C9963" t="n">
        <v>2010</v>
      </c>
      <c r="D9963" t="n">
        <v>3.24758842443723</v>
      </c>
    </row>
    <row r="9964">
      <c r="A9964" t="inlineStr">
        <is>
          <t>Thailand</t>
        </is>
      </c>
      <c r="B9964" t="inlineStr">
        <is>
          <t>THA</t>
        </is>
      </c>
      <c r="C9964" t="n">
        <v>2011</v>
      </c>
      <c r="D9964" t="n">
        <v>3.80879058139634</v>
      </c>
    </row>
    <row r="9965">
      <c r="A9965" t="inlineStr">
        <is>
          <t>Thailand</t>
        </is>
      </c>
      <c r="B9965" t="inlineStr">
        <is>
          <t>THA</t>
        </is>
      </c>
      <c r="C9965" t="n">
        <v>2012</v>
      </c>
      <c r="D9965" t="n">
        <v>3.01489950334994</v>
      </c>
    </row>
    <row r="9966">
      <c r="A9966" t="inlineStr">
        <is>
          <t>Thailand</t>
        </is>
      </c>
      <c r="B9966" t="inlineStr">
        <is>
          <t>THA</t>
        </is>
      </c>
      <c r="C9966" t="n">
        <v>2013</v>
      </c>
      <c r="D9966" t="n">
        <v>2.18488618530678</v>
      </c>
    </row>
    <row r="9967">
      <c r="A9967" t="inlineStr">
        <is>
          <t>Thailand</t>
        </is>
      </c>
      <c r="B9967" t="inlineStr">
        <is>
          <t>THA</t>
        </is>
      </c>
      <c r="C9967" t="n">
        <v>2014</v>
      </c>
      <c r="D9967" t="n">
        <v>1.8951418189878</v>
      </c>
    </row>
    <row r="9968">
      <c r="A9968" t="inlineStr">
        <is>
          <t>Thailand</t>
        </is>
      </c>
      <c r="B9968" t="inlineStr">
        <is>
          <t>THA</t>
        </is>
      </c>
      <c r="C9968" t="n">
        <v>2015</v>
      </c>
      <c r="D9968" t="n">
        <v>-0.900424963291569</v>
      </c>
    </row>
    <row r="9969">
      <c r="A9969" t="inlineStr">
        <is>
          <t>Thailand</t>
        </is>
      </c>
      <c r="B9969" t="inlineStr">
        <is>
          <t>THA</t>
        </is>
      </c>
      <c r="C9969" t="n">
        <v>2016</v>
      </c>
      <c r="D9969" t="n">
        <v>0.188149704448234</v>
      </c>
    </row>
    <row r="9970">
      <c r="A9970" t="inlineStr">
        <is>
          <t>Thailand</t>
        </is>
      </c>
      <c r="B9970" t="inlineStr">
        <is>
          <t>THA</t>
        </is>
      </c>
      <c r="C9970" t="n">
        <v>2017</v>
      </c>
      <c r="D9970" t="n">
        <v>0.665631893135106</v>
      </c>
    </row>
    <row r="9971">
      <c r="A9971" t="inlineStr">
        <is>
          <t>Thailand</t>
        </is>
      </c>
      <c r="B9971" t="inlineStr">
        <is>
          <t>THA</t>
        </is>
      </c>
      <c r="C9971" t="n">
        <v>2018</v>
      </c>
      <c r="D9971" t="n">
        <v>1.06389754183015</v>
      </c>
    </row>
    <row r="9972">
      <c r="A9972" t="inlineStr">
        <is>
          <t>Thailand</t>
        </is>
      </c>
      <c r="B9972" t="inlineStr">
        <is>
          <t>THA</t>
        </is>
      </c>
      <c r="C9972" t="n">
        <v>2019</v>
      </c>
      <c r="D9972" t="n">
        <v>0.706728601314311</v>
      </c>
    </row>
    <row r="9973">
      <c r="A9973" t="inlineStr">
        <is>
          <t>Thailand</t>
        </is>
      </c>
      <c r="B9973" t="inlineStr">
        <is>
          <t>THA</t>
        </is>
      </c>
      <c r="C9973" t="n">
        <v>2020</v>
      </c>
      <c r="D9973" t="n">
        <v>-0.845937147357041</v>
      </c>
    </row>
    <row r="9974">
      <c r="A9974" t="inlineStr">
        <is>
          <t>Thailand</t>
        </is>
      </c>
      <c r="B9974" t="inlineStr">
        <is>
          <t>THA</t>
        </is>
      </c>
      <c r="C9974" t="n">
        <v>2021</v>
      </c>
      <c r="D9974" t="n">
        <v>1.23039541318384</v>
      </c>
    </row>
    <row r="9975">
      <c r="A9975" t="inlineStr">
        <is>
          <t>Thailand</t>
        </is>
      </c>
      <c r="B9975" t="inlineStr">
        <is>
          <t>THA</t>
        </is>
      </c>
      <c r="C9975" t="n">
        <v>2022</v>
      </c>
      <c r="D9975" t="n">
        <v>6.07741228434321</v>
      </c>
    </row>
    <row r="9976">
      <c r="A9976" t="inlineStr">
        <is>
          <t>Thailand</t>
        </is>
      </c>
      <c r="B9976" t="inlineStr">
        <is>
          <t>THA</t>
        </is>
      </c>
      <c r="C9976" t="n">
        <v>2023</v>
      </c>
      <c r="D9976" t="n">
        <v>1.22802623546169</v>
      </c>
    </row>
    <row r="9977">
      <c r="A9977" t="inlineStr">
        <is>
          <t>Tajikistan</t>
        </is>
      </c>
      <c r="B9977" t="inlineStr">
        <is>
          <t>TJK</t>
        </is>
      </c>
      <c r="C9977" t="n">
        <v>2001</v>
      </c>
      <c r="D9977" t="n">
        <v>38.59188944886</v>
      </c>
    </row>
    <row r="9978">
      <c r="A9978" t="inlineStr">
        <is>
          <t>Tajikistan</t>
        </is>
      </c>
      <c r="B9978" t="inlineStr">
        <is>
          <t>TJK</t>
        </is>
      </c>
      <c r="C9978" t="n">
        <v>2002</v>
      </c>
      <c r="D9978" t="n">
        <v>12.2499847845885</v>
      </c>
    </row>
    <row r="9979">
      <c r="A9979" t="inlineStr">
        <is>
          <t>Tajikistan</t>
        </is>
      </c>
      <c r="B9979" t="inlineStr">
        <is>
          <t>TJK</t>
        </is>
      </c>
      <c r="C9979" t="n">
        <v>2003</v>
      </c>
      <c r="D9979" t="n">
        <v>16.3034912049491</v>
      </c>
    </row>
    <row r="9980">
      <c r="A9980" t="inlineStr">
        <is>
          <t>Tajikistan</t>
        </is>
      </c>
      <c r="B9980" t="inlineStr">
        <is>
          <t>TJK</t>
        </is>
      </c>
      <c r="C9980" t="n">
        <v>2004</v>
      </c>
      <c r="D9980" t="n">
        <v>7.14196508692253</v>
      </c>
    </row>
    <row r="9981">
      <c r="A9981" t="inlineStr">
        <is>
          <t>Tajikistan</t>
        </is>
      </c>
      <c r="B9981" t="inlineStr">
        <is>
          <t>TJK</t>
        </is>
      </c>
      <c r="C9981" t="n">
        <v>2005</v>
      </c>
      <c r="D9981" t="n">
        <v>7.09193244083773</v>
      </c>
    </row>
    <row r="9982">
      <c r="A9982" t="inlineStr">
        <is>
          <t>Tajikistan</t>
        </is>
      </c>
      <c r="B9982" t="inlineStr">
        <is>
          <t>TJK</t>
        </is>
      </c>
      <c r="C9982" t="n">
        <v>2006</v>
      </c>
      <c r="D9982" t="n">
        <v>10.0108651886461</v>
      </c>
    </row>
    <row r="9983">
      <c r="A9983" t="inlineStr">
        <is>
          <t>Tajikistan</t>
        </is>
      </c>
      <c r="B9983" t="inlineStr">
        <is>
          <t>TJK</t>
        </is>
      </c>
      <c r="C9983" t="n">
        <v>2007</v>
      </c>
      <c r="D9983" t="n">
        <v>13.1491247062982</v>
      </c>
    </row>
    <row r="9984">
      <c r="A9984" t="inlineStr">
        <is>
          <t>Tajikistan</t>
        </is>
      </c>
      <c r="B9984" t="inlineStr">
        <is>
          <t>TJK</t>
        </is>
      </c>
      <c r="C9984" t="n">
        <v>2008</v>
      </c>
      <c r="D9984" t="n">
        <v>20.4705219109964</v>
      </c>
    </row>
    <row r="9985">
      <c r="A9985" t="inlineStr">
        <is>
          <t>Tajikistan</t>
        </is>
      </c>
      <c r="B9985" t="inlineStr">
        <is>
          <t>TJK</t>
        </is>
      </c>
      <c r="C9985" t="n">
        <v>2009</v>
      </c>
      <c r="D9985" t="n">
        <v>6.44823481066697</v>
      </c>
    </row>
    <row r="9986">
      <c r="A9986" t="inlineStr">
        <is>
          <t>Tajikistan</t>
        </is>
      </c>
      <c r="B9986" t="inlineStr">
        <is>
          <t>TJK</t>
        </is>
      </c>
      <c r="C9986" t="n">
        <v>2010</v>
      </c>
      <c r="D9986" t="n">
        <v>6.44531440780658</v>
      </c>
    </row>
    <row r="9987">
      <c r="A9987" t="inlineStr">
        <is>
          <t>Tajikistan</t>
        </is>
      </c>
      <c r="B9987" t="inlineStr">
        <is>
          <t>TJK</t>
        </is>
      </c>
      <c r="C9987" t="n">
        <v>2011</v>
      </c>
      <c r="D9987" t="n">
        <v>12.4315490430406</v>
      </c>
    </row>
    <row r="9988">
      <c r="A9988" t="inlineStr">
        <is>
          <t>Tajikistan</t>
        </is>
      </c>
      <c r="B9988" t="inlineStr">
        <is>
          <t>TJK</t>
        </is>
      </c>
      <c r="C9988" t="n">
        <v>2012</v>
      </c>
      <c r="D9988" t="n">
        <v>5.83116601031462</v>
      </c>
    </row>
    <row r="9989">
      <c r="A9989" t="inlineStr">
        <is>
          <t>Tajikistan</t>
        </is>
      </c>
      <c r="B9989" t="inlineStr">
        <is>
          <t>TJK</t>
        </is>
      </c>
      <c r="C9989" t="n">
        <v>2013</v>
      </c>
      <c r="D9989" t="n">
        <v>5.00964645344951</v>
      </c>
    </row>
    <row r="9990">
      <c r="A9990" t="inlineStr">
        <is>
          <t>Tajikistan</t>
        </is>
      </c>
      <c r="B9990" t="inlineStr">
        <is>
          <t>TJK</t>
        </is>
      </c>
      <c r="C9990" t="n">
        <v>2014</v>
      </c>
      <c r="D9990" t="n">
        <v>6.10442765129667</v>
      </c>
    </row>
    <row r="9991">
      <c r="A9991" t="inlineStr">
        <is>
          <t>Tajikistan</t>
        </is>
      </c>
      <c r="B9991" t="inlineStr">
        <is>
          <t>TJK</t>
        </is>
      </c>
      <c r="C9991" t="n">
        <v>2015</v>
      </c>
      <c r="D9991" t="n">
        <v>5.7145594964971</v>
      </c>
    </row>
    <row r="9992">
      <c r="A9992" t="inlineStr">
        <is>
          <t>Tajikistan</t>
        </is>
      </c>
      <c r="B9992" t="inlineStr">
        <is>
          <t>TJK</t>
        </is>
      </c>
      <c r="C9992" t="n">
        <v>2016</v>
      </c>
      <c r="D9992" t="n">
        <v>6.00458082322139</v>
      </c>
    </row>
    <row r="9993">
      <c r="A9993" t="inlineStr">
        <is>
          <t>Latin America &amp; the Caribbean (IDA &amp; IBRD countries)</t>
        </is>
      </c>
      <c r="B9993" t="inlineStr">
        <is>
          <t>TLA</t>
        </is>
      </c>
      <c r="C9993" t="n">
        <v>1960</v>
      </c>
      <c r="D9993" t="n">
        <v>2.08000000007815</v>
      </c>
    </row>
    <row r="9994">
      <c r="A9994" t="inlineStr">
        <is>
          <t>Latin America &amp; the Caribbean (IDA &amp; IBRD countries)</t>
        </is>
      </c>
      <c r="B9994" t="inlineStr">
        <is>
          <t>TLA</t>
        </is>
      </c>
      <c r="C9994" t="n">
        <v>1961</v>
      </c>
      <c r="D9994" t="n">
        <v>2.43079391009159</v>
      </c>
    </row>
    <row r="9995">
      <c r="A9995" t="inlineStr">
        <is>
          <t>Latin America &amp; the Caribbean (IDA &amp; IBRD countries)</t>
        </is>
      </c>
      <c r="B9995" t="inlineStr">
        <is>
          <t>TLA</t>
        </is>
      </c>
      <c r="C9995" t="n">
        <v>1962</v>
      </c>
      <c r="D9995" t="n">
        <v>2.1008403361344</v>
      </c>
    </row>
    <row r="9996">
      <c r="A9996" t="inlineStr">
        <is>
          <t>Latin America &amp; the Caribbean (IDA &amp; IBRD countries)</t>
        </is>
      </c>
      <c r="B9996" t="inlineStr">
        <is>
          <t>TLA</t>
        </is>
      </c>
      <c r="C9996" t="n">
        <v>1963</v>
      </c>
      <c r="D9996" t="n">
        <v>2.93161847051352</v>
      </c>
    </row>
    <row r="9997">
      <c r="A9997" t="inlineStr">
        <is>
          <t>Latin America &amp; the Caribbean (IDA &amp; IBRD countries)</t>
        </is>
      </c>
      <c r="B9997" t="inlineStr">
        <is>
          <t>TLA</t>
        </is>
      </c>
      <c r="C9997" t="n">
        <v>1964</v>
      </c>
      <c r="D9997" t="n">
        <v>3.32403316018127</v>
      </c>
    </row>
    <row r="9998">
      <c r="A9998" t="inlineStr">
        <is>
          <t>Latin America &amp; the Caribbean (IDA &amp; IBRD countries)</t>
        </is>
      </c>
      <c r="B9998" t="inlineStr">
        <is>
          <t>TLA</t>
        </is>
      </c>
      <c r="C9998" t="n">
        <v>1965</v>
      </c>
      <c r="D9998" t="n">
        <v>2.63157894736852</v>
      </c>
    </row>
    <row r="9999">
      <c r="A9999" t="inlineStr">
        <is>
          <t>Latin America &amp; the Caribbean (IDA &amp; IBRD countries)</t>
        </is>
      </c>
      <c r="B9999" t="inlineStr">
        <is>
          <t>TLA</t>
        </is>
      </c>
      <c r="C9999" t="n">
        <v>1966</v>
      </c>
      <c r="D9999" t="n">
        <v>3.48377613575408</v>
      </c>
    </row>
    <row r="10000">
      <c r="A10000" t="inlineStr">
        <is>
          <t>Latin America &amp; the Caribbean (IDA &amp; IBRD countries)</t>
        </is>
      </c>
      <c r="B10000" t="inlineStr">
        <is>
          <t>TLA</t>
        </is>
      </c>
      <c r="C10000" t="n">
        <v>1967</v>
      </c>
      <c r="D10000" t="n">
        <v>2.57660356758821</v>
      </c>
    </row>
    <row r="10001">
      <c r="A10001" t="inlineStr">
        <is>
          <t>Latin America &amp; the Caribbean (IDA &amp; IBRD countries)</t>
        </is>
      </c>
      <c r="B10001" t="inlineStr">
        <is>
          <t>TLA</t>
        </is>
      </c>
      <c r="C10001" t="n">
        <v>1968</v>
      </c>
      <c r="D10001" t="n">
        <v>4.03167276820612</v>
      </c>
    </row>
    <row r="10002">
      <c r="A10002" t="inlineStr">
        <is>
          <t>Latin America &amp; the Caribbean (IDA &amp; IBRD countries)</t>
        </is>
      </c>
      <c r="B10002" t="inlineStr">
        <is>
          <t>TLA</t>
        </is>
      </c>
      <c r="C10002" t="n">
        <v>1969</v>
      </c>
      <c r="D10002" t="n">
        <v>2.53227177629933</v>
      </c>
    </row>
    <row r="10003">
      <c r="A10003" t="inlineStr">
        <is>
          <t>Latin America &amp; the Caribbean (IDA &amp; IBRD countries)</t>
        </is>
      </c>
      <c r="B10003" t="inlineStr">
        <is>
          <t>TLA</t>
        </is>
      </c>
      <c r="C10003" t="n">
        <v>1970</v>
      </c>
      <c r="D10003" t="n">
        <v>4.30390335201461</v>
      </c>
    </row>
    <row r="10004">
      <c r="A10004" t="inlineStr">
        <is>
          <t>Latin America &amp; the Caribbean (IDA &amp; IBRD countries)</t>
        </is>
      </c>
      <c r="B10004" t="inlineStr">
        <is>
          <t>TLA</t>
        </is>
      </c>
      <c r="C10004" t="n">
        <v>1971</v>
      </c>
      <c r="D10004" t="n">
        <v>4.95325693640987</v>
      </c>
    </row>
    <row r="10005">
      <c r="A10005" t="inlineStr">
        <is>
          <t>Latin America &amp; the Caribbean (IDA &amp; IBRD countries)</t>
        </is>
      </c>
      <c r="B10005" t="inlineStr">
        <is>
          <t>TLA</t>
        </is>
      </c>
      <c r="C10005" t="n">
        <v>1972</v>
      </c>
      <c r="D10005" t="n">
        <v>6.5115440115437</v>
      </c>
    </row>
    <row r="10006">
      <c r="A10006" t="inlineStr">
        <is>
          <t>Latin America &amp; the Caribbean (IDA &amp; IBRD countries)</t>
        </is>
      </c>
      <c r="B10006" t="inlineStr">
        <is>
          <t>TLA</t>
        </is>
      </c>
      <c r="C10006" t="n">
        <v>1973</v>
      </c>
      <c r="D10006" t="n">
        <v>13.7960339945019</v>
      </c>
    </row>
    <row r="10007">
      <c r="A10007" t="inlineStr">
        <is>
          <t>Latin America &amp; the Caribbean (IDA &amp; IBRD countries)</t>
        </is>
      </c>
      <c r="B10007" t="inlineStr">
        <is>
          <t>TLA</t>
        </is>
      </c>
      <c r="C10007" t="n">
        <v>1974</v>
      </c>
      <c r="D10007" t="n">
        <v>23.7840154425787</v>
      </c>
    </row>
    <row r="10008">
      <c r="A10008" t="inlineStr">
        <is>
          <t>Latin America &amp; the Caribbean (IDA &amp; IBRD countries)</t>
        </is>
      </c>
      <c r="B10008" t="inlineStr">
        <is>
          <t>TLA</t>
        </is>
      </c>
      <c r="C10008" t="n">
        <v>1975</v>
      </c>
      <c r="D10008" t="n">
        <v>16.8763153951355</v>
      </c>
    </row>
    <row r="10009">
      <c r="A10009" t="inlineStr">
        <is>
          <t>Latin America &amp; the Caribbean (IDA &amp; IBRD countries)</t>
        </is>
      </c>
      <c r="B10009" t="inlineStr">
        <is>
          <t>TLA</t>
        </is>
      </c>
      <c r="C10009" t="n">
        <v>1976</v>
      </c>
      <c r="D10009" t="n">
        <v>9.93159565281301</v>
      </c>
    </row>
    <row r="10010">
      <c r="A10010" t="inlineStr">
        <is>
          <t>Latin America &amp; the Caribbean (IDA &amp; IBRD countries)</t>
        </is>
      </c>
      <c r="B10010" t="inlineStr">
        <is>
          <t>TLA</t>
        </is>
      </c>
      <c r="C10010" t="n">
        <v>1977</v>
      </c>
      <c r="D10010" t="n">
        <v>11.1910016370359</v>
      </c>
    </row>
    <row r="10011">
      <c r="A10011" t="inlineStr">
        <is>
          <t>Latin America &amp; the Caribbean (IDA &amp; IBRD countries)</t>
        </is>
      </c>
      <c r="B10011" t="inlineStr">
        <is>
          <t>TLA</t>
        </is>
      </c>
      <c r="C10011" t="n">
        <v>1978</v>
      </c>
      <c r="D10011" t="n">
        <v>10.3556722757191</v>
      </c>
    </row>
    <row r="10012">
      <c r="A10012" t="inlineStr">
        <is>
          <t>Latin America &amp; the Caribbean (IDA &amp; IBRD countries)</t>
        </is>
      </c>
      <c r="B10012" t="inlineStr">
        <is>
          <t>TLA</t>
        </is>
      </c>
      <c r="C10012" t="n">
        <v>1979</v>
      </c>
      <c r="D10012" t="n">
        <v>14.782239267266</v>
      </c>
    </row>
    <row r="10013">
      <c r="A10013" t="inlineStr">
        <is>
          <t>Latin America &amp; the Caribbean (IDA &amp; IBRD countries)</t>
        </is>
      </c>
      <c r="B10013" t="inlineStr">
        <is>
          <t>TLA</t>
        </is>
      </c>
      <c r="C10013" t="n">
        <v>1980</v>
      </c>
      <c r="D10013" t="n">
        <v>18.0615430355956</v>
      </c>
    </row>
    <row r="10014">
      <c r="A10014" t="inlineStr">
        <is>
          <t>Latin America &amp; the Caribbean (IDA &amp; IBRD countries)</t>
        </is>
      </c>
      <c r="B10014" t="inlineStr">
        <is>
          <t>TLA</t>
        </is>
      </c>
      <c r="C10014" t="n">
        <v>1981</v>
      </c>
      <c r="D10014" t="n">
        <v>14.1899276364131</v>
      </c>
    </row>
    <row r="10015">
      <c r="A10015" t="inlineStr">
        <is>
          <t>Latin America &amp; the Caribbean (IDA &amp; IBRD countries)</t>
        </is>
      </c>
      <c r="B10015" t="inlineStr">
        <is>
          <t>TLA</t>
        </is>
      </c>
      <c r="C10015" t="n">
        <v>1982</v>
      </c>
      <c r="D10015" t="n">
        <v>8.397681559166911</v>
      </c>
    </row>
    <row r="10016">
      <c r="A10016" t="inlineStr">
        <is>
          <t>Latin America &amp; the Caribbean (IDA &amp; IBRD countries)</t>
        </is>
      </c>
      <c r="B10016" t="inlineStr">
        <is>
          <t>TLA</t>
        </is>
      </c>
      <c r="C10016" t="n">
        <v>1983</v>
      </c>
      <c r="D10016" t="n">
        <v>10.9128872185399</v>
      </c>
    </row>
    <row r="10017">
      <c r="A10017" t="inlineStr">
        <is>
          <t>Latin America &amp; the Caribbean (IDA &amp; IBRD countries)</t>
        </is>
      </c>
      <c r="B10017" t="inlineStr">
        <is>
          <t>TLA</t>
        </is>
      </c>
      <c r="C10017" t="n">
        <v>1984</v>
      </c>
      <c r="D10017" t="n">
        <v>11.7272982588087</v>
      </c>
    </row>
    <row r="10018">
      <c r="A10018" t="inlineStr">
        <is>
          <t>Latin America &amp; the Caribbean (IDA &amp; IBRD countries)</t>
        </is>
      </c>
      <c r="B10018" t="inlineStr">
        <is>
          <t>TLA</t>
        </is>
      </c>
      <c r="C10018" t="n">
        <v>1985</v>
      </c>
      <c r="D10018" t="n">
        <v>16.8721054708497</v>
      </c>
    </row>
    <row r="10019">
      <c r="A10019" t="inlineStr">
        <is>
          <t>Latin America &amp; the Caribbean (IDA &amp; IBRD countries)</t>
        </is>
      </c>
      <c r="B10019" t="inlineStr">
        <is>
          <t>TLA</t>
        </is>
      </c>
      <c r="C10019" t="n">
        <v>1986</v>
      </c>
      <c r="D10019" t="n">
        <v>13.4702186572948</v>
      </c>
    </row>
    <row r="10020">
      <c r="A10020" t="inlineStr">
        <is>
          <t>Latin America &amp; the Caribbean (IDA &amp; IBRD countries)</t>
        </is>
      </c>
      <c r="B10020" t="inlineStr">
        <is>
          <t>TLA</t>
        </is>
      </c>
      <c r="C10020" t="n">
        <v>1987</v>
      </c>
      <c r="D10020" t="n">
        <v>12.9369685291433</v>
      </c>
    </row>
    <row r="10021">
      <c r="A10021" t="inlineStr">
        <is>
          <t>Latin America &amp; the Caribbean (IDA &amp; IBRD countries)</t>
        </is>
      </c>
      <c r="B10021" t="inlineStr">
        <is>
          <t>TLA</t>
        </is>
      </c>
      <c r="C10021" t="n">
        <v>1988</v>
      </c>
      <c r="D10021" t="n">
        <v>9.54973475650019</v>
      </c>
    </row>
    <row r="10022">
      <c r="A10022" t="inlineStr">
        <is>
          <t>Latin America &amp; the Caribbean (IDA &amp; IBRD countries)</t>
        </is>
      </c>
      <c r="B10022" t="inlineStr">
        <is>
          <t>TLA</t>
        </is>
      </c>
      <c r="C10022" t="n">
        <v>1989</v>
      </c>
      <c r="D10022" t="n">
        <v>12.8808354231069</v>
      </c>
    </row>
    <row r="10023">
      <c r="A10023" t="inlineStr">
        <is>
          <t>Latin America &amp; the Caribbean (IDA &amp; IBRD countries)</t>
        </is>
      </c>
      <c r="B10023" t="inlineStr">
        <is>
          <t>TLA</t>
        </is>
      </c>
      <c r="C10023" t="n">
        <v>1990</v>
      </c>
      <c r="D10023" t="n">
        <v>21.8500597281305</v>
      </c>
    </row>
    <row r="10024">
      <c r="A10024" t="inlineStr">
        <is>
          <t>Latin America &amp; the Caribbean (IDA &amp; IBRD countries)</t>
        </is>
      </c>
      <c r="B10024" t="inlineStr">
        <is>
          <t>TLA</t>
        </is>
      </c>
      <c r="C10024" t="n">
        <v>1991</v>
      </c>
      <c r="D10024" t="n">
        <v>22.2233859414183</v>
      </c>
    </row>
    <row r="10025">
      <c r="A10025" t="inlineStr">
        <is>
          <t>Latin America &amp; the Caribbean (IDA &amp; IBRD countries)</t>
        </is>
      </c>
      <c r="B10025" t="inlineStr">
        <is>
          <t>TLA</t>
        </is>
      </c>
      <c r="C10025" t="n">
        <v>1992</v>
      </c>
      <c r="D10025" t="n">
        <v>11.6374024910138</v>
      </c>
    </row>
    <row r="10026">
      <c r="A10026" t="inlineStr">
        <is>
          <t>Latin America &amp; the Caribbean (IDA &amp; IBRD countries)</t>
        </is>
      </c>
      <c r="B10026" t="inlineStr">
        <is>
          <t>TLA</t>
        </is>
      </c>
      <c r="C10026" t="n">
        <v>1993</v>
      </c>
      <c r="D10026" t="n">
        <v>10.791941318612</v>
      </c>
    </row>
    <row r="10027">
      <c r="A10027" t="inlineStr">
        <is>
          <t>Latin America &amp; the Caribbean (IDA &amp; IBRD countries)</t>
        </is>
      </c>
      <c r="B10027" t="inlineStr">
        <is>
          <t>TLA</t>
        </is>
      </c>
      <c r="C10027" t="n">
        <v>1994</v>
      </c>
      <c r="D10027" t="n">
        <v>10.7205639010421</v>
      </c>
    </row>
    <row r="10028">
      <c r="A10028" t="inlineStr">
        <is>
          <t>Latin America &amp; the Caribbean (IDA &amp; IBRD countries)</t>
        </is>
      </c>
      <c r="B10028" t="inlineStr">
        <is>
          <t>TLA</t>
        </is>
      </c>
      <c r="C10028" t="n">
        <v>1995</v>
      </c>
      <c r="D10028" t="n">
        <v>11.1287029707089</v>
      </c>
    </row>
    <row r="10029">
      <c r="A10029" t="inlineStr">
        <is>
          <t>Latin America &amp; the Caribbean (IDA &amp; IBRD countries)</t>
        </is>
      </c>
      <c r="B10029" t="inlineStr">
        <is>
          <t>TLA</t>
        </is>
      </c>
      <c r="C10029" t="n">
        <v>1996</v>
      </c>
      <c r="D10029" t="n">
        <v>9.788920401799659</v>
      </c>
    </row>
    <row r="10030">
      <c r="A10030" t="inlineStr">
        <is>
          <t>Latin America &amp; the Caribbean (IDA &amp; IBRD countries)</t>
        </is>
      </c>
      <c r="B10030" t="inlineStr">
        <is>
          <t>TLA</t>
        </is>
      </c>
      <c r="C10030" t="n">
        <v>1997</v>
      </c>
      <c r="D10030" t="n">
        <v>7.14511160883929</v>
      </c>
    </row>
    <row r="10031">
      <c r="A10031" t="inlineStr">
        <is>
          <t>Latin America &amp; the Caribbean (IDA &amp; IBRD countries)</t>
        </is>
      </c>
      <c r="B10031" t="inlineStr">
        <is>
          <t>TLA</t>
        </is>
      </c>
      <c r="C10031" t="n">
        <v>1998</v>
      </c>
      <c r="D10031" t="n">
        <v>5.26903547042201</v>
      </c>
    </row>
    <row r="10032">
      <c r="A10032" t="inlineStr">
        <is>
          <t>Latin America &amp; the Caribbean (IDA &amp; IBRD countries)</t>
        </is>
      </c>
      <c r="B10032" t="inlineStr">
        <is>
          <t>TLA</t>
        </is>
      </c>
      <c r="C10032" t="n">
        <v>1999</v>
      </c>
      <c r="D10032" t="n">
        <v>3.4867289020098</v>
      </c>
    </row>
    <row r="10033">
      <c r="A10033" t="inlineStr">
        <is>
          <t>Latin America &amp; the Caribbean (IDA &amp; IBRD countries)</t>
        </is>
      </c>
      <c r="B10033" t="inlineStr">
        <is>
          <t>TLA</t>
        </is>
      </c>
      <c r="C10033" t="n">
        <v>2000</v>
      </c>
      <c r="D10033" t="n">
        <v>4.76382472733251</v>
      </c>
    </row>
    <row r="10034">
      <c r="A10034" t="inlineStr">
        <is>
          <t>Latin America &amp; the Caribbean (IDA &amp; IBRD countries)</t>
        </is>
      </c>
      <c r="B10034" t="inlineStr">
        <is>
          <t>TLA</t>
        </is>
      </c>
      <c r="C10034" t="n">
        <v>2001</v>
      </c>
      <c r="D10034" t="n">
        <v>5.30722081028547</v>
      </c>
    </row>
    <row r="10035">
      <c r="A10035" t="inlineStr">
        <is>
          <t>Latin America &amp; the Caribbean (IDA &amp; IBRD countries)</t>
        </is>
      </c>
      <c r="B10035" t="inlineStr">
        <is>
          <t>TLA</t>
        </is>
      </c>
      <c r="C10035" t="n">
        <v>2002</v>
      </c>
      <c r="D10035" t="n">
        <v>4.24026660688645</v>
      </c>
    </row>
    <row r="10036">
      <c r="A10036" t="inlineStr">
        <is>
          <t>Latin America &amp; the Caribbean (IDA &amp; IBRD countries)</t>
        </is>
      </c>
      <c r="B10036" t="inlineStr">
        <is>
          <t>TLA</t>
        </is>
      </c>
      <c r="C10036" t="n">
        <v>2003</v>
      </c>
      <c r="D10036" t="n">
        <v>4.54690012118718</v>
      </c>
    </row>
    <row r="10037">
      <c r="A10037" t="inlineStr">
        <is>
          <t>Latin America &amp; the Caribbean (IDA &amp; IBRD countries)</t>
        </is>
      </c>
      <c r="B10037" t="inlineStr">
        <is>
          <t>TLA</t>
        </is>
      </c>
      <c r="C10037" t="n">
        <v>2004</v>
      </c>
      <c r="D10037" t="n">
        <v>4.45194392395045</v>
      </c>
    </row>
    <row r="10038">
      <c r="A10038" t="inlineStr">
        <is>
          <t>Latin America &amp; the Caribbean (IDA &amp; IBRD countries)</t>
        </is>
      </c>
      <c r="B10038" t="inlineStr">
        <is>
          <t>TLA</t>
        </is>
      </c>
      <c r="C10038" t="n">
        <v>2005</v>
      </c>
      <c r="D10038" t="n">
        <v>4.6992773903564</v>
      </c>
    </row>
    <row r="10039">
      <c r="A10039" t="inlineStr">
        <is>
          <t>Latin America &amp; the Caribbean (IDA &amp; IBRD countries)</t>
        </is>
      </c>
      <c r="B10039" t="inlineStr">
        <is>
          <t>TLA</t>
        </is>
      </c>
      <c r="C10039" t="n">
        <v>2006</v>
      </c>
      <c r="D10039" t="n">
        <v>4.29342363628927</v>
      </c>
    </row>
    <row r="10040">
      <c r="A10040" t="inlineStr">
        <is>
          <t>Latin America &amp; the Caribbean (IDA &amp; IBRD countries)</t>
        </is>
      </c>
      <c r="B10040" t="inlineStr">
        <is>
          <t>TLA</t>
        </is>
      </c>
      <c r="C10040" t="n">
        <v>2007</v>
      </c>
      <c r="D10040" t="n">
        <v>5.54438485815156</v>
      </c>
    </row>
    <row r="10041">
      <c r="A10041" t="inlineStr">
        <is>
          <t>Latin America &amp; the Caribbean (IDA &amp; IBRD countries)</t>
        </is>
      </c>
      <c r="B10041" t="inlineStr">
        <is>
          <t>TLA</t>
        </is>
      </c>
      <c r="C10041" t="n">
        <v>2008</v>
      </c>
      <c r="D10041" t="n">
        <v>8.400095939874619</v>
      </c>
    </row>
    <row r="10042">
      <c r="A10042" t="inlineStr">
        <is>
          <t>Latin America &amp; the Caribbean (IDA &amp; IBRD countries)</t>
        </is>
      </c>
      <c r="B10042" t="inlineStr">
        <is>
          <t>TLA</t>
        </is>
      </c>
      <c r="C10042" t="n">
        <v>2009</v>
      </c>
      <c r="D10042" t="n">
        <v>2.76408913513634</v>
      </c>
    </row>
    <row r="10043">
      <c r="A10043" t="inlineStr">
        <is>
          <t>Latin America &amp; the Caribbean (IDA &amp; IBRD countries)</t>
        </is>
      </c>
      <c r="B10043" t="inlineStr">
        <is>
          <t>TLA</t>
        </is>
      </c>
      <c r="C10043" t="n">
        <v>2010</v>
      </c>
      <c r="D10043" t="n">
        <v>3.7964433376871</v>
      </c>
    </row>
    <row r="10044">
      <c r="A10044" t="inlineStr">
        <is>
          <t>Latin America &amp; the Caribbean (IDA &amp; IBRD countries)</t>
        </is>
      </c>
      <c r="B10044" t="inlineStr">
        <is>
          <t>TLA</t>
        </is>
      </c>
      <c r="C10044" t="n">
        <v>2011</v>
      </c>
      <c r="D10044" t="n">
        <v>5.46284592944071</v>
      </c>
    </row>
    <row r="10045">
      <c r="A10045" t="inlineStr">
        <is>
          <t>Latin America &amp; the Caribbean (IDA &amp; IBRD countries)</t>
        </is>
      </c>
      <c r="B10045" t="inlineStr">
        <is>
          <t>TLA</t>
        </is>
      </c>
      <c r="C10045" t="n">
        <v>2012</v>
      </c>
      <c r="D10045" t="n">
        <v>4.14457284086402</v>
      </c>
    </row>
    <row r="10046">
      <c r="A10046" t="inlineStr">
        <is>
          <t>Latin America &amp; the Caribbean (IDA &amp; IBRD countries)</t>
        </is>
      </c>
      <c r="B10046" t="inlineStr">
        <is>
          <t>TLA</t>
        </is>
      </c>
      <c r="C10046" t="n">
        <v>2013</v>
      </c>
      <c r="D10046" t="n">
        <v>2.74483621896186</v>
      </c>
    </row>
    <row r="10047">
      <c r="A10047" t="inlineStr">
        <is>
          <t>Latin America &amp; the Caribbean (IDA &amp; IBRD countries)</t>
        </is>
      </c>
      <c r="B10047" t="inlineStr">
        <is>
          <t>TLA</t>
        </is>
      </c>
      <c r="C10047" t="n">
        <v>2014</v>
      </c>
      <c r="D10047" t="n">
        <v>3.42826414810781</v>
      </c>
    </row>
    <row r="10048">
      <c r="A10048" t="inlineStr">
        <is>
          <t>Latin America &amp; the Caribbean (IDA &amp; IBRD countries)</t>
        </is>
      </c>
      <c r="B10048" t="inlineStr">
        <is>
          <t>TLA</t>
        </is>
      </c>
      <c r="C10048" t="n">
        <v>2015</v>
      </c>
      <c r="D10048" t="n">
        <v>2.92482169718974</v>
      </c>
    </row>
    <row r="10049">
      <c r="A10049" t="inlineStr">
        <is>
          <t>Latin America &amp; the Caribbean (IDA &amp; IBRD countries)</t>
        </is>
      </c>
      <c r="B10049" t="inlineStr">
        <is>
          <t>TLA</t>
        </is>
      </c>
      <c r="C10049" t="n">
        <v>2016</v>
      </c>
      <c r="D10049" t="n">
        <v>2.53781710390567</v>
      </c>
    </row>
    <row r="10050">
      <c r="A10050" t="inlineStr">
        <is>
          <t>Latin America &amp; the Caribbean (IDA &amp; IBRD countries)</t>
        </is>
      </c>
      <c r="B10050" t="inlineStr">
        <is>
          <t>TLA</t>
        </is>
      </c>
      <c r="C10050" t="n">
        <v>2017</v>
      </c>
      <c r="D10050" t="n">
        <v>2.8227580554717</v>
      </c>
    </row>
    <row r="10051">
      <c r="A10051" t="inlineStr">
        <is>
          <t>Latin America &amp; the Caribbean (IDA &amp; IBRD countries)</t>
        </is>
      </c>
      <c r="B10051" t="inlineStr">
        <is>
          <t>TLA</t>
        </is>
      </c>
      <c r="C10051" t="n">
        <v>2018</v>
      </c>
      <c r="D10051" t="n">
        <v>2.29810236299038</v>
      </c>
    </row>
    <row r="10052">
      <c r="A10052" t="inlineStr">
        <is>
          <t>Latin America &amp; the Caribbean (IDA &amp; IBRD countries)</t>
        </is>
      </c>
      <c r="B10052" t="inlineStr">
        <is>
          <t>TLA</t>
        </is>
      </c>
      <c r="C10052" t="n">
        <v>2019</v>
      </c>
      <c r="D10052" t="n">
        <v>2.0916386224491</v>
      </c>
    </row>
    <row r="10053">
      <c r="A10053" t="inlineStr">
        <is>
          <t>Latin America &amp; the Caribbean (IDA &amp; IBRD countries)</t>
        </is>
      </c>
      <c r="B10053" t="inlineStr">
        <is>
          <t>TLA</t>
        </is>
      </c>
      <c r="C10053" t="n">
        <v>2020</v>
      </c>
      <c r="D10053" t="n">
        <v>1.38042647320286</v>
      </c>
    </row>
    <row r="10054">
      <c r="A10054" t="inlineStr">
        <is>
          <t>Latin America &amp; the Caribbean (IDA &amp; IBRD countries)</t>
        </is>
      </c>
      <c r="B10054" t="inlineStr">
        <is>
          <t>TLA</t>
        </is>
      </c>
      <c r="C10054" t="n">
        <v>2021</v>
      </c>
      <c r="D10054" t="n">
        <v>3.8780544241113</v>
      </c>
    </row>
    <row r="10055">
      <c r="A10055" t="inlineStr">
        <is>
          <t>Latin America &amp; the Caribbean (IDA &amp; IBRD countries)</t>
        </is>
      </c>
      <c r="B10055" t="inlineStr">
        <is>
          <t>TLA</t>
        </is>
      </c>
      <c r="C10055" t="n">
        <v>2022</v>
      </c>
      <c r="D10055" t="n">
        <v>7.83844572166295</v>
      </c>
    </row>
    <row r="10056">
      <c r="A10056" t="inlineStr">
        <is>
          <t>Latin America &amp; the Caribbean (IDA &amp; IBRD countries)</t>
        </is>
      </c>
      <c r="B10056" t="inlineStr">
        <is>
          <t>TLA</t>
        </is>
      </c>
      <c r="C10056" t="n">
        <v>2023</v>
      </c>
      <c r="D10056" t="n">
        <v>4.63202285403356</v>
      </c>
    </row>
    <row r="10057">
      <c r="A10057" t="inlineStr">
        <is>
          <t>Timor-Leste</t>
        </is>
      </c>
      <c r="B10057" t="inlineStr">
        <is>
          <t>TLS</t>
        </is>
      </c>
      <c r="C10057" t="n">
        <v>2003</v>
      </c>
      <c r="D10057" t="n">
        <v>7.16515891441839</v>
      </c>
    </row>
    <row r="10058">
      <c r="A10058" t="inlineStr">
        <is>
          <t>Timor-Leste</t>
        </is>
      </c>
      <c r="B10058" t="inlineStr">
        <is>
          <t>TLS</t>
        </is>
      </c>
      <c r="C10058" t="n">
        <v>2004</v>
      </c>
      <c r="D10058" t="n">
        <v>3.23751394003321</v>
      </c>
    </row>
    <row r="10059">
      <c r="A10059" t="inlineStr">
        <is>
          <t>Timor-Leste</t>
        </is>
      </c>
      <c r="B10059" t="inlineStr">
        <is>
          <t>TLS</t>
        </is>
      </c>
      <c r="C10059" t="n">
        <v>2005</v>
      </c>
      <c r="D10059" t="n">
        <v>1.11167400387198</v>
      </c>
    </row>
    <row r="10060">
      <c r="A10060" t="inlineStr">
        <is>
          <t>Timor-Leste</t>
        </is>
      </c>
      <c r="B10060" t="inlineStr">
        <is>
          <t>TLS</t>
        </is>
      </c>
      <c r="C10060" t="n">
        <v>2006</v>
      </c>
      <c r="D10060" t="n">
        <v>3.93616259929866</v>
      </c>
    </row>
    <row r="10061">
      <c r="A10061" t="inlineStr">
        <is>
          <t>Timor-Leste</t>
        </is>
      </c>
      <c r="B10061" t="inlineStr">
        <is>
          <t>TLS</t>
        </is>
      </c>
      <c r="C10061" t="n">
        <v>2007</v>
      </c>
      <c r="D10061" t="n">
        <v>10.3009020174895</v>
      </c>
    </row>
    <row r="10062">
      <c r="A10062" t="inlineStr">
        <is>
          <t>Timor-Leste</t>
        </is>
      </c>
      <c r="B10062" t="inlineStr">
        <is>
          <t>TLS</t>
        </is>
      </c>
      <c r="C10062" t="n">
        <v>2008</v>
      </c>
      <c r="D10062" t="n">
        <v>9.06423621948942</v>
      </c>
    </row>
    <row r="10063">
      <c r="A10063" t="inlineStr">
        <is>
          <t>Timor-Leste</t>
        </is>
      </c>
      <c r="B10063" t="inlineStr">
        <is>
          <t>TLS</t>
        </is>
      </c>
      <c r="C10063" t="n">
        <v>2009</v>
      </c>
      <c r="D10063" t="n">
        <v>0.669681185965433</v>
      </c>
    </row>
    <row r="10064">
      <c r="A10064" t="inlineStr">
        <is>
          <t>Timor-Leste</t>
        </is>
      </c>
      <c r="B10064" t="inlineStr">
        <is>
          <t>TLS</t>
        </is>
      </c>
      <c r="C10064" t="n">
        <v>2010</v>
      </c>
      <c r="D10064" t="n">
        <v>6.76597680236481</v>
      </c>
    </row>
    <row r="10065">
      <c r="A10065" t="inlineStr">
        <is>
          <t>Timor-Leste</t>
        </is>
      </c>
      <c r="B10065" t="inlineStr">
        <is>
          <t>TLS</t>
        </is>
      </c>
      <c r="C10065" t="n">
        <v>2011</v>
      </c>
      <c r="D10065" t="n">
        <v>13.499840238577</v>
      </c>
    </row>
    <row r="10066">
      <c r="A10066" t="inlineStr">
        <is>
          <t>Timor-Leste</t>
        </is>
      </c>
      <c r="B10066" t="inlineStr">
        <is>
          <t>TLS</t>
        </is>
      </c>
      <c r="C10066" t="n">
        <v>2012</v>
      </c>
      <c r="D10066" t="n">
        <v>11.8003096701544</v>
      </c>
    </row>
    <row r="10067">
      <c r="A10067" t="inlineStr">
        <is>
          <t>Timor-Leste</t>
        </is>
      </c>
      <c r="B10067" t="inlineStr">
        <is>
          <t>TLS</t>
        </is>
      </c>
      <c r="C10067" t="n">
        <v>2013</v>
      </c>
      <c r="D10067" t="n">
        <v>11.0849085109954</v>
      </c>
    </row>
    <row r="10068">
      <c r="A10068" t="inlineStr">
        <is>
          <t>Timor-Leste</t>
        </is>
      </c>
      <c r="B10068" t="inlineStr">
        <is>
          <t>TLS</t>
        </is>
      </c>
      <c r="C10068" t="n">
        <v>2014</v>
      </c>
      <c r="D10068" t="n">
        <v>0.726275016139465</v>
      </c>
    </row>
    <row r="10069">
      <c r="A10069" t="inlineStr">
        <is>
          <t>Timor-Leste</t>
        </is>
      </c>
      <c r="B10069" t="inlineStr">
        <is>
          <t>TLS</t>
        </is>
      </c>
      <c r="C10069" t="n">
        <v>2015</v>
      </c>
      <c r="D10069" t="n">
        <v>0.552796026277853</v>
      </c>
    </row>
    <row r="10070">
      <c r="A10070" t="inlineStr">
        <is>
          <t>Timor-Leste</t>
        </is>
      </c>
      <c r="B10070" t="inlineStr">
        <is>
          <t>TLS</t>
        </is>
      </c>
      <c r="C10070" t="n">
        <v>2016</v>
      </c>
      <c r="D10070" t="n">
        <v>-1.33853876185163</v>
      </c>
    </row>
    <row r="10071">
      <c r="A10071" t="inlineStr">
        <is>
          <t>Timor-Leste</t>
        </is>
      </c>
      <c r="B10071" t="inlineStr">
        <is>
          <t>TLS</t>
        </is>
      </c>
      <c r="C10071" t="n">
        <v>2017</v>
      </c>
      <c r="D10071" t="n">
        <v>0.557215537430361</v>
      </c>
    </row>
    <row r="10072">
      <c r="A10072" t="inlineStr">
        <is>
          <t>Timor-Leste</t>
        </is>
      </c>
      <c r="B10072" t="inlineStr">
        <is>
          <t>TLS</t>
        </is>
      </c>
      <c r="C10072" t="n">
        <v>2018</v>
      </c>
      <c r="D10072" t="n">
        <v>2.63647201015892</v>
      </c>
    </row>
    <row r="10073">
      <c r="A10073" t="inlineStr">
        <is>
          <t>Timor-Leste</t>
        </is>
      </c>
      <c r="B10073" t="inlineStr">
        <is>
          <t>TLS</t>
        </is>
      </c>
      <c r="C10073" t="n">
        <v>2019</v>
      </c>
      <c r="D10073" t="n">
        <v>0.958812739703141</v>
      </c>
    </row>
    <row r="10074">
      <c r="A10074" t="inlineStr">
        <is>
          <t>Timor-Leste</t>
        </is>
      </c>
      <c r="B10074" t="inlineStr">
        <is>
          <t>TLS</t>
        </is>
      </c>
      <c r="C10074" t="n">
        <v>2020</v>
      </c>
      <c r="D10074" t="n">
        <v>0.495499215459571</v>
      </c>
    </row>
    <row r="10075">
      <c r="A10075" t="inlineStr">
        <is>
          <t>Timor-Leste</t>
        </is>
      </c>
      <c r="B10075" t="inlineStr">
        <is>
          <t>TLS</t>
        </is>
      </c>
      <c r="C10075" t="n">
        <v>2021</v>
      </c>
      <c r="D10075" t="n">
        <v>3.69792094666786</v>
      </c>
    </row>
    <row r="10076">
      <c r="A10076" t="inlineStr">
        <is>
          <t>Timor-Leste</t>
        </is>
      </c>
      <c r="B10076" t="inlineStr">
        <is>
          <t>TLS</t>
        </is>
      </c>
      <c r="C10076" t="n">
        <v>2022</v>
      </c>
      <c r="D10076" t="n">
        <v>7.00530945399787</v>
      </c>
    </row>
    <row r="10077">
      <c r="A10077" t="inlineStr">
        <is>
          <t>Timor-Leste</t>
        </is>
      </c>
      <c r="B10077" t="inlineStr">
        <is>
          <t>TLS</t>
        </is>
      </c>
      <c r="C10077" t="n">
        <v>2023</v>
      </c>
      <c r="D10077" t="n">
        <v>8.420351033103771</v>
      </c>
    </row>
    <row r="10078">
      <c r="A10078" t="inlineStr">
        <is>
          <t>Timor-Leste</t>
        </is>
      </c>
      <c r="B10078" t="inlineStr">
        <is>
          <t>TLS</t>
        </is>
      </c>
      <c r="C10078" t="n">
        <v>2024</v>
      </c>
      <c r="D10078" t="n">
        <v>2.06284153005468</v>
      </c>
    </row>
    <row r="10079">
      <c r="A10079" t="inlineStr">
        <is>
          <t>Middle East &amp; North Africa (IDA &amp; IBRD countries)</t>
        </is>
      </c>
      <c r="B10079" t="inlineStr">
        <is>
          <t>TMN</t>
        </is>
      </c>
      <c r="C10079" t="n">
        <v>1965</v>
      </c>
      <c r="D10079" t="n">
        <v>2.81859802761329</v>
      </c>
    </row>
    <row r="10080">
      <c r="A10080" t="inlineStr">
        <is>
          <t>Middle East &amp; North Africa (IDA &amp; IBRD countries)</t>
        </is>
      </c>
      <c r="B10080" t="inlineStr">
        <is>
          <t>TMN</t>
        </is>
      </c>
      <c r="C10080" t="n">
        <v>1966</v>
      </c>
      <c r="D10080" t="n">
        <v>2.88830033830271</v>
      </c>
    </row>
    <row r="10081">
      <c r="A10081" t="inlineStr">
        <is>
          <t>Middle East &amp; North Africa (IDA &amp; IBRD countries)</t>
        </is>
      </c>
      <c r="B10081" t="inlineStr">
        <is>
          <t>TMN</t>
        </is>
      </c>
      <c r="C10081" t="n">
        <v>1967</v>
      </c>
      <c r="D10081" t="n">
        <v>2.44427998373013</v>
      </c>
    </row>
    <row r="10082">
      <c r="A10082" t="inlineStr">
        <is>
          <t>Middle East &amp; North Africa (IDA &amp; IBRD countries)</t>
        </is>
      </c>
      <c r="B10082" t="inlineStr">
        <is>
          <t>TMN</t>
        </is>
      </c>
      <c r="C10082" t="n">
        <v>1968</v>
      </c>
      <c r="D10082" t="n">
        <v>0.563419795520379</v>
      </c>
    </row>
    <row r="10083">
      <c r="A10083" t="inlineStr">
        <is>
          <t>Middle East &amp; North Africa (IDA &amp; IBRD countries)</t>
        </is>
      </c>
      <c r="B10083" t="inlineStr">
        <is>
          <t>TMN</t>
        </is>
      </c>
      <c r="C10083" t="n">
        <v>1969</v>
      </c>
      <c r="D10083" t="n">
        <v>3.50150739897512</v>
      </c>
    </row>
    <row r="10084">
      <c r="A10084" t="inlineStr">
        <is>
          <t>Middle East &amp; North Africa (IDA &amp; IBRD countries)</t>
        </is>
      </c>
      <c r="B10084" t="inlineStr">
        <is>
          <t>TMN</t>
        </is>
      </c>
      <c r="C10084" t="n">
        <v>1970</v>
      </c>
      <c r="D10084" t="n">
        <v>4.0592469302555</v>
      </c>
    </row>
    <row r="10085">
      <c r="A10085" t="inlineStr">
        <is>
          <t>Middle East &amp; North Africa (IDA &amp; IBRD countries)</t>
        </is>
      </c>
      <c r="B10085" t="inlineStr">
        <is>
          <t>TMN</t>
        </is>
      </c>
      <c r="C10085" t="n">
        <v>1971</v>
      </c>
      <c r="D10085" t="n">
        <v>3.87562123955683</v>
      </c>
    </row>
    <row r="10086">
      <c r="A10086" t="inlineStr">
        <is>
          <t>Middle East &amp; North Africa (IDA &amp; IBRD countries)</t>
        </is>
      </c>
      <c r="B10086" t="inlineStr">
        <is>
          <t>TMN</t>
        </is>
      </c>
      <c r="C10086" t="n">
        <v>1972</v>
      </c>
      <c r="D10086" t="n">
        <v>3.70773884352749</v>
      </c>
    </row>
    <row r="10087">
      <c r="A10087" t="inlineStr">
        <is>
          <t>Middle East &amp; North Africa (IDA &amp; IBRD countries)</t>
        </is>
      </c>
      <c r="B10087" t="inlineStr">
        <is>
          <t>TMN</t>
        </is>
      </c>
      <c r="C10087" t="n">
        <v>1973</v>
      </c>
      <c r="D10087" t="n">
        <v>7.07186753470658</v>
      </c>
    </row>
    <row r="10088">
      <c r="A10088" t="inlineStr">
        <is>
          <t>Middle East &amp; North Africa (IDA &amp; IBRD countries)</t>
        </is>
      </c>
      <c r="B10088" t="inlineStr">
        <is>
          <t>TMN</t>
        </is>
      </c>
      <c r="C10088" t="n">
        <v>1974</v>
      </c>
      <c r="D10088" t="n">
        <v>12.1366266449525</v>
      </c>
    </row>
    <row r="10089">
      <c r="A10089" t="inlineStr">
        <is>
          <t>Middle East &amp; North Africa (IDA &amp; IBRD countries)</t>
        </is>
      </c>
      <c r="B10089" t="inlineStr">
        <is>
          <t>TMN</t>
        </is>
      </c>
      <c r="C10089" t="n">
        <v>1975</v>
      </c>
      <c r="D10089" t="n">
        <v>9.593436412783911</v>
      </c>
    </row>
    <row r="10090">
      <c r="A10090" t="inlineStr">
        <is>
          <t>Middle East &amp; North Africa (IDA &amp; IBRD countries)</t>
        </is>
      </c>
      <c r="B10090" t="inlineStr">
        <is>
          <t>TMN</t>
        </is>
      </c>
      <c r="C10090" t="n">
        <v>1976</v>
      </c>
      <c r="D10090" t="n">
        <v>10.7867791969762</v>
      </c>
    </row>
    <row r="10091">
      <c r="A10091" t="inlineStr">
        <is>
          <t>Middle East &amp; North Africa (IDA &amp; IBRD countries)</t>
        </is>
      </c>
      <c r="B10091" t="inlineStr">
        <is>
          <t>TMN</t>
        </is>
      </c>
      <c r="C10091" t="n">
        <v>1977</v>
      </c>
      <c r="D10091" t="n">
        <v>12.293142157056</v>
      </c>
    </row>
    <row r="10092">
      <c r="A10092" t="inlineStr">
        <is>
          <t>Middle East &amp; North Africa (IDA &amp; IBRD countries)</t>
        </is>
      </c>
      <c r="B10092" t="inlineStr">
        <is>
          <t>TMN</t>
        </is>
      </c>
      <c r="C10092" t="n">
        <v>1978</v>
      </c>
      <c r="D10092" t="n">
        <v>10.3970665660787</v>
      </c>
    </row>
    <row r="10093">
      <c r="A10093" t="inlineStr">
        <is>
          <t>Middle East &amp; North Africa (IDA &amp; IBRD countries)</t>
        </is>
      </c>
      <c r="B10093" t="inlineStr">
        <is>
          <t>TMN</t>
        </is>
      </c>
      <c r="C10093" t="n">
        <v>1979</v>
      </c>
      <c r="D10093" t="n">
        <v>9.904360512311291</v>
      </c>
    </row>
    <row r="10094">
      <c r="A10094" t="inlineStr">
        <is>
          <t>Middle East &amp; North Africa (IDA &amp; IBRD countries)</t>
        </is>
      </c>
      <c r="B10094" t="inlineStr">
        <is>
          <t>TMN</t>
        </is>
      </c>
      <c r="C10094" t="n">
        <v>1980</v>
      </c>
      <c r="D10094" t="n">
        <v>11.5845673416485</v>
      </c>
    </row>
    <row r="10095">
      <c r="A10095" t="inlineStr">
        <is>
          <t>Middle East &amp; North Africa (IDA &amp; IBRD countries)</t>
        </is>
      </c>
      <c r="B10095" t="inlineStr">
        <is>
          <t>TMN</t>
        </is>
      </c>
      <c r="C10095" t="n">
        <v>1981</v>
      </c>
      <c r="D10095" t="n">
        <v>11.8461254997948</v>
      </c>
    </row>
    <row r="10096">
      <c r="A10096" t="inlineStr">
        <is>
          <t>Middle East &amp; North Africa (IDA &amp; IBRD countries)</t>
        </is>
      </c>
      <c r="B10096" t="inlineStr">
        <is>
          <t>TMN</t>
        </is>
      </c>
      <c r="C10096" t="n">
        <v>1982</v>
      </c>
      <c r="D10096" t="n">
        <v>10.3933080764634</v>
      </c>
    </row>
    <row r="10097">
      <c r="A10097" t="inlineStr">
        <is>
          <t>Middle East &amp; North Africa (IDA &amp; IBRD countries)</t>
        </is>
      </c>
      <c r="B10097" t="inlineStr">
        <is>
          <t>TMN</t>
        </is>
      </c>
      <c r="C10097" t="n">
        <v>1983</v>
      </c>
      <c r="D10097" t="n">
        <v>6.16761386479387</v>
      </c>
    </row>
    <row r="10098">
      <c r="A10098" t="inlineStr">
        <is>
          <t>Middle East &amp; North Africa (IDA &amp; IBRD countries)</t>
        </is>
      </c>
      <c r="B10098" t="inlineStr">
        <is>
          <t>TMN</t>
        </is>
      </c>
      <c r="C10098" t="n">
        <v>1984</v>
      </c>
      <c r="D10098" t="n">
        <v>9.229518194754959</v>
      </c>
    </row>
    <row r="10099">
      <c r="A10099" t="inlineStr">
        <is>
          <t>Middle East &amp; North Africa (IDA &amp; IBRD countries)</t>
        </is>
      </c>
      <c r="B10099" t="inlineStr">
        <is>
          <t>TMN</t>
        </is>
      </c>
      <c r="C10099" t="n">
        <v>1985</v>
      </c>
      <c r="D10099" t="n">
        <v>7.7286389008592</v>
      </c>
    </row>
    <row r="10100">
      <c r="A10100" t="inlineStr">
        <is>
          <t>Middle East &amp; North Africa (IDA &amp; IBRD countries)</t>
        </is>
      </c>
      <c r="B10100" t="inlineStr">
        <is>
          <t>TMN</t>
        </is>
      </c>
      <c r="C10100" t="n">
        <v>1986</v>
      </c>
      <c r="D10100" t="n">
        <v>12.3716091651299</v>
      </c>
    </row>
    <row r="10101">
      <c r="A10101" t="inlineStr">
        <is>
          <t>Middle East &amp; North Africa (IDA &amp; IBRD countries)</t>
        </is>
      </c>
      <c r="B10101" t="inlineStr">
        <is>
          <t>TMN</t>
        </is>
      </c>
      <c r="C10101" t="n">
        <v>1987</v>
      </c>
      <c r="D10101" t="n">
        <v>7.44126091287247</v>
      </c>
    </row>
    <row r="10102">
      <c r="A10102" t="inlineStr">
        <is>
          <t>Middle East &amp; North Africa (IDA &amp; IBRD countries)</t>
        </is>
      </c>
      <c r="B10102" t="inlineStr">
        <is>
          <t>TMN</t>
        </is>
      </c>
      <c r="C10102" t="n">
        <v>1988</v>
      </c>
      <c r="D10102" t="n">
        <v>6.90509807493766</v>
      </c>
    </row>
    <row r="10103">
      <c r="A10103" t="inlineStr">
        <is>
          <t>Middle East &amp; North Africa (IDA &amp; IBRD countries)</t>
        </is>
      </c>
      <c r="B10103" t="inlineStr">
        <is>
          <t>TMN</t>
        </is>
      </c>
      <c r="C10103" t="n">
        <v>1989</v>
      </c>
      <c r="D10103" t="n">
        <v>10.3517892397833</v>
      </c>
    </row>
    <row r="10104">
      <c r="A10104" t="inlineStr">
        <is>
          <t>Middle East &amp; North Africa (IDA &amp; IBRD countries)</t>
        </is>
      </c>
      <c r="B10104" t="inlineStr">
        <is>
          <t>TMN</t>
        </is>
      </c>
      <c r="C10104" t="n">
        <v>1990</v>
      </c>
      <c r="D10104" t="n">
        <v>12.3217999847811</v>
      </c>
    </row>
    <row r="10105">
      <c r="A10105" t="inlineStr">
        <is>
          <t>Middle East &amp; North Africa (IDA &amp; IBRD countries)</t>
        </is>
      </c>
      <c r="B10105" t="inlineStr">
        <is>
          <t>TMN</t>
        </is>
      </c>
      <c r="C10105" t="n">
        <v>1991</v>
      </c>
      <c r="D10105" t="n">
        <v>14.5123316222632</v>
      </c>
    </row>
    <row r="10106">
      <c r="A10106" t="inlineStr">
        <is>
          <t>Middle East &amp; North Africa (IDA &amp; IBRD countries)</t>
        </is>
      </c>
      <c r="B10106" t="inlineStr">
        <is>
          <t>TMN</t>
        </is>
      </c>
      <c r="C10106" t="n">
        <v>1992</v>
      </c>
      <c r="D10106" t="n">
        <v>12.3232992418242</v>
      </c>
    </row>
    <row r="10107">
      <c r="A10107" t="inlineStr">
        <is>
          <t>Middle East &amp; North Africa (IDA &amp; IBRD countries)</t>
        </is>
      </c>
      <c r="B10107" t="inlineStr">
        <is>
          <t>TMN</t>
        </is>
      </c>
      <c r="C10107" t="n">
        <v>1993</v>
      </c>
      <c r="D10107" t="n">
        <v>12.6564663913828</v>
      </c>
    </row>
    <row r="10108">
      <c r="A10108" t="inlineStr">
        <is>
          <t>Middle East &amp; North Africa (IDA &amp; IBRD countries)</t>
        </is>
      </c>
      <c r="B10108" t="inlineStr">
        <is>
          <t>TMN</t>
        </is>
      </c>
      <c r="C10108" t="n">
        <v>1994</v>
      </c>
      <c r="D10108" t="n">
        <v>11.7413492195778</v>
      </c>
    </row>
    <row r="10109">
      <c r="A10109" t="inlineStr">
        <is>
          <t>Middle East &amp; North Africa (IDA &amp; IBRD countries)</t>
        </is>
      </c>
      <c r="B10109" t="inlineStr">
        <is>
          <t>TMN</t>
        </is>
      </c>
      <c r="C10109" t="n">
        <v>1995</v>
      </c>
      <c r="D10109" t="n">
        <v>11.8610941540332</v>
      </c>
    </row>
    <row r="10110">
      <c r="A10110" t="inlineStr">
        <is>
          <t>Middle East &amp; North Africa (IDA &amp; IBRD countries)</t>
        </is>
      </c>
      <c r="B10110" t="inlineStr">
        <is>
          <t>TMN</t>
        </is>
      </c>
      <c r="C10110" t="n">
        <v>1996</v>
      </c>
      <c r="D10110" t="n">
        <v>6.84416086199789</v>
      </c>
    </row>
    <row r="10111">
      <c r="A10111" t="inlineStr">
        <is>
          <t>Middle East &amp; North Africa (IDA &amp; IBRD countries)</t>
        </is>
      </c>
      <c r="B10111" t="inlineStr">
        <is>
          <t>TMN</t>
        </is>
      </c>
      <c r="C10111" t="n">
        <v>1997</v>
      </c>
      <c r="D10111" t="n">
        <v>3.60116103260946</v>
      </c>
    </row>
    <row r="10112">
      <c r="A10112" t="inlineStr">
        <is>
          <t>Middle East &amp; North Africa (IDA &amp; IBRD countries)</t>
        </is>
      </c>
      <c r="B10112" t="inlineStr">
        <is>
          <t>TMN</t>
        </is>
      </c>
      <c r="C10112" t="n">
        <v>1998</v>
      </c>
      <c r="D10112" t="n">
        <v>3.79092432361614</v>
      </c>
    </row>
    <row r="10113">
      <c r="A10113" t="inlineStr">
        <is>
          <t>Middle East &amp; North Africa (IDA &amp; IBRD countries)</t>
        </is>
      </c>
      <c r="B10113" t="inlineStr">
        <is>
          <t>TMN</t>
        </is>
      </c>
      <c r="C10113" t="n">
        <v>1999</v>
      </c>
      <c r="D10113" t="n">
        <v>2.66937369053699</v>
      </c>
    </row>
    <row r="10114">
      <c r="A10114" t="inlineStr">
        <is>
          <t>Middle East &amp; North Africa (IDA &amp; IBRD countries)</t>
        </is>
      </c>
      <c r="B10114" t="inlineStr">
        <is>
          <t>TMN</t>
        </is>
      </c>
      <c r="C10114" t="n">
        <v>2000</v>
      </c>
      <c r="D10114" t="n">
        <v>2.28921996056005</v>
      </c>
    </row>
    <row r="10115">
      <c r="A10115" t="inlineStr">
        <is>
          <t>Middle East &amp; North Africa (IDA &amp; IBRD countries)</t>
        </is>
      </c>
      <c r="B10115" t="inlineStr">
        <is>
          <t>TMN</t>
        </is>
      </c>
      <c r="C10115" t="n">
        <v>2001</v>
      </c>
      <c r="D10115" t="n">
        <v>2.26975720475956</v>
      </c>
    </row>
    <row r="10116">
      <c r="A10116" t="inlineStr">
        <is>
          <t>Middle East &amp; North Africa (IDA &amp; IBRD countries)</t>
        </is>
      </c>
      <c r="B10116" t="inlineStr">
        <is>
          <t>TMN</t>
        </is>
      </c>
      <c r="C10116" t="n">
        <v>2002</v>
      </c>
      <c r="D10116" t="n">
        <v>2.72103284850455</v>
      </c>
    </row>
    <row r="10117">
      <c r="A10117" t="inlineStr">
        <is>
          <t>Middle East &amp; North Africa (IDA &amp; IBRD countries)</t>
        </is>
      </c>
      <c r="B10117" t="inlineStr">
        <is>
          <t>TMN</t>
        </is>
      </c>
      <c r="C10117" t="n">
        <v>2003</v>
      </c>
      <c r="D10117" t="n">
        <v>4.268953958395</v>
      </c>
    </row>
    <row r="10118">
      <c r="A10118" t="inlineStr">
        <is>
          <t>Middle East &amp; North Africa (IDA &amp; IBRD countries)</t>
        </is>
      </c>
      <c r="B10118" t="inlineStr">
        <is>
          <t>TMN</t>
        </is>
      </c>
      <c r="C10118" t="n">
        <v>2004</v>
      </c>
      <c r="D10118" t="n">
        <v>3.96180030257187</v>
      </c>
    </row>
    <row r="10119">
      <c r="A10119" t="inlineStr">
        <is>
          <t>Middle East &amp; North Africa (IDA &amp; IBRD countries)</t>
        </is>
      </c>
      <c r="B10119" t="inlineStr">
        <is>
          <t>TMN</t>
        </is>
      </c>
      <c r="C10119" t="n">
        <v>2005</v>
      </c>
      <c r="D10119" t="n">
        <v>3.49368534619531</v>
      </c>
    </row>
    <row r="10120">
      <c r="A10120" t="inlineStr">
        <is>
          <t>Middle East &amp; North Africa (IDA &amp; IBRD countries)</t>
        </is>
      </c>
      <c r="B10120" t="inlineStr">
        <is>
          <t>TMN</t>
        </is>
      </c>
      <c r="C10120" t="n">
        <v>2006</v>
      </c>
      <c r="D10120" t="n">
        <v>6.25172466656443</v>
      </c>
    </row>
    <row r="10121">
      <c r="A10121" t="inlineStr">
        <is>
          <t>Middle East &amp; North Africa (IDA &amp; IBRD countries)</t>
        </is>
      </c>
      <c r="B10121" t="inlineStr">
        <is>
          <t>TMN</t>
        </is>
      </c>
      <c r="C10121" t="n">
        <v>2007</v>
      </c>
      <c r="D10121" t="n">
        <v>4.74390639021648</v>
      </c>
    </row>
    <row r="10122">
      <c r="A10122" t="inlineStr">
        <is>
          <t>Middle East &amp; North Africa (IDA &amp; IBRD countries)</t>
        </is>
      </c>
      <c r="B10122" t="inlineStr">
        <is>
          <t>TMN</t>
        </is>
      </c>
      <c r="C10122" t="n">
        <v>2008</v>
      </c>
      <c r="D10122" t="n">
        <v>12.6628528269228</v>
      </c>
    </row>
    <row r="10123">
      <c r="A10123" t="inlineStr">
        <is>
          <t>Middle East &amp; North Africa (IDA &amp; IBRD countries)</t>
        </is>
      </c>
      <c r="B10123" t="inlineStr">
        <is>
          <t>TMN</t>
        </is>
      </c>
      <c r="C10123" t="n">
        <v>2009</v>
      </c>
      <c r="D10123" t="n">
        <v>3.29290021224143</v>
      </c>
    </row>
    <row r="10124">
      <c r="A10124" t="inlineStr">
        <is>
          <t>Middle East &amp; North Africa (IDA &amp; IBRD countries)</t>
        </is>
      </c>
      <c r="B10124" t="inlineStr">
        <is>
          <t>TMN</t>
        </is>
      </c>
      <c r="C10124" t="n">
        <v>2010</v>
      </c>
      <c r="D10124" t="n">
        <v>3.96677908889859</v>
      </c>
    </row>
    <row r="10125">
      <c r="A10125" t="inlineStr">
        <is>
          <t>Middle East &amp; North Africa (IDA &amp; IBRD countries)</t>
        </is>
      </c>
      <c r="B10125" t="inlineStr">
        <is>
          <t>TMN</t>
        </is>
      </c>
      <c r="C10125" t="n">
        <v>2011</v>
      </c>
      <c r="D10125" t="n">
        <v>5.02009983235187</v>
      </c>
    </row>
    <row r="10126">
      <c r="A10126" t="inlineStr">
        <is>
          <t>Middle East &amp; North Africa (IDA &amp; IBRD countries)</t>
        </is>
      </c>
      <c r="B10126" t="inlineStr">
        <is>
          <t>TMN</t>
        </is>
      </c>
      <c r="C10126" t="n">
        <v>2012</v>
      </c>
      <c r="D10126" t="n">
        <v>6.3352854463936</v>
      </c>
    </row>
    <row r="10127">
      <c r="A10127" t="inlineStr">
        <is>
          <t>Middle East &amp; North Africa (IDA &amp; IBRD countries)</t>
        </is>
      </c>
      <c r="B10127" t="inlineStr">
        <is>
          <t>TMN</t>
        </is>
      </c>
      <c r="C10127" t="n">
        <v>2013</v>
      </c>
      <c r="D10127" t="n">
        <v>4.82282135283468</v>
      </c>
    </row>
    <row r="10128">
      <c r="A10128" t="inlineStr">
        <is>
          <t>Middle East &amp; North Africa (IDA &amp; IBRD countries)</t>
        </is>
      </c>
      <c r="B10128" t="inlineStr">
        <is>
          <t>TMN</t>
        </is>
      </c>
      <c r="C10128" t="n">
        <v>2014</v>
      </c>
      <c r="D10128" t="n">
        <v>2.90820298536757</v>
      </c>
    </row>
    <row r="10129">
      <c r="A10129" t="inlineStr">
        <is>
          <t>Middle East &amp; North Africa (IDA &amp; IBRD countries)</t>
        </is>
      </c>
      <c r="B10129" t="inlineStr">
        <is>
          <t>TMN</t>
        </is>
      </c>
      <c r="C10129" t="n">
        <v>2015</v>
      </c>
      <c r="D10129" t="n">
        <v>4.437371273215</v>
      </c>
    </row>
    <row r="10130">
      <c r="A10130" t="inlineStr">
        <is>
          <t>Middle East &amp; North Africa (IDA &amp; IBRD countries)</t>
        </is>
      </c>
      <c r="B10130" t="inlineStr">
        <is>
          <t>TMN</t>
        </is>
      </c>
      <c r="C10130" t="n">
        <v>2016</v>
      </c>
      <c r="D10130" t="n">
        <v>3.62939937384381</v>
      </c>
    </row>
    <row r="10131">
      <c r="A10131" t="inlineStr">
        <is>
          <t>Middle East &amp; North Africa (IDA &amp; IBRD countries)</t>
        </is>
      </c>
      <c r="B10131" t="inlineStr">
        <is>
          <t>TMN</t>
        </is>
      </c>
      <c r="C10131" t="n">
        <v>2017</v>
      </c>
      <c r="D10131" t="n">
        <v>5.30884839565844</v>
      </c>
    </row>
    <row r="10132">
      <c r="A10132" t="inlineStr">
        <is>
          <t>Middle East &amp; North Africa (IDA &amp; IBRD countries)</t>
        </is>
      </c>
      <c r="B10132" t="inlineStr">
        <is>
          <t>TMN</t>
        </is>
      </c>
      <c r="C10132" t="n">
        <v>2018</v>
      </c>
      <c r="D10132" t="n">
        <v>4.46231108475481</v>
      </c>
    </row>
    <row r="10133">
      <c r="A10133" t="inlineStr">
        <is>
          <t>Middle East &amp; North Africa (IDA &amp; IBRD countries)</t>
        </is>
      </c>
      <c r="B10133" t="inlineStr">
        <is>
          <t>TMN</t>
        </is>
      </c>
      <c r="C10133" t="n">
        <v>2019</v>
      </c>
      <c r="D10133" t="n">
        <v>3.00538949390383</v>
      </c>
    </row>
    <row r="10134">
      <c r="A10134" t="inlineStr">
        <is>
          <t>Middle East &amp; North Africa (IDA &amp; IBRD countries)</t>
        </is>
      </c>
      <c r="B10134" t="inlineStr">
        <is>
          <t>TMN</t>
        </is>
      </c>
      <c r="C10134" t="n">
        <v>2020</v>
      </c>
      <c r="D10134" t="n">
        <v>2.09626938944792</v>
      </c>
    </row>
    <row r="10135">
      <c r="A10135" t="inlineStr">
        <is>
          <t>Middle East &amp; North Africa (IDA &amp; IBRD countries)</t>
        </is>
      </c>
      <c r="B10135" t="inlineStr">
        <is>
          <t>TMN</t>
        </is>
      </c>
      <c r="C10135" t="n">
        <v>2021</v>
      </c>
      <c r="D10135" t="n">
        <v>5.46019980671871</v>
      </c>
    </row>
    <row r="10136">
      <c r="A10136" t="inlineStr">
        <is>
          <t>Middle East &amp; North Africa (IDA &amp; IBRD countries)</t>
        </is>
      </c>
      <c r="B10136" t="inlineStr">
        <is>
          <t>TMN</t>
        </is>
      </c>
      <c r="C10136" t="n">
        <v>2022</v>
      </c>
      <c r="D10136" t="n">
        <v>7.48175163603345</v>
      </c>
    </row>
    <row r="10137">
      <c r="A10137" t="inlineStr">
        <is>
          <t>Middle East &amp; North Africa (IDA &amp; IBRD countries)</t>
        </is>
      </c>
      <c r="B10137" t="inlineStr">
        <is>
          <t>TMN</t>
        </is>
      </c>
      <c r="C10137" t="n">
        <v>2023</v>
      </c>
      <c r="D10137" t="n">
        <v>7.70665764216232</v>
      </c>
    </row>
    <row r="10138">
      <c r="A10138" t="inlineStr">
        <is>
          <t>Tonga</t>
        </is>
      </c>
      <c r="B10138" t="inlineStr">
        <is>
          <t>TON</t>
        </is>
      </c>
      <c r="C10138" t="n">
        <v>1976</v>
      </c>
      <c r="D10138" t="n">
        <v>7.10957583547553</v>
      </c>
    </row>
    <row r="10139">
      <c r="A10139" t="inlineStr">
        <is>
          <t>Tonga</t>
        </is>
      </c>
      <c r="B10139" t="inlineStr">
        <is>
          <t>TON</t>
        </is>
      </c>
      <c r="C10139" t="n">
        <v>1977</v>
      </c>
      <c r="D10139" t="n">
        <v>17.5379384484612</v>
      </c>
    </row>
    <row r="10140">
      <c r="A10140" t="inlineStr">
        <is>
          <t>Tonga</t>
        </is>
      </c>
      <c r="B10140" t="inlineStr">
        <is>
          <t>TON</t>
        </is>
      </c>
      <c r="C10140" t="n">
        <v>1978</v>
      </c>
      <c r="D10140" t="n">
        <v>9.584379121112869</v>
      </c>
    </row>
    <row r="10141">
      <c r="A10141" t="inlineStr">
        <is>
          <t>Tonga</t>
        </is>
      </c>
      <c r="B10141" t="inlineStr">
        <is>
          <t>TON</t>
        </is>
      </c>
      <c r="C10141" t="n">
        <v>1979</v>
      </c>
      <c r="D10141" t="n">
        <v>5.46001552795044</v>
      </c>
    </row>
    <row r="10142">
      <c r="A10142" t="inlineStr">
        <is>
          <t>Tonga</t>
        </is>
      </c>
      <c r="B10142" t="inlineStr">
        <is>
          <t>TON</t>
        </is>
      </c>
      <c r="C10142" t="n">
        <v>1980</v>
      </c>
      <c r="D10142" t="n">
        <v>22.3933889164965</v>
      </c>
    </row>
    <row r="10143">
      <c r="A10143" t="inlineStr">
        <is>
          <t>Tonga</t>
        </is>
      </c>
      <c r="B10143" t="inlineStr">
        <is>
          <t>TON</t>
        </is>
      </c>
      <c r="C10143" t="n">
        <v>1981</v>
      </c>
      <c r="D10143" t="n">
        <v>14.8992481203003</v>
      </c>
    </row>
    <row r="10144">
      <c r="A10144" t="inlineStr">
        <is>
          <t>Tonga</t>
        </is>
      </c>
      <c r="B10144" t="inlineStr">
        <is>
          <t>TON</t>
        </is>
      </c>
      <c r="C10144" t="n">
        <v>1982</v>
      </c>
      <c r="D10144" t="n">
        <v>10.8378703800655</v>
      </c>
    </row>
    <row r="10145">
      <c r="A10145" t="inlineStr">
        <is>
          <t>Tonga</t>
        </is>
      </c>
      <c r="B10145" t="inlineStr">
        <is>
          <t>TON</t>
        </is>
      </c>
      <c r="C10145" t="n">
        <v>1983</v>
      </c>
      <c r="D10145" t="n">
        <v>9.813553117877751</v>
      </c>
    </row>
    <row r="10146">
      <c r="A10146" t="inlineStr">
        <is>
          <t>Tonga</t>
        </is>
      </c>
      <c r="B10146" t="inlineStr">
        <is>
          <t>TON</t>
        </is>
      </c>
      <c r="C10146" t="n">
        <v>1984</v>
      </c>
      <c r="D10146" t="n">
        <v>0.106451612903717</v>
      </c>
    </row>
    <row r="10147">
      <c r="A10147" t="inlineStr">
        <is>
          <t>Tonga</t>
        </is>
      </c>
      <c r="B10147" t="inlineStr">
        <is>
          <t>TON</t>
        </is>
      </c>
      <c r="C10147" t="n">
        <v>1985</v>
      </c>
      <c r="D10147" t="n">
        <v>16.765</v>
      </c>
    </row>
    <row r="10148">
      <c r="A10148" t="inlineStr">
        <is>
          <t>Tonga</t>
        </is>
      </c>
      <c r="B10148" t="inlineStr">
        <is>
          <t>TON</t>
        </is>
      </c>
      <c r="C10148" t="n">
        <v>1986</v>
      </c>
      <c r="D10148" t="n">
        <v>21.6738748768894</v>
      </c>
    </row>
    <row r="10149">
      <c r="A10149" t="inlineStr">
        <is>
          <t>Tonga</t>
        </is>
      </c>
      <c r="B10149" t="inlineStr">
        <is>
          <t>TON</t>
        </is>
      </c>
      <c r="C10149" t="n">
        <v>1987</v>
      </c>
      <c r="D10149" t="n">
        <v>4.68598778792504</v>
      </c>
    </row>
    <row r="10150">
      <c r="A10150" t="inlineStr">
        <is>
          <t>Tonga</t>
        </is>
      </c>
      <c r="B10150" t="inlineStr">
        <is>
          <t>TON</t>
        </is>
      </c>
      <c r="C10150" t="n">
        <v>1988</v>
      </c>
      <c r="D10150" t="n">
        <v>9.924023398104019</v>
      </c>
    </row>
    <row r="10151">
      <c r="A10151" t="inlineStr">
        <is>
          <t>Tonga</t>
        </is>
      </c>
      <c r="B10151" t="inlineStr">
        <is>
          <t>TON</t>
        </is>
      </c>
      <c r="C10151" t="n">
        <v>1989</v>
      </c>
      <c r="D10151" t="n">
        <v>4.07364364792932</v>
      </c>
    </row>
    <row r="10152">
      <c r="A10152" t="inlineStr">
        <is>
          <t>Tonga</t>
        </is>
      </c>
      <c r="B10152" t="inlineStr">
        <is>
          <t>TON</t>
        </is>
      </c>
      <c r="C10152" t="n">
        <v>1990</v>
      </c>
      <c r="D10152" t="n">
        <v>9.70986384562655</v>
      </c>
    </row>
    <row r="10153">
      <c r="A10153" t="inlineStr">
        <is>
          <t>Tonga</t>
        </is>
      </c>
      <c r="B10153" t="inlineStr">
        <is>
          <t>TON</t>
        </is>
      </c>
      <c r="C10153" t="n">
        <v>1991</v>
      </c>
      <c r="D10153" t="n">
        <v>10.5954493994793</v>
      </c>
    </row>
    <row r="10154">
      <c r="A10154" t="inlineStr">
        <is>
          <t>Tonga</t>
        </is>
      </c>
      <c r="B10154" t="inlineStr">
        <is>
          <t>TON</t>
        </is>
      </c>
      <c r="C10154" t="n">
        <v>1992</v>
      </c>
      <c r="D10154" t="n">
        <v>7.93698012192874</v>
      </c>
    </row>
    <row r="10155">
      <c r="A10155" t="inlineStr">
        <is>
          <t>Tonga</t>
        </is>
      </c>
      <c r="B10155" t="inlineStr">
        <is>
          <t>TON</t>
        </is>
      </c>
      <c r="C10155" t="n">
        <v>1993</v>
      </c>
      <c r="D10155" t="n">
        <v>0.960904460459173</v>
      </c>
    </row>
    <row r="10156">
      <c r="A10156" t="inlineStr">
        <is>
          <t>Tonga</t>
        </is>
      </c>
      <c r="B10156" t="inlineStr">
        <is>
          <t>TON</t>
        </is>
      </c>
      <c r="C10156" t="n">
        <v>1994</v>
      </c>
      <c r="D10156" t="n">
        <v>1.01295206694856</v>
      </c>
    </row>
    <row r="10157">
      <c r="A10157" t="inlineStr">
        <is>
          <t>Tonga</t>
        </is>
      </c>
      <c r="B10157" t="inlineStr">
        <is>
          <t>TON</t>
        </is>
      </c>
      <c r="C10157" t="n">
        <v>1995</v>
      </c>
      <c r="D10157" t="n">
        <v>1.46000630350972</v>
      </c>
    </row>
    <row r="10158">
      <c r="A10158" t="inlineStr">
        <is>
          <t>Tonga</t>
        </is>
      </c>
      <c r="B10158" t="inlineStr">
        <is>
          <t>TON</t>
        </is>
      </c>
      <c r="C10158" t="n">
        <v>1996</v>
      </c>
      <c r="D10158" t="n">
        <v>2.99528023991143</v>
      </c>
    </row>
    <row r="10159">
      <c r="A10159" t="inlineStr">
        <is>
          <t>Tonga</t>
        </is>
      </c>
      <c r="B10159" t="inlineStr">
        <is>
          <t>TON</t>
        </is>
      </c>
      <c r="C10159" t="n">
        <v>1997</v>
      </c>
      <c r="D10159" t="n">
        <v>2.12473132408038</v>
      </c>
    </row>
    <row r="10160">
      <c r="A10160" t="inlineStr">
        <is>
          <t>Tonga</t>
        </is>
      </c>
      <c r="B10160" t="inlineStr">
        <is>
          <t>TON</t>
        </is>
      </c>
      <c r="C10160" t="n">
        <v>1998</v>
      </c>
      <c r="D10160" t="n">
        <v>3.27444554260464</v>
      </c>
    </row>
    <row r="10161">
      <c r="A10161" t="inlineStr">
        <is>
          <t>Tonga</t>
        </is>
      </c>
      <c r="B10161" t="inlineStr">
        <is>
          <t>TON</t>
        </is>
      </c>
      <c r="C10161" t="n">
        <v>1999</v>
      </c>
      <c r="D10161" t="n">
        <v>4.46435467675891</v>
      </c>
    </row>
    <row r="10162">
      <c r="A10162" t="inlineStr">
        <is>
          <t>Tonga</t>
        </is>
      </c>
      <c r="B10162" t="inlineStr">
        <is>
          <t>TON</t>
        </is>
      </c>
      <c r="C10162" t="n">
        <v>2000</v>
      </c>
      <c r="D10162" t="n">
        <v>6.32763551411155</v>
      </c>
    </row>
    <row r="10163">
      <c r="A10163" t="inlineStr">
        <is>
          <t>Tonga</t>
        </is>
      </c>
      <c r="B10163" t="inlineStr">
        <is>
          <t>TON</t>
        </is>
      </c>
      <c r="C10163" t="n">
        <v>2001</v>
      </c>
      <c r="D10163" t="n">
        <v>8.290283188503301</v>
      </c>
    </row>
    <row r="10164">
      <c r="A10164" t="inlineStr">
        <is>
          <t>Tonga</t>
        </is>
      </c>
      <c r="B10164" t="inlineStr">
        <is>
          <t>TON</t>
        </is>
      </c>
      <c r="C10164" t="n">
        <v>2002</v>
      </c>
      <c r="D10164" t="n">
        <v>10.3590607918507</v>
      </c>
    </row>
    <row r="10165">
      <c r="A10165" t="inlineStr">
        <is>
          <t>Tonga</t>
        </is>
      </c>
      <c r="B10165" t="inlineStr">
        <is>
          <t>TON</t>
        </is>
      </c>
      <c r="C10165" t="n">
        <v>2003</v>
      </c>
      <c r="D10165" t="n">
        <v>11.6386219580735</v>
      </c>
    </row>
    <row r="10166">
      <c r="A10166" t="inlineStr">
        <is>
          <t>Tonga</t>
        </is>
      </c>
      <c r="B10166" t="inlineStr">
        <is>
          <t>TON</t>
        </is>
      </c>
      <c r="C10166" t="n">
        <v>2004</v>
      </c>
      <c r="D10166" t="n">
        <v>10.9734053679554</v>
      </c>
    </row>
    <row r="10167">
      <c r="A10167" t="inlineStr">
        <is>
          <t>Tonga</t>
        </is>
      </c>
      <c r="B10167" t="inlineStr">
        <is>
          <t>TON</t>
        </is>
      </c>
      <c r="C10167" t="n">
        <v>2005</v>
      </c>
      <c r="D10167" t="n">
        <v>8.665692211317509</v>
      </c>
    </row>
    <row r="10168">
      <c r="A10168" t="inlineStr">
        <is>
          <t>Tonga</t>
        </is>
      </c>
      <c r="B10168" t="inlineStr">
        <is>
          <t>TON</t>
        </is>
      </c>
      <c r="C10168" t="n">
        <v>2006</v>
      </c>
      <c r="D10168" t="n">
        <v>6.14911606456575</v>
      </c>
    </row>
    <row r="10169">
      <c r="A10169" t="inlineStr">
        <is>
          <t>Tonga</t>
        </is>
      </c>
      <c r="B10169" t="inlineStr">
        <is>
          <t>TON</t>
        </is>
      </c>
      <c r="C10169" t="n">
        <v>2007</v>
      </c>
      <c r="D10169" t="n">
        <v>5.84224874901387</v>
      </c>
    </row>
    <row r="10170">
      <c r="A10170" t="inlineStr">
        <is>
          <t>Tonga</t>
        </is>
      </c>
      <c r="B10170" t="inlineStr">
        <is>
          <t>TON</t>
        </is>
      </c>
      <c r="C10170" t="n">
        <v>2008</v>
      </c>
      <c r="D10170" t="n">
        <v>10.4469875128222</v>
      </c>
    </row>
    <row r="10171">
      <c r="A10171" t="inlineStr">
        <is>
          <t>Tonga</t>
        </is>
      </c>
      <c r="B10171" t="inlineStr">
        <is>
          <t>TON</t>
        </is>
      </c>
      <c r="C10171" t="n">
        <v>2009</v>
      </c>
      <c r="D10171" t="n">
        <v>1.42685972070534</v>
      </c>
    </row>
    <row r="10172">
      <c r="A10172" t="inlineStr">
        <is>
          <t>Tonga</t>
        </is>
      </c>
      <c r="B10172" t="inlineStr">
        <is>
          <t>TON</t>
        </is>
      </c>
      <c r="C10172" t="n">
        <v>2010</v>
      </c>
      <c r="D10172" t="n">
        <v>3.53491239189831</v>
      </c>
    </row>
    <row r="10173">
      <c r="A10173" t="inlineStr">
        <is>
          <t>Tonga</t>
        </is>
      </c>
      <c r="B10173" t="inlineStr">
        <is>
          <t>TON</t>
        </is>
      </c>
      <c r="C10173" t="n">
        <v>2011</v>
      </c>
      <c r="D10173" t="n">
        <v>6.27075302995691</v>
      </c>
    </row>
    <row r="10174">
      <c r="A10174" t="inlineStr">
        <is>
          <t>Tonga</t>
        </is>
      </c>
      <c r="B10174" t="inlineStr">
        <is>
          <t>TON</t>
        </is>
      </c>
      <c r="C10174" t="n">
        <v>2012</v>
      </c>
      <c r="D10174" t="n">
        <v>1.14753853706055</v>
      </c>
    </row>
    <row r="10175">
      <c r="A10175" t="inlineStr">
        <is>
          <t>Tonga</t>
        </is>
      </c>
      <c r="B10175" t="inlineStr">
        <is>
          <t>TON</t>
        </is>
      </c>
      <c r="C10175" t="n">
        <v>2013</v>
      </c>
      <c r="D10175" t="n">
        <v>0.77562932236742</v>
      </c>
    </row>
    <row r="10176">
      <c r="A10176" t="inlineStr">
        <is>
          <t>Tonga</t>
        </is>
      </c>
      <c r="B10176" t="inlineStr">
        <is>
          <t>TON</t>
        </is>
      </c>
      <c r="C10176" t="n">
        <v>2014</v>
      </c>
      <c r="D10176" t="n">
        <v>2.51087633253706</v>
      </c>
    </row>
    <row r="10177">
      <c r="A10177" t="inlineStr">
        <is>
          <t>Tonga</t>
        </is>
      </c>
      <c r="B10177" t="inlineStr">
        <is>
          <t>TON</t>
        </is>
      </c>
      <c r="C10177" t="n">
        <v>2015</v>
      </c>
      <c r="D10177" t="n">
        <v>-1.05399831971283</v>
      </c>
    </row>
    <row r="10178">
      <c r="A10178" t="inlineStr">
        <is>
          <t>Tonga</t>
        </is>
      </c>
      <c r="B10178" t="inlineStr">
        <is>
          <t>TON</t>
        </is>
      </c>
      <c r="C10178" t="n">
        <v>2016</v>
      </c>
      <c r="D10178" t="n">
        <v>2.57815515245081</v>
      </c>
    </row>
    <row r="10179">
      <c r="A10179" t="inlineStr">
        <is>
          <t>Tonga</t>
        </is>
      </c>
      <c r="B10179" t="inlineStr">
        <is>
          <t>TON</t>
        </is>
      </c>
      <c r="C10179" t="n">
        <v>2017</v>
      </c>
      <c r="D10179" t="n">
        <v>7.51706283551115</v>
      </c>
    </row>
    <row r="10180">
      <c r="A10180" t="inlineStr">
        <is>
          <t>Tonga</t>
        </is>
      </c>
      <c r="B10180" t="inlineStr">
        <is>
          <t>TON</t>
        </is>
      </c>
      <c r="C10180" t="n">
        <v>2018</v>
      </c>
      <c r="D10180" t="n">
        <v>5.03209691984874</v>
      </c>
    </row>
    <row r="10181">
      <c r="A10181" t="inlineStr">
        <is>
          <t>Tonga</t>
        </is>
      </c>
      <c r="B10181" t="inlineStr">
        <is>
          <t>TON</t>
        </is>
      </c>
      <c r="C10181" t="n">
        <v>2019</v>
      </c>
      <c r="D10181" t="n">
        <v>1.17954334821808</v>
      </c>
    </row>
    <row r="10182">
      <c r="A10182" t="inlineStr">
        <is>
          <t>Tonga</t>
        </is>
      </c>
      <c r="B10182" t="inlineStr">
        <is>
          <t>TON</t>
        </is>
      </c>
      <c r="C10182" t="n">
        <v>2020</v>
      </c>
      <c r="D10182" t="n">
        <v>-0.349737696727496</v>
      </c>
    </row>
    <row r="10183">
      <c r="A10183" t="inlineStr">
        <is>
          <t>Tonga</t>
        </is>
      </c>
      <c r="B10183" t="inlineStr">
        <is>
          <t>TON</t>
        </is>
      </c>
      <c r="C10183" t="n">
        <v>2021</v>
      </c>
      <c r="D10183" t="n">
        <v>5.64051140636751</v>
      </c>
    </row>
    <row r="10184">
      <c r="A10184" t="inlineStr">
        <is>
          <t>Tonga</t>
        </is>
      </c>
      <c r="B10184" t="inlineStr">
        <is>
          <t>TON</t>
        </is>
      </c>
      <c r="C10184" t="n">
        <v>2022</v>
      </c>
      <c r="D10184" t="n">
        <v>10.9713652903022</v>
      </c>
    </row>
    <row r="10185">
      <c r="A10185" t="inlineStr">
        <is>
          <t>Tonga</t>
        </is>
      </c>
      <c r="B10185" t="inlineStr">
        <is>
          <t>TON</t>
        </is>
      </c>
      <c r="C10185" t="n">
        <v>2023</v>
      </c>
      <c r="D10185" t="n">
        <v>6.35112980255189</v>
      </c>
    </row>
    <row r="10186">
      <c r="A10186" t="inlineStr">
        <is>
          <t>Tonga</t>
        </is>
      </c>
      <c r="B10186" t="inlineStr">
        <is>
          <t>TON</t>
        </is>
      </c>
      <c r="C10186" t="n">
        <v>2024</v>
      </c>
      <c r="D10186" t="n">
        <v>3.18364611260058</v>
      </c>
    </row>
    <row r="10187">
      <c r="A10187" t="inlineStr">
        <is>
          <t>South Asia (IDA &amp; IBRD)</t>
        </is>
      </c>
      <c r="B10187" t="inlineStr">
        <is>
          <t>TSA</t>
        </is>
      </c>
      <c r="C10187" t="n">
        <v>1965</v>
      </c>
      <c r="D10187" t="n">
        <v>7.02025240391421</v>
      </c>
    </row>
    <row r="10188">
      <c r="A10188" t="inlineStr">
        <is>
          <t>South Asia (IDA &amp; IBRD)</t>
        </is>
      </c>
      <c r="B10188" t="inlineStr">
        <is>
          <t>TSA</t>
        </is>
      </c>
      <c r="C10188" t="n">
        <v>1966</v>
      </c>
      <c r="D10188" t="n">
        <v>9.01473497340578</v>
      </c>
    </row>
    <row r="10189">
      <c r="A10189" t="inlineStr">
        <is>
          <t>South Asia (IDA &amp; IBRD)</t>
        </is>
      </c>
      <c r="B10189" t="inlineStr">
        <is>
          <t>TSA</t>
        </is>
      </c>
      <c r="C10189" t="n">
        <v>1967</v>
      </c>
      <c r="D10189" t="n">
        <v>4.50031948316103</v>
      </c>
    </row>
    <row r="10190">
      <c r="A10190" t="inlineStr">
        <is>
          <t>South Asia (IDA &amp; IBRD)</t>
        </is>
      </c>
      <c r="B10190" t="inlineStr">
        <is>
          <t>TSA</t>
        </is>
      </c>
      <c r="C10190" t="n">
        <v>1968</v>
      </c>
      <c r="D10190" t="n">
        <v>2.20864119998775</v>
      </c>
    </row>
    <row r="10191">
      <c r="A10191" t="inlineStr">
        <is>
          <t>South Asia (IDA &amp; IBRD)</t>
        </is>
      </c>
      <c r="B10191" t="inlineStr">
        <is>
          <t>TSA</t>
        </is>
      </c>
      <c r="C10191" t="n">
        <v>1969</v>
      </c>
      <c r="D10191" t="n">
        <v>3.62228920927622</v>
      </c>
    </row>
    <row r="10192">
      <c r="A10192" t="inlineStr">
        <is>
          <t>South Asia (IDA &amp; IBRD)</t>
        </is>
      </c>
      <c r="B10192" t="inlineStr">
        <is>
          <t>TSA</t>
        </is>
      </c>
      <c r="C10192" t="n">
        <v>1970</v>
      </c>
      <c r="D10192" t="n">
        <v>5.60839849374493</v>
      </c>
    </row>
    <row r="10193">
      <c r="A10193" t="inlineStr">
        <is>
          <t>South Asia (IDA &amp; IBRD)</t>
        </is>
      </c>
      <c r="B10193" t="inlineStr">
        <is>
          <t>TSA</t>
        </is>
      </c>
      <c r="C10193" t="n">
        <v>1971</v>
      </c>
      <c r="D10193" t="n">
        <v>2.87265944633264</v>
      </c>
    </row>
    <row r="10194">
      <c r="A10194" t="inlineStr">
        <is>
          <t>South Asia (IDA &amp; IBRD)</t>
        </is>
      </c>
      <c r="B10194" t="inlineStr">
        <is>
          <t>TSA</t>
        </is>
      </c>
      <c r="C10194" t="n">
        <v>1972</v>
      </c>
      <c r="D10194" t="n">
        <v>6.39579175585928</v>
      </c>
    </row>
    <row r="10195">
      <c r="A10195" t="inlineStr">
        <is>
          <t>South Asia (IDA &amp; IBRD)</t>
        </is>
      </c>
      <c r="B10195" t="inlineStr">
        <is>
          <t>TSA</t>
        </is>
      </c>
      <c r="C10195" t="n">
        <v>1973</v>
      </c>
      <c r="D10195" t="n">
        <v>14.1852942525168</v>
      </c>
    </row>
    <row r="10196">
      <c r="A10196" t="inlineStr">
        <is>
          <t>South Asia (IDA &amp; IBRD)</t>
        </is>
      </c>
      <c r="B10196" t="inlineStr">
        <is>
          <t>TSA</t>
        </is>
      </c>
      <c r="C10196" t="n">
        <v>1974</v>
      </c>
      <c r="D10196" t="n">
        <v>23.2346864409169</v>
      </c>
    </row>
    <row r="10197">
      <c r="A10197" t="inlineStr">
        <is>
          <t>South Asia (IDA &amp; IBRD)</t>
        </is>
      </c>
      <c r="B10197" t="inlineStr">
        <is>
          <t>TSA</t>
        </is>
      </c>
      <c r="C10197" t="n">
        <v>1975</v>
      </c>
      <c r="D10197" t="n">
        <v>7.10598888336972</v>
      </c>
    </row>
    <row r="10198">
      <c r="A10198" t="inlineStr">
        <is>
          <t>South Asia (IDA &amp; IBRD)</t>
        </is>
      </c>
      <c r="B10198" t="inlineStr">
        <is>
          <t>TSA</t>
        </is>
      </c>
      <c r="C10198" t="n">
        <v>1976</v>
      </c>
      <c r="D10198" t="n">
        <v>-0.89185852634482</v>
      </c>
    </row>
    <row r="10199">
      <c r="A10199" t="inlineStr">
        <is>
          <t>South Asia (IDA &amp; IBRD)</t>
        </is>
      </c>
      <c r="B10199" t="inlineStr">
        <is>
          <t>TSA</t>
        </is>
      </c>
      <c r="C10199" t="n">
        <v>1977</v>
      </c>
      <c r="D10199" t="n">
        <v>9.10316146742325</v>
      </c>
    </row>
    <row r="10200">
      <c r="A10200" t="inlineStr">
        <is>
          <t>South Asia (IDA &amp; IBRD)</t>
        </is>
      </c>
      <c r="B10200" t="inlineStr">
        <is>
          <t>TSA</t>
        </is>
      </c>
      <c r="C10200" t="n">
        <v>1978</v>
      </c>
      <c r="D10200" t="n">
        <v>6.74239195913019</v>
      </c>
    </row>
    <row r="10201">
      <c r="A10201" t="inlineStr">
        <is>
          <t>South Asia (IDA &amp; IBRD)</t>
        </is>
      </c>
      <c r="B10201" t="inlineStr">
        <is>
          <t>TSA</t>
        </is>
      </c>
      <c r="C10201" t="n">
        <v>1979</v>
      </c>
      <c r="D10201" t="n">
        <v>7.27136517189954</v>
      </c>
    </row>
    <row r="10202">
      <c r="A10202" t="inlineStr">
        <is>
          <t>South Asia (IDA &amp; IBRD)</t>
        </is>
      </c>
      <c r="B10202" t="inlineStr">
        <is>
          <t>TSA</t>
        </is>
      </c>
      <c r="C10202" t="n">
        <v>1980</v>
      </c>
      <c r="D10202" t="n">
        <v>13.3113668435427</v>
      </c>
    </row>
    <row r="10203">
      <c r="A10203" t="inlineStr">
        <is>
          <t>South Asia (IDA &amp; IBRD)</t>
        </is>
      </c>
      <c r="B10203" t="inlineStr">
        <is>
          <t>TSA</t>
        </is>
      </c>
      <c r="C10203" t="n">
        <v>1981</v>
      </c>
      <c r="D10203" t="n">
        <v>11.8799135925283</v>
      </c>
    </row>
    <row r="10204">
      <c r="A10204" t="inlineStr">
        <is>
          <t>South Asia (IDA &amp; IBRD)</t>
        </is>
      </c>
      <c r="B10204" t="inlineStr">
        <is>
          <t>TSA</t>
        </is>
      </c>
      <c r="C10204" t="n">
        <v>1982</v>
      </c>
      <c r="D10204" t="n">
        <v>9.84677216779704</v>
      </c>
    </row>
    <row r="10205">
      <c r="A10205" t="inlineStr">
        <is>
          <t>South Asia (IDA &amp; IBRD)</t>
        </is>
      </c>
      <c r="B10205" t="inlineStr">
        <is>
          <t>TSA</t>
        </is>
      </c>
      <c r="C10205" t="n">
        <v>1983</v>
      </c>
      <c r="D10205" t="n">
        <v>12.3772380782713</v>
      </c>
    </row>
    <row r="10206">
      <c r="A10206" t="inlineStr">
        <is>
          <t>South Asia (IDA &amp; IBRD)</t>
        </is>
      </c>
      <c r="B10206" t="inlineStr">
        <is>
          <t>TSA</t>
        </is>
      </c>
      <c r="C10206" t="n">
        <v>1984</v>
      </c>
      <c r="D10206" t="n">
        <v>7.03770661157025</v>
      </c>
    </row>
    <row r="10207">
      <c r="A10207" t="inlineStr">
        <is>
          <t>South Asia (IDA &amp; IBRD)</t>
        </is>
      </c>
      <c r="B10207" t="inlineStr">
        <is>
          <t>TSA</t>
        </is>
      </c>
      <c r="C10207" t="n">
        <v>1985</v>
      </c>
      <c r="D10207" t="n">
        <v>5.55642423236554</v>
      </c>
    </row>
    <row r="10208">
      <c r="A10208" t="inlineStr">
        <is>
          <t>South Asia (IDA &amp; IBRD)</t>
        </is>
      </c>
      <c r="B10208" t="inlineStr">
        <is>
          <t>TSA</t>
        </is>
      </c>
      <c r="C10208" t="n">
        <v>1986</v>
      </c>
      <c r="D10208" t="n">
        <v>9.225957001905719</v>
      </c>
    </row>
    <row r="10209">
      <c r="A10209" t="inlineStr">
        <is>
          <t>South Asia (IDA &amp; IBRD)</t>
        </is>
      </c>
      <c r="B10209" t="inlineStr">
        <is>
          <t>TSA</t>
        </is>
      </c>
      <c r="C10209" t="n">
        <v>1987</v>
      </c>
      <c r="D10209" t="n">
        <v>8.801125812518331</v>
      </c>
    </row>
    <row r="10210">
      <c r="A10210" t="inlineStr">
        <is>
          <t>South Asia (IDA &amp; IBRD)</t>
        </is>
      </c>
      <c r="B10210" t="inlineStr">
        <is>
          <t>TSA</t>
        </is>
      </c>
      <c r="C10210" t="n">
        <v>1988</v>
      </c>
      <c r="D10210" t="n">
        <v>8.98300338208989</v>
      </c>
    </row>
    <row r="10211">
      <c r="A10211" t="inlineStr">
        <is>
          <t>South Asia (IDA &amp; IBRD)</t>
        </is>
      </c>
      <c r="B10211" t="inlineStr">
        <is>
          <t>TSA</t>
        </is>
      </c>
      <c r="C10211" t="n">
        <v>1989</v>
      </c>
      <c r="D10211" t="n">
        <v>7.84426473740044</v>
      </c>
    </row>
    <row r="10212">
      <c r="A10212" t="inlineStr">
        <is>
          <t>South Asia (IDA &amp; IBRD)</t>
        </is>
      </c>
      <c r="B10212" t="inlineStr">
        <is>
          <t>TSA</t>
        </is>
      </c>
      <c r="C10212" t="n">
        <v>1990</v>
      </c>
      <c r="D10212" t="n">
        <v>8.9712325027325</v>
      </c>
    </row>
    <row r="10213">
      <c r="A10213" t="inlineStr">
        <is>
          <t>South Asia (IDA &amp; IBRD)</t>
        </is>
      </c>
      <c r="B10213" t="inlineStr">
        <is>
          <t>TSA</t>
        </is>
      </c>
      <c r="C10213" t="n">
        <v>1991</v>
      </c>
      <c r="D10213" t="n">
        <v>12.2751729438893</v>
      </c>
    </row>
    <row r="10214">
      <c r="A10214" t="inlineStr">
        <is>
          <t>South Asia (IDA &amp; IBRD)</t>
        </is>
      </c>
      <c r="B10214" t="inlineStr">
        <is>
          <t>TSA</t>
        </is>
      </c>
      <c r="C10214" t="n">
        <v>1992</v>
      </c>
      <c r="D10214" t="n">
        <v>11.7878170418134</v>
      </c>
    </row>
    <row r="10215">
      <c r="A10215" t="inlineStr">
        <is>
          <t>South Asia (IDA &amp; IBRD)</t>
        </is>
      </c>
      <c r="B10215" t="inlineStr">
        <is>
          <t>TSA</t>
        </is>
      </c>
      <c r="C10215" t="n">
        <v>1993</v>
      </c>
      <c r="D10215" t="n">
        <v>9.97366476029209</v>
      </c>
    </row>
    <row r="10216">
      <c r="A10216" t="inlineStr">
        <is>
          <t>South Asia (IDA &amp; IBRD)</t>
        </is>
      </c>
      <c r="B10216" t="inlineStr">
        <is>
          <t>TSA</t>
        </is>
      </c>
      <c r="C10216" t="n">
        <v>1994</v>
      </c>
      <c r="D10216" t="n">
        <v>8.34928672883386</v>
      </c>
    </row>
    <row r="10217">
      <c r="A10217" t="inlineStr">
        <is>
          <t>South Asia (IDA &amp; IBRD)</t>
        </is>
      </c>
      <c r="B10217" t="inlineStr">
        <is>
          <t>TSA</t>
        </is>
      </c>
      <c r="C10217" t="n">
        <v>1995</v>
      </c>
      <c r="D10217" t="n">
        <v>9.487548367893689</v>
      </c>
    </row>
    <row r="10218">
      <c r="A10218" t="inlineStr">
        <is>
          <t>South Asia (IDA &amp; IBRD)</t>
        </is>
      </c>
      <c r="B10218" t="inlineStr">
        <is>
          <t>TSA</t>
        </is>
      </c>
      <c r="C10218" t="n">
        <v>1996</v>
      </c>
      <c r="D10218" t="n">
        <v>8.97715233826453</v>
      </c>
    </row>
    <row r="10219">
      <c r="A10219" t="inlineStr">
        <is>
          <t>South Asia (IDA &amp; IBRD)</t>
        </is>
      </c>
      <c r="B10219" t="inlineStr">
        <is>
          <t>TSA</t>
        </is>
      </c>
      <c r="C10219" t="n">
        <v>1997</v>
      </c>
      <c r="D10219" t="n">
        <v>7.16425211462724</v>
      </c>
    </row>
    <row r="10220">
      <c r="A10220" t="inlineStr">
        <is>
          <t>South Asia (IDA &amp; IBRD)</t>
        </is>
      </c>
      <c r="B10220" t="inlineStr">
        <is>
          <t>TSA</t>
        </is>
      </c>
      <c r="C10220" t="n">
        <v>1998</v>
      </c>
      <c r="D10220" t="n">
        <v>9.364243006832289</v>
      </c>
    </row>
    <row r="10221">
      <c r="A10221" t="inlineStr">
        <is>
          <t>South Asia (IDA &amp; IBRD)</t>
        </is>
      </c>
      <c r="B10221" t="inlineStr">
        <is>
          <t>TSA</t>
        </is>
      </c>
      <c r="C10221" t="n">
        <v>1999</v>
      </c>
      <c r="D10221" t="n">
        <v>4.69170563048438</v>
      </c>
    </row>
    <row r="10222">
      <c r="A10222" t="inlineStr">
        <is>
          <t>South Asia (IDA &amp; IBRD)</t>
        </is>
      </c>
      <c r="B10222" t="inlineStr">
        <is>
          <t>TSA</t>
        </is>
      </c>
      <c r="C10222" t="n">
        <v>2000</v>
      </c>
      <c r="D10222" t="n">
        <v>4.0094359104519</v>
      </c>
    </row>
    <row r="10223">
      <c r="A10223" t="inlineStr">
        <is>
          <t>South Asia (IDA &amp; IBRD)</t>
        </is>
      </c>
      <c r="B10223" t="inlineStr">
        <is>
          <t>TSA</t>
        </is>
      </c>
      <c r="C10223" t="n">
        <v>2001</v>
      </c>
      <c r="D10223" t="n">
        <v>3.14826144590618</v>
      </c>
    </row>
    <row r="10224">
      <c r="A10224" t="inlineStr">
        <is>
          <t>South Asia (IDA &amp; IBRD)</t>
        </is>
      </c>
      <c r="B10224" t="inlineStr">
        <is>
          <t>TSA</t>
        </is>
      </c>
      <c r="C10224" t="n">
        <v>2002</v>
      </c>
      <c r="D10224" t="n">
        <v>3.33256493271913</v>
      </c>
    </row>
    <row r="10225">
      <c r="A10225" t="inlineStr">
        <is>
          <t>South Asia (IDA &amp; IBRD)</t>
        </is>
      </c>
      <c r="B10225" t="inlineStr">
        <is>
          <t>TSA</t>
        </is>
      </c>
      <c r="C10225" t="n">
        <v>2003</v>
      </c>
      <c r="D10225" t="n">
        <v>3.80585899528851</v>
      </c>
    </row>
    <row r="10226">
      <c r="A10226" t="inlineStr">
        <is>
          <t>South Asia (IDA &amp; IBRD)</t>
        </is>
      </c>
      <c r="B10226" t="inlineStr">
        <is>
          <t>TSA</t>
        </is>
      </c>
      <c r="C10226" t="n">
        <v>2004</v>
      </c>
      <c r="D10226" t="n">
        <v>4.10593698272958</v>
      </c>
    </row>
    <row r="10227">
      <c r="A10227" t="inlineStr">
        <is>
          <t>South Asia (IDA &amp; IBRD)</t>
        </is>
      </c>
      <c r="B10227" t="inlineStr">
        <is>
          <t>TSA</t>
        </is>
      </c>
      <c r="C10227" t="n">
        <v>2005</v>
      </c>
      <c r="D10227" t="n">
        <v>6.94147541057457</v>
      </c>
    </row>
    <row r="10228">
      <c r="A10228" t="inlineStr">
        <is>
          <t>South Asia (IDA &amp; IBRD)</t>
        </is>
      </c>
      <c r="B10228" t="inlineStr">
        <is>
          <t>TSA</t>
        </is>
      </c>
      <c r="C10228" t="n">
        <v>2006</v>
      </c>
      <c r="D10228" t="n">
        <v>6.77492886028206</v>
      </c>
    </row>
    <row r="10229">
      <c r="A10229" t="inlineStr">
        <is>
          <t>South Asia (IDA &amp; IBRD)</t>
        </is>
      </c>
      <c r="B10229" t="inlineStr">
        <is>
          <t>TSA</t>
        </is>
      </c>
      <c r="C10229" t="n">
        <v>2007</v>
      </c>
      <c r="D10229" t="n">
        <v>7.19672897490471</v>
      </c>
    </row>
    <row r="10230">
      <c r="A10230" t="inlineStr">
        <is>
          <t>South Asia (IDA &amp; IBRD)</t>
        </is>
      </c>
      <c r="B10230" t="inlineStr">
        <is>
          <t>TSA</t>
        </is>
      </c>
      <c r="C10230" t="n">
        <v>2008</v>
      </c>
      <c r="D10230" t="n">
        <v>10.9746442017878</v>
      </c>
    </row>
    <row r="10231">
      <c r="A10231" t="inlineStr">
        <is>
          <t>South Asia (IDA &amp; IBRD)</t>
        </is>
      </c>
      <c r="B10231" t="inlineStr">
        <is>
          <t>TSA</t>
        </is>
      </c>
      <c r="C10231" t="n">
        <v>2009</v>
      </c>
      <c r="D10231" t="n">
        <v>4.9768244765374</v>
      </c>
    </row>
    <row r="10232">
      <c r="A10232" t="inlineStr">
        <is>
          <t>South Asia (IDA &amp; IBRD)</t>
        </is>
      </c>
      <c r="B10232" t="inlineStr">
        <is>
          <t>TSA</t>
        </is>
      </c>
      <c r="C10232" t="n">
        <v>2010</v>
      </c>
      <c r="D10232" t="n">
        <v>7.58152977621468</v>
      </c>
    </row>
    <row r="10233">
      <c r="A10233" t="inlineStr">
        <is>
          <t>South Asia (IDA &amp; IBRD)</t>
        </is>
      </c>
      <c r="B10233" t="inlineStr">
        <is>
          <t>TSA</t>
        </is>
      </c>
      <c r="C10233" t="n">
        <v>2011</v>
      </c>
      <c r="D10233" t="n">
        <v>10.2502450334266</v>
      </c>
    </row>
    <row r="10234">
      <c r="A10234" t="inlineStr">
        <is>
          <t>South Asia (IDA &amp; IBRD)</t>
        </is>
      </c>
      <c r="B10234" t="inlineStr">
        <is>
          <t>TSA</t>
        </is>
      </c>
      <c r="C10234" t="n">
        <v>2012</v>
      </c>
      <c r="D10234" t="n">
        <v>9.46940335888468</v>
      </c>
    </row>
    <row r="10235">
      <c r="A10235" t="inlineStr">
        <is>
          <t>South Asia (IDA &amp; IBRD)</t>
        </is>
      </c>
      <c r="B10235" t="inlineStr">
        <is>
          <t>TSA</t>
        </is>
      </c>
      <c r="C10235" t="n">
        <v>2013</v>
      </c>
      <c r="D10235" t="n">
        <v>7.61128126406368</v>
      </c>
    </row>
    <row r="10236">
      <c r="A10236" t="inlineStr">
        <is>
          <t>South Asia (IDA &amp; IBRD)</t>
        </is>
      </c>
      <c r="B10236" t="inlineStr">
        <is>
          <t>TSA</t>
        </is>
      </c>
      <c r="C10236" t="n">
        <v>2014</v>
      </c>
      <c r="D10236" t="n">
        <v>6.82864780544374</v>
      </c>
    </row>
    <row r="10237">
      <c r="A10237" t="inlineStr">
        <is>
          <t>South Asia (IDA &amp; IBRD)</t>
        </is>
      </c>
      <c r="B10237" t="inlineStr">
        <is>
          <t>TSA</t>
        </is>
      </c>
      <c r="C10237" t="n">
        <v>2015</v>
      </c>
      <c r="D10237" t="n">
        <v>4.15825589072151</v>
      </c>
    </row>
    <row r="10238">
      <c r="A10238" t="inlineStr">
        <is>
          <t>South Asia (IDA &amp; IBRD)</t>
        </is>
      </c>
      <c r="B10238" t="inlineStr">
        <is>
          <t>TSA</t>
        </is>
      </c>
      <c r="C10238" t="n">
        <v>2016</v>
      </c>
      <c r="D10238" t="n">
        <v>4.17139021053493</v>
      </c>
    </row>
    <row r="10239">
      <c r="A10239" t="inlineStr">
        <is>
          <t>South Asia (IDA &amp; IBRD)</t>
        </is>
      </c>
      <c r="B10239" t="inlineStr">
        <is>
          <t>TSA</t>
        </is>
      </c>
      <c r="C10239" t="n">
        <v>2017</v>
      </c>
      <c r="D10239" t="n">
        <v>4.52022867508868</v>
      </c>
    </row>
    <row r="10240">
      <c r="A10240" t="inlineStr">
        <is>
          <t>South Asia (IDA &amp; IBRD)</t>
        </is>
      </c>
      <c r="B10240" t="inlineStr">
        <is>
          <t>TSA</t>
        </is>
      </c>
      <c r="C10240" t="n">
        <v>2018</v>
      </c>
      <c r="D10240" t="n">
        <v>3.33139516437672</v>
      </c>
    </row>
    <row r="10241">
      <c r="A10241" t="inlineStr">
        <is>
          <t>South Asia (IDA &amp; IBRD)</t>
        </is>
      </c>
      <c r="B10241" t="inlineStr">
        <is>
          <t>TSA</t>
        </is>
      </c>
      <c r="C10241" t="n">
        <v>2019</v>
      </c>
      <c r="D10241" t="n">
        <v>3.6289496588547</v>
      </c>
    </row>
    <row r="10242">
      <c r="A10242" t="inlineStr">
        <is>
          <t>South Asia (IDA &amp; IBRD)</t>
        </is>
      </c>
      <c r="B10242" t="inlineStr">
        <is>
          <t>TSA</t>
        </is>
      </c>
      <c r="C10242" t="n">
        <v>2020</v>
      </c>
      <c r="D10242" t="n">
        <v>5.6602199868936</v>
      </c>
    </row>
    <row r="10243">
      <c r="A10243" t="inlineStr">
        <is>
          <t>South Asia (IDA &amp; IBRD)</t>
        </is>
      </c>
      <c r="B10243" t="inlineStr">
        <is>
          <t>TSA</t>
        </is>
      </c>
      <c r="C10243" t="n">
        <v>2021</v>
      </c>
      <c r="D10243" t="n">
        <v>5.33942885799218</v>
      </c>
    </row>
    <row r="10244">
      <c r="A10244" t="inlineStr">
        <is>
          <t>South Asia (IDA &amp; IBRD)</t>
        </is>
      </c>
      <c r="B10244" t="inlineStr">
        <is>
          <t>TSA</t>
        </is>
      </c>
      <c r="C10244" t="n">
        <v>2022</v>
      </c>
      <c r="D10244" t="n">
        <v>7.67387306987714</v>
      </c>
    </row>
    <row r="10245">
      <c r="A10245" t="inlineStr">
        <is>
          <t>South Asia (IDA &amp; IBRD)</t>
        </is>
      </c>
      <c r="B10245" t="inlineStr">
        <is>
          <t>TSA</t>
        </is>
      </c>
      <c r="C10245" t="n">
        <v>2023</v>
      </c>
      <c r="D10245" t="n">
        <v>6.38195135323062</v>
      </c>
    </row>
    <row r="10246">
      <c r="A10246" t="inlineStr">
        <is>
          <t>Sub-Saharan Africa (IDA &amp; IBRD countries)</t>
        </is>
      </c>
      <c r="B10246" t="inlineStr">
        <is>
          <t>TSS</t>
        </is>
      </c>
      <c r="C10246" t="n">
        <v>1975</v>
      </c>
      <c r="D10246" t="n">
        <v>18.3117857539904</v>
      </c>
    </row>
    <row r="10247">
      <c r="A10247" t="inlineStr">
        <is>
          <t>Sub-Saharan Africa (IDA &amp; IBRD countries)</t>
        </is>
      </c>
      <c r="B10247" t="inlineStr">
        <is>
          <t>TSS</t>
        </is>
      </c>
      <c r="C10247" t="n">
        <v>1976</v>
      </c>
      <c r="D10247" t="n">
        <v>11.5448806519836</v>
      </c>
    </row>
    <row r="10248">
      <c r="A10248" t="inlineStr">
        <is>
          <t>Sub-Saharan Africa (IDA &amp; IBRD countries)</t>
        </is>
      </c>
      <c r="B10248" t="inlineStr">
        <is>
          <t>TSS</t>
        </is>
      </c>
      <c r="C10248" t="n">
        <v>1977</v>
      </c>
      <c r="D10248" t="n">
        <v>14.8900665023223</v>
      </c>
    </row>
    <row r="10249">
      <c r="A10249" t="inlineStr">
        <is>
          <t>Sub-Saharan Africa (IDA &amp; IBRD countries)</t>
        </is>
      </c>
      <c r="B10249" t="inlineStr">
        <is>
          <t>TSS</t>
        </is>
      </c>
      <c r="C10249" t="n">
        <v>1978</v>
      </c>
      <c r="D10249" t="n">
        <v>11.4594300574244</v>
      </c>
    </row>
    <row r="10250">
      <c r="A10250" t="inlineStr">
        <is>
          <t>Sub-Saharan Africa (IDA &amp; IBRD countries)</t>
        </is>
      </c>
      <c r="B10250" t="inlineStr">
        <is>
          <t>TSS</t>
        </is>
      </c>
      <c r="C10250" t="n">
        <v>1979</v>
      </c>
      <c r="D10250" t="n">
        <v>13.6746273591787</v>
      </c>
    </row>
    <row r="10251">
      <c r="A10251" t="inlineStr">
        <is>
          <t>Sub-Saharan Africa (IDA &amp; IBRD countries)</t>
        </is>
      </c>
      <c r="B10251" t="inlineStr">
        <is>
          <t>TSS</t>
        </is>
      </c>
      <c r="C10251" t="n">
        <v>1980</v>
      </c>
      <c r="D10251" t="n">
        <v>13.6019828289492</v>
      </c>
    </row>
    <row r="10252">
      <c r="A10252" t="inlineStr">
        <is>
          <t>Sub-Saharan Africa (IDA &amp; IBRD countries)</t>
        </is>
      </c>
      <c r="B10252" t="inlineStr">
        <is>
          <t>TSS</t>
        </is>
      </c>
      <c r="C10252" t="n">
        <v>1981</v>
      </c>
      <c r="D10252" t="n">
        <v>12.2903278605959</v>
      </c>
    </row>
    <row r="10253">
      <c r="A10253" t="inlineStr">
        <is>
          <t>Sub-Saharan Africa (IDA &amp; IBRD countries)</t>
        </is>
      </c>
      <c r="B10253" t="inlineStr">
        <is>
          <t>TSS</t>
        </is>
      </c>
      <c r="C10253" t="n">
        <v>1982</v>
      </c>
      <c r="D10253" t="n">
        <v>12.0998414518035</v>
      </c>
    </row>
    <row r="10254">
      <c r="A10254" t="inlineStr">
        <is>
          <t>Sub-Saharan Africa (IDA &amp; IBRD countries)</t>
        </is>
      </c>
      <c r="B10254" t="inlineStr">
        <is>
          <t>TSS</t>
        </is>
      </c>
      <c r="C10254" t="n">
        <v>1983</v>
      </c>
      <c r="D10254" t="n">
        <v>11.4826535601296</v>
      </c>
    </row>
    <row r="10255">
      <c r="A10255" t="inlineStr">
        <is>
          <t>Sub-Saharan Africa (IDA &amp; IBRD countries)</t>
        </is>
      </c>
      <c r="B10255" t="inlineStr">
        <is>
          <t>TSS</t>
        </is>
      </c>
      <c r="C10255" t="n">
        <v>1984</v>
      </c>
      <c r="D10255" t="n">
        <v>11.1169312857885</v>
      </c>
    </row>
    <row r="10256">
      <c r="A10256" t="inlineStr">
        <is>
          <t>Sub-Saharan Africa (IDA &amp; IBRD countries)</t>
        </is>
      </c>
      <c r="B10256" t="inlineStr">
        <is>
          <t>TSS</t>
        </is>
      </c>
      <c r="C10256" t="n">
        <v>1985</v>
      </c>
      <c r="D10256" t="n">
        <v>9.40690750687272</v>
      </c>
    </row>
    <row r="10257">
      <c r="A10257" t="inlineStr">
        <is>
          <t>Sub-Saharan Africa (IDA &amp; IBRD countries)</t>
        </is>
      </c>
      <c r="B10257" t="inlineStr">
        <is>
          <t>TSS</t>
        </is>
      </c>
      <c r="C10257" t="n">
        <v>1986</v>
      </c>
      <c r="D10257" t="n">
        <v>6.85934422794885</v>
      </c>
    </row>
    <row r="10258">
      <c r="A10258" t="inlineStr">
        <is>
          <t>Sub-Saharan Africa (IDA &amp; IBRD countries)</t>
        </is>
      </c>
      <c r="B10258" t="inlineStr">
        <is>
          <t>TSS</t>
        </is>
      </c>
      <c r="C10258" t="n">
        <v>1987</v>
      </c>
      <c r="D10258" t="n">
        <v>7.63279008878104</v>
      </c>
    </row>
    <row r="10259">
      <c r="A10259" t="inlineStr">
        <is>
          <t>Sub-Saharan Africa (IDA &amp; IBRD countries)</t>
        </is>
      </c>
      <c r="B10259" t="inlineStr">
        <is>
          <t>TSS</t>
        </is>
      </c>
      <c r="C10259" t="n">
        <v>1988</v>
      </c>
      <c r="D10259" t="n">
        <v>8.351679568212189</v>
      </c>
    </row>
    <row r="10260">
      <c r="A10260" t="inlineStr">
        <is>
          <t>Sub-Saharan Africa (IDA &amp; IBRD countries)</t>
        </is>
      </c>
      <c r="B10260" t="inlineStr">
        <is>
          <t>TSS</t>
        </is>
      </c>
      <c r="C10260" t="n">
        <v>1989</v>
      </c>
      <c r="D10260" t="n">
        <v>8.046158634873199</v>
      </c>
    </row>
    <row r="10261">
      <c r="A10261" t="inlineStr">
        <is>
          <t>Sub-Saharan Africa (IDA &amp; IBRD countries)</t>
        </is>
      </c>
      <c r="B10261" t="inlineStr">
        <is>
          <t>TSS</t>
        </is>
      </c>
      <c r="C10261" t="n">
        <v>1990</v>
      </c>
      <c r="D10261" t="n">
        <v>7.5448610969945</v>
      </c>
    </row>
    <row r="10262">
      <c r="A10262" t="inlineStr">
        <is>
          <t>Sub-Saharan Africa (IDA &amp; IBRD countries)</t>
        </is>
      </c>
      <c r="B10262" t="inlineStr">
        <is>
          <t>TSS</t>
        </is>
      </c>
      <c r="C10262" t="n">
        <v>1991</v>
      </c>
      <c r="D10262" t="n">
        <v>8.93430656934288</v>
      </c>
    </row>
    <row r="10263">
      <c r="A10263" t="inlineStr">
        <is>
          <t>Sub-Saharan Africa (IDA &amp; IBRD countries)</t>
        </is>
      </c>
      <c r="B10263" t="inlineStr">
        <is>
          <t>TSS</t>
        </is>
      </c>
      <c r="C10263" t="n">
        <v>1992</v>
      </c>
      <c r="D10263" t="n">
        <v>9.486542506171631</v>
      </c>
    </row>
    <row r="10264">
      <c r="A10264" t="inlineStr">
        <is>
          <t>Sub-Saharan Africa (IDA &amp; IBRD countries)</t>
        </is>
      </c>
      <c r="B10264" t="inlineStr">
        <is>
          <t>TSS</t>
        </is>
      </c>
      <c r="C10264" t="n">
        <v>1993</v>
      </c>
      <c r="D10264" t="n">
        <v>9.52484537019695</v>
      </c>
    </row>
    <row r="10265">
      <c r="A10265" t="inlineStr">
        <is>
          <t>Sub-Saharan Africa (IDA &amp; IBRD countries)</t>
        </is>
      </c>
      <c r="B10265" t="inlineStr">
        <is>
          <t>TSS</t>
        </is>
      </c>
      <c r="C10265" t="n">
        <v>1994</v>
      </c>
      <c r="D10265" t="n">
        <v>27.4479807126946</v>
      </c>
    </row>
    <row r="10266">
      <c r="A10266" t="inlineStr">
        <is>
          <t>Sub-Saharan Africa (IDA &amp; IBRD countries)</t>
        </is>
      </c>
      <c r="B10266" t="inlineStr">
        <is>
          <t>TSS</t>
        </is>
      </c>
      <c r="C10266" t="n">
        <v>1995</v>
      </c>
      <c r="D10266" t="n">
        <v>11.425939964662</v>
      </c>
    </row>
    <row r="10267">
      <c r="A10267" t="inlineStr">
        <is>
          <t>Sub-Saharan Africa (IDA &amp; IBRD countries)</t>
        </is>
      </c>
      <c r="B10267" t="inlineStr">
        <is>
          <t>TSS</t>
        </is>
      </c>
      <c r="C10267" t="n">
        <v>1996</v>
      </c>
      <c r="D10267" t="n">
        <v>7.19164660433344</v>
      </c>
    </row>
    <row r="10268">
      <c r="A10268" t="inlineStr">
        <is>
          <t>Sub-Saharan Africa (IDA &amp; IBRD countries)</t>
        </is>
      </c>
      <c r="B10268" t="inlineStr">
        <is>
          <t>TSS</t>
        </is>
      </c>
      <c r="C10268" t="n">
        <v>1997</v>
      </c>
      <c r="D10268" t="n">
        <v>7.6471743331001</v>
      </c>
    </row>
    <row r="10269">
      <c r="A10269" t="inlineStr">
        <is>
          <t>Sub-Saharan Africa (IDA &amp; IBRD countries)</t>
        </is>
      </c>
      <c r="B10269" t="inlineStr">
        <is>
          <t>TSS</t>
        </is>
      </c>
      <c r="C10269" t="n">
        <v>1998</v>
      </c>
      <c r="D10269" t="n">
        <v>6.43573287560781</v>
      </c>
    </row>
    <row r="10270">
      <c r="A10270" t="inlineStr">
        <is>
          <t>Sub-Saharan Africa (IDA &amp; IBRD countries)</t>
        </is>
      </c>
      <c r="B10270" t="inlineStr">
        <is>
          <t>TSS</t>
        </is>
      </c>
      <c r="C10270" t="n">
        <v>1999</v>
      </c>
      <c r="D10270" t="n">
        <v>4.35643374510453</v>
      </c>
    </row>
    <row r="10271">
      <c r="A10271" t="inlineStr">
        <is>
          <t>Sub-Saharan Africa (IDA &amp; IBRD countries)</t>
        </is>
      </c>
      <c r="B10271" t="inlineStr">
        <is>
          <t>TSS</t>
        </is>
      </c>
      <c r="C10271" t="n">
        <v>2000</v>
      </c>
      <c r="D10271" t="n">
        <v>4.500788562621</v>
      </c>
    </row>
    <row r="10272">
      <c r="A10272" t="inlineStr">
        <is>
          <t>Sub-Saharan Africa (IDA &amp; IBRD countries)</t>
        </is>
      </c>
      <c r="B10272" t="inlineStr">
        <is>
          <t>TSS</t>
        </is>
      </c>
      <c r="C10272" t="n">
        <v>2001</v>
      </c>
      <c r="D10272" t="n">
        <v>5.14746800222618</v>
      </c>
    </row>
    <row r="10273">
      <c r="A10273" t="inlineStr">
        <is>
          <t>Sub-Saharan Africa (IDA &amp; IBRD countries)</t>
        </is>
      </c>
      <c r="B10273" t="inlineStr">
        <is>
          <t>TSS</t>
        </is>
      </c>
      <c r="C10273" t="n">
        <v>2002</v>
      </c>
      <c r="D10273" t="n">
        <v>4.70579123746034</v>
      </c>
    </row>
    <row r="10274">
      <c r="A10274" t="inlineStr">
        <is>
          <t>Sub-Saharan Africa (IDA &amp; IBRD countries)</t>
        </is>
      </c>
      <c r="B10274" t="inlineStr">
        <is>
          <t>TSS</t>
        </is>
      </c>
      <c r="C10274" t="n">
        <v>2003</v>
      </c>
      <c r="D10274" t="n">
        <v>5.67942414068799</v>
      </c>
    </row>
    <row r="10275">
      <c r="A10275" t="inlineStr">
        <is>
          <t>Sub-Saharan Africa (IDA &amp; IBRD countries)</t>
        </is>
      </c>
      <c r="B10275" t="inlineStr">
        <is>
          <t>TSS</t>
        </is>
      </c>
      <c r="C10275" t="n">
        <v>2004</v>
      </c>
      <c r="D10275" t="n">
        <v>4.13663213144748</v>
      </c>
    </row>
    <row r="10276">
      <c r="A10276" t="inlineStr">
        <is>
          <t>Sub-Saharan Africa (IDA &amp; IBRD countries)</t>
        </is>
      </c>
      <c r="B10276" t="inlineStr">
        <is>
          <t>TSS</t>
        </is>
      </c>
      <c r="C10276" t="n">
        <v>2005</v>
      </c>
      <c r="D10276" t="n">
        <v>6.42755278070087</v>
      </c>
    </row>
    <row r="10277">
      <c r="A10277" t="inlineStr">
        <is>
          <t>Sub-Saharan Africa (IDA &amp; IBRD countries)</t>
        </is>
      </c>
      <c r="B10277" t="inlineStr">
        <is>
          <t>TSS</t>
        </is>
      </c>
      <c r="C10277" t="n">
        <v>2006</v>
      </c>
      <c r="D10277" t="n">
        <v>6.53784395299604</v>
      </c>
    </row>
    <row r="10278">
      <c r="A10278" t="inlineStr">
        <is>
          <t>Sub-Saharan Africa (IDA &amp; IBRD countries)</t>
        </is>
      </c>
      <c r="B10278" t="inlineStr">
        <is>
          <t>TSS</t>
        </is>
      </c>
      <c r="C10278" t="n">
        <v>2007</v>
      </c>
      <c r="D10278" t="n">
        <v>6.78669789038244</v>
      </c>
    </row>
    <row r="10279">
      <c r="A10279" t="inlineStr">
        <is>
          <t>Sub-Saharan Africa (IDA &amp; IBRD countries)</t>
        </is>
      </c>
      <c r="B10279" t="inlineStr">
        <is>
          <t>TSS</t>
        </is>
      </c>
      <c r="C10279" t="n">
        <v>2008</v>
      </c>
      <c r="D10279" t="n">
        <v>10.378524478798</v>
      </c>
    </row>
    <row r="10280">
      <c r="A10280" t="inlineStr">
        <is>
          <t>Sub-Saharan Africa (IDA &amp; IBRD countries)</t>
        </is>
      </c>
      <c r="B10280" t="inlineStr">
        <is>
          <t>TSS</t>
        </is>
      </c>
      <c r="C10280" t="n">
        <v>2009</v>
      </c>
      <c r="D10280" t="n">
        <v>5.00627361534043</v>
      </c>
    </row>
    <row r="10281">
      <c r="A10281" t="inlineStr">
        <is>
          <t>Sub-Saharan Africa (IDA &amp; IBRD countries)</t>
        </is>
      </c>
      <c r="B10281" t="inlineStr">
        <is>
          <t>TSS</t>
        </is>
      </c>
      <c r="C10281" t="n">
        <v>2010</v>
      </c>
      <c r="D10281" t="n">
        <v>4.02202422214216</v>
      </c>
    </row>
    <row r="10282">
      <c r="A10282" t="inlineStr">
        <is>
          <t>Sub-Saharan Africa (IDA &amp; IBRD countries)</t>
        </is>
      </c>
      <c r="B10282" t="inlineStr">
        <is>
          <t>TSS</t>
        </is>
      </c>
      <c r="C10282" t="n">
        <v>2011</v>
      </c>
      <c r="D10282" t="n">
        <v>5.36621092948079</v>
      </c>
    </row>
    <row r="10283">
      <c r="A10283" t="inlineStr">
        <is>
          <t>Sub-Saharan Africa (IDA &amp; IBRD countries)</t>
        </is>
      </c>
      <c r="B10283" t="inlineStr">
        <is>
          <t>TSS</t>
        </is>
      </c>
      <c r="C10283" t="n">
        <v>2012</v>
      </c>
      <c r="D10283" t="n">
        <v>6.58183105075141</v>
      </c>
    </row>
    <row r="10284">
      <c r="A10284" t="inlineStr">
        <is>
          <t>Sub-Saharan Africa (IDA &amp; IBRD countries)</t>
        </is>
      </c>
      <c r="B10284" t="inlineStr">
        <is>
          <t>TSS</t>
        </is>
      </c>
      <c r="C10284" t="n">
        <v>2013</v>
      </c>
      <c r="D10284" t="n">
        <v>4.88516387595471</v>
      </c>
    </row>
    <row r="10285">
      <c r="A10285" t="inlineStr">
        <is>
          <t>Sub-Saharan Africa (IDA &amp; IBRD countries)</t>
        </is>
      </c>
      <c r="B10285" t="inlineStr">
        <is>
          <t>TSS</t>
        </is>
      </c>
      <c r="C10285" t="n">
        <v>2014</v>
      </c>
      <c r="D10285" t="n">
        <v>4.40225309243427</v>
      </c>
    </row>
    <row r="10286">
      <c r="A10286" t="inlineStr">
        <is>
          <t>Sub-Saharan Africa (IDA &amp; IBRD countries)</t>
        </is>
      </c>
      <c r="B10286" t="inlineStr">
        <is>
          <t>TSS</t>
        </is>
      </c>
      <c r="C10286" t="n">
        <v>2015</v>
      </c>
      <c r="D10286" t="n">
        <v>3.55075967356746</v>
      </c>
    </row>
    <row r="10287">
      <c r="A10287" t="inlineStr">
        <is>
          <t>Sub-Saharan Africa (IDA &amp; IBRD countries)</t>
        </is>
      </c>
      <c r="B10287" t="inlineStr">
        <is>
          <t>TSS</t>
        </is>
      </c>
      <c r="C10287" t="n">
        <v>2016</v>
      </c>
      <c r="D10287" t="n">
        <v>5.43051966119156</v>
      </c>
    </row>
    <row r="10288">
      <c r="A10288" t="inlineStr">
        <is>
          <t>Sub-Saharan Africa (IDA &amp; IBRD countries)</t>
        </is>
      </c>
      <c r="B10288" t="inlineStr">
        <is>
          <t>TSS</t>
        </is>
      </c>
      <c r="C10288" t="n">
        <v>2017</v>
      </c>
      <c r="D10288" t="n">
        <v>5.19795180719179</v>
      </c>
    </row>
    <row r="10289">
      <c r="A10289" t="inlineStr">
        <is>
          <t>Sub-Saharan Africa (IDA &amp; IBRD countries)</t>
        </is>
      </c>
      <c r="B10289" t="inlineStr">
        <is>
          <t>TSS</t>
        </is>
      </c>
      <c r="C10289" t="n">
        <v>2018</v>
      </c>
      <c r="D10289" t="n">
        <v>4.09297819300637</v>
      </c>
    </row>
    <row r="10290">
      <c r="A10290" t="inlineStr">
        <is>
          <t>Sub-Saharan Africa (IDA &amp; IBRD countries)</t>
        </is>
      </c>
      <c r="B10290" t="inlineStr">
        <is>
          <t>TSS</t>
        </is>
      </c>
      <c r="C10290" t="n">
        <v>2019</v>
      </c>
      <c r="D10290" t="n">
        <v>2.83514555687506</v>
      </c>
    </row>
    <row r="10291">
      <c r="A10291" t="inlineStr">
        <is>
          <t>Sub-Saharan Africa (IDA &amp; IBRD countries)</t>
        </is>
      </c>
      <c r="B10291" t="inlineStr">
        <is>
          <t>TSS</t>
        </is>
      </c>
      <c r="C10291" t="n">
        <v>2020</v>
      </c>
      <c r="D10291" t="n">
        <v>3.48393567493204</v>
      </c>
    </row>
    <row r="10292">
      <c r="A10292" t="inlineStr">
        <is>
          <t>Sub-Saharan Africa (IDA &amp; IBRD countries)</t>
        </is>
      </c>
      <c r="B10292" t="inlineStr">
        <is>
          <t>TSS</t>
        </is>
      </c>
      <c r="C10292" t="n">
        <v>2021</v>
      </c>
      <c r="D10292" t="n">
        <v>4.61874544887136</v>
      </c>
    </row>
    <row r="10293">
      <c r="A10293" t="inlineStr">
        <is>
          <t>Sub-Saharan Africa (IDA &amp; IBRD countries)</t>
        </is>
      </c>
      <c r="B10293" t="inlineStr">
        <is>
          <t>TSS</t>
        </is>
      </c>
      <c r="C10293" t="n">
        <v>2022</v>
      </c>
      <c r="D10293" t="n">
        <v>9.393838774565911</v>
      </c>
    </row>
    <row r="10294">
      <c r="A10294" t="inlineStr">
        <is>
          <t>Sub-Saharan Africa (IDA &amp; IBRD countries)</t>
        </is>
      </c>
      <c r="B10294" t="inlineStr">
        <is>
          <t>TSS</t>
        </is>
      </c>
      <c r="C10294" t="n">
        <v>2023</v>
      </c>
      <c r="D10294" t="n">
        <v>6.34221743124953</v>
      </c>
    </row>
    <row r="10295">
      <c r="A10295" t="inlineStr">
        <is>
          <t>Trinidad and Tobago</t>
        </is>
      </c>
      <c r="B10295" t="inlineStr">
        <is>
          <t>TTO</t>
        </is>
      </c>
      <c r="C10295" t="n">
        <v>1960</v>
      </c>
      <c r="D10295" t="n">
        <v>2.08000000007815</v>
      </c>
    </row>
    <row r="10296">
      <c r="A10296" t="inlineStr">
        <is>
          <t>Trinidad and Tobago</t>
        </is>
      </c>
      <c r="B10296" t="inlineStr">
        <is>
          <t>TTO</t>
        </is>
      </c>
      <c r="C10296" t="n">
        <v>1961</v>
      </c>
      <c r="D10296" t="n">
        <v>1.52275769788992</v>
      </c>
    </row>
    <row r="10297">
      <c r="A10297" t="inlineStr">
        <is>
          <t>Trinidad and Tobago</t>
        </is>
      </c>
      <c r="B10297" t="inlineStr">
        <is>
          <t>TTO</t>
        </is>
      </c>
      <c r="C10297" t="n">
        <v>1962</v>
      </c>
      <c r="D10297" t="n">
        <v>2.98335256339286</v>
      </c>
    </row>
    <row r="10298">
      <c r="A10298" t="inlineStr">
        <is>
          <t>Trinidad and Tobago</t>
        </is>
      </c>
      <c r="B10298" t="inlineStr">
        <is>
          <t>TTO</t>
        </is>
      </c>
      <c r="C10298" t="n">
        <v>1963</v>
      </c>
      <c r="D10298" t="n">
        <v>3.76120358491645</v>
      </c>
    </row>
    <row r="10299">
      <c r="A10299" t="inlineStr">
        <is>
          <t>Trinidad and Tobago</t>
        </is>
      </c>
      <c r="B10299" t="inlineStr">
        <is>
          <t>TTO</t>
        </is>
      </c>
      <c r="C10299" t="n">
        <v>1964</v>
      </c>
      <c r="D10299" t="n">
        <v>0.86379762440665</v>
      </c>
    </row>
    <row r="10300">
      <c r="A10300" t="inlineStr">
        <is>
          <t>Trinidad and Tobago</t>
        </is>
      </c>
      <c r="B10300" t="inlineStr">
        <is>
          <t>TTO</t>
        </is>
      </c>
      <c r="C10300" t="n">
        <v>1965</v>
      </c>
      <c r="D10300" t="n">
        <v>1.78161798448849</v>
      </c>
    </row>
    <row r="10301">
      <c r="A10301" t="inlineStr">
        <is>
          <t>Trinidad and Tobago</t>
        </is>
      </c>
      <c r="B10301" t="inlineStr">
        <is>
          <t>TTO</t>
        </is>
      </c>
      <c r="C10301" t="n">
        <v>1966</v>
      </c>
      <c r="D10301" t="n">
        <v>4.0943580499049</v>
      </c>
    </row>
    <row r="10302">
      <c r="A10302" t="inlineStr">
        <is>
          <t>Trinidad and Tobago</t>
        </is>
      </c>
      <c r="B10302" t="inlineStr">
        <is>
          <t>TTO</t>
        </is>
      </c>
      <c r="C10302" t="n">
        <v>1967</v>
      </c>
      <c r="D10302" t="n">
        <v>2.13625866015493</v>
      </c>
    </row>
    <row r="10303">
      <c r="A10303" t="inlineStr">
        <is>
          <t>Trinidad and Tobago</t>
        </is>
      </c>
      <c r="B10303" t="inlineStr">
        <is>
          <t>TTO</t>
        </is>
      </c>
      <c r="C10303" t="n">
        <v>1968</v>
      </c>
      <c r="D10303" t="n">
        <v>8.232052006912831</v>
      </c>
    </row>
    <row r="10304">
      <c r="A10304" t="inlineStr">
        <is>
          <t>Trinidad and Tobago</t>
        </is>
      </c>
      <c r="B10304" t="inlineStr">
        <is>
          <t>TTO</t>
        </is>
      </c>
      <c r="C10304" t="n">
        <v>1969</v>
      </c>
      <c r="D10304" t="n">
        <v>2.43520271601535</v>
      </c>
    </row>
    <row r="10305">
      <c r="A10305" t="inlineStr">
        <is>
          <t>Trinidad and Tobago</t>
        </is>
      </c>
      <c r="B10305" t="inlineStr">
        <is>
          <t>TTO</t>
        </is>
      </c>
      <c r="C10305" t="n">
        <v>1970</v>
      </c>
      <c r="D10305" t="n">
        <v>2.52390057362692</v>
      </c>
    </row>
    <row r="10306">
      <c r="A10306" t="inlineStr">
        <is>
          <t>Trinidad and Tobago</t>
        </is>
      </c>
      <c r="B10306" t="inlineStr">
        <is>
          <t>TTO</t>
        </is>
      </c>
      <c r="C10306" t="n">
        <v>1971</v>
      </c>
      <c r="D10306" t="n">
        <v>3.53102076328998</v>
      </c>
    </row>
    <row r="10307">
      <c r="A10307" t="inlineStr">
        <is>
          <t>Trinidad and Tobago</t>
        </is>
      </c>
      <c r="B10307" t="inlineStr">
        <is>
          <t>TTO</t>
        </is>
      </c>
      <c r="C10307" t="n">
        <v>1972</v>
      </c>
      <c r="D10307" t="n">
        <v>9.30106881253335</v>
      </c>
    </row>
    <row r="10308">
      <c r="A10308" t="inlineStr">
        <is>
          <t>Trinidad and Tobago</t>
        </is>
      </c>
      <c r="B10308" t="inlineStr">
        <is>
          <t>TTO</t>
        </is>
      </c>
      <c r="C10308" t="n">
        <v>1973</v>
      </c>
      <c r="D10308" t="n">
        <v>14.810745481571</v>
      </c>
    </row>
    <row r="10309">
      <c r="A10309" t="inlineStr">
        <is>
          <t>Trinidad and Tobago</t>
        </is>
      </c>
      <c r="B10309" t="inlineStr">
        <is>
          <t>TTO</t>
        </is>
      </c>
      <c r="C10309" t="n">
        <v>1974</v>
      </c>
      <c r="D10309" t="n">
        <v>22.0249772717617</v>
      </c>
    </row>
    <row r="10310">
      <c r="A10310" t="inlineStr">
        <is>
          <t>Trinidad and Tobago</t>
        </is>
      </c>
      <c r="B10310" t="inlineStr">
        <is>
          <t>TTO</t>
        </is>
      </c>
      <c r="C10310" t="n">
        <v>1975</v>
      </c>
      <c r="D10310" t="n">
        <v>16.9790604656895</v>
      </c>
    </row>
    <row r="10311">
      <c r="A10311" t="inlineStr">
        <is>
          <t>Trinidad and Tobago</t>
        </is>
      </c>
      <c r="B10311" t="inlineStr">
        <is>
          <t>TTO</t>
        </is>
      </c>
      <c r="C10311" t="n">
        <v>1976</v>
      </c>
      <c r="D10311" t="n">
        <v>10.6924643577729</v>
      </c>
    </row>
    <row r="10312">
      <c r="A10312" t="inlineStr">
        <is>
          <t>Trinidad and Tobago</t>
        </is>
      </c>
      <c r="B10312" t="inlineStr">
        <is>
          <t>TTO</t>
        </is>
      </c>
      <c r="C10312" t="n">
        <v>1977</v>
      </c>
      <c r="D10312" t="n">
        <v>11.7448635390942</v>
      </c>
    </row>
    <row r="10313">
      <c r="A10313" t="inlineStr">
        <is>
          <t>Trinidad and Tobago</t>
        </is>
      </c>
      <c r="B10313" t="inlineStr">
        <is>
          <t>TTO</t>
        </is>
      </c>
      <c r="C10313" t="n">
        <v>1978</v>
      </c>
      <c r="D10313" t="n">
        <v>10.256586168874</v>
      </c>
    </row>
    <row r="10314">
      <c r="A10314" t="inlineStr">
        <is>
          <t>Trinidad and Tobago</t>
        </is>
      </c>
      <c r="B10314" t="inlineStr">
        <is>
          <t>TTO</t>
        </is>
      </c>
      <c r="C10314" t="n">
        <v>1979</v>
      </c>
      <c r="D10314" t="n">
        <v>14.7221703689992</v>
      </c>
    </row>
    <row r="10315">
      <c r="A10315" t="inlineStr">
        <is>
          <t>Trinidad and Tobago</t>
        </is>
      </c>
      <c r="B10315" t="inlineStr">
        <is>
          <t>TTO</t>
        </is>
      </c>
      <c r="C10315" t="n">
        <v>1980</v>
      </c>
      <c r="D10315" t="n">
        <v>17.4703042795772</v>
      </c>
    </row>
    <row r="10316">
      <c r="A10316" t="inlineStr">
        <is>
          <t>Trinidad and Tobago</t>
        </is>
      </c>
      <c r="B10316" t="inlineStr">
        <is>
          <t>TTO</t>
        </is>
      </c>
      <c r="C10316" t="n">
        <v>1981</v>
      </c>
      <c r="D10316" t="n">
        <v>14.3318866009395</v>
      </c>
    </row>
    <row r="10317">
      <c r="A10317" t="inlineStr">
        <is>
          <t>Trinidad and Tobago</t>
        </is>
      </c>
      <c r="B10317" t="inlineStr">
        <is>
          <t>TTO</t>
        </is>
      </c>
      <c r="C10317" t="n">
        <v>1982</v>
      </c>
      <c r="D10317" t="n">
        <v>11.6347629431673</v>
      </c>
    </row>
    <row r="10318">
      <c r="A10318" t="inlineStr">
        <is>
          <t>Trinidad and Tobago</t>
        </is>
      </c>
      <c r="B10318" t="inlineStr">
        <is>
          <t>TTO</t>
        </is>
      </c>
      <c r="C10318" t="n">
        <v>1983</v>
      </c>
      <c r="D10318" t="n">
        <v>15.1749999993332</v>
      </c>
    </row>
    <row r="10319">
      <c r="A10319" t="inlineStr">
        <is>
          <t>Trinidad and Tobago</t>
        </is>
      </c>
      <c r="B10319" t="inlineStr">
        <is>
          <t>TTO</t>
        </is>
      </c>
      <c r="C10319" t="n">
        <v>1984</v>
      </c>
      <c r="D10319" t="n">
        <v>13.3347804066324</v>
      </c>
    </row>
    <row r="10320">
      <c r="A10320" t="inlineStr">
        <is>
          <t>Trinidad and Tobago</t>
        </is>
      </c>
      <c r="B10320" t="inlineStr">
        <is>
          <t>TTO</t>
        </is>
      </c>
      <c r="C10320" t="n">
        <v>1985</v>
      </c>
      <c r="D10320" t="n">
        <v>7.62257405520196</v>
      </c>
    </row>
    <row r="10321">
      <c r="A10321" t="inlineStr">
        <is>
          <t>Trinidad and Tobago</t>
        </is>
      </c>
      <c r="B10321" t="inlineStr">
        <is>
          <t>TTO</t>
        </is>
      </c>
      <c r="C10321" t="n">
        <v>1986</v>
      </c>
      <c r="D10321" t="n">
        <v>7.69367659323135</v>
      </c>
    </row>
    <row r="10322">
      <c r="A10322" t="inlineStr">
        <is>
          <t>Trinidad and Tobago</t>
        </is>
      </c>
      <c r="B10322" t="inlineStr">
        <is>
          <t>TTO</t>
        </is>
      </c>
      <c r="C10322" t="n">
        <v>1987</v>
      </c>
      <c r="D10322" t="n">
        <v>10.7518589920742</v>
      </c>
    </row>
    <row r="10323">
      <c r="A10323" t="inlineStr">
        <is>
          <t>Trinidad and Tobago</t>
        </is>
      </c>
      <c r="B10323" t="inlineStr">
        <is>
          <t>TTO</t>
        </is>
      </c>
      <c r="C10323" t="n">
        <v>1988</v>
      </c>
      <c r="D10323" t="n">
        <v>7.75849206743917</v>
      </c>
    </row>
    <row r="10324">
      <c r="A10324" t="inlineStr">
        <is>
          <t>Trinidad and Tobago</t>
        </is>
      </c>
      <c r="B10324" t="inlineStr">
        <is>
          <t>TTO</t>
        </is>
      </c>
      <c r="C10324" t="n">
        <v>1989</v>
      </c>
      <c r="D10324" t="n">
        <v>11.4321318133567</v>
      </c>
    </row>
    <row r="10325">
      <c r="A10325" t="inlineStr">
        <is>
          <t>Trinidad and Tobago</t>
        </is>
      </c>
      <c r="B10325" t="inlineStr">
        <is>
          <t>TTO</t>
        </is>
      </c>
      <c r="C10325" t="n">
        <v>1990</v>
      </c>
      <c r="D10325" t="n">
        <v>11.0644257703083</v>
      </c>
    </row>
    <row r="10326">
      <c r="A10326" t="inlineStr">
        <is>
          <t>Trinidad and Tobago</t>
        </is>
      </c>
      <c r="B10326" t="inlineStr">
        <is>
          <t>TTO</t>
        </is>
      </c>
      <c r="C10326" t="n">
        <v>1991</v>
      </c>
      <c r="D10326" t="n">
        <v>3.78310214375795</v>
      </c>
    </row>
    <row r="10327">
      <c r="A10327" t="inlineStr">
        <is>
          <t>Trinidad and Tobago</t>
        </is>
      </c>
      <c r="B10327" t="inlineStr">
        <is>
          <t>TTO</t>
        </is>
      </c>
      <c r="C10327" t="n">
        <v>1992</v>
      </c>
      <c r="D10327" t="n">
        <v>6.43985419198061</v>
      </c>
    </row>
    <row r="10328">
      <c r="A10328" t="inlineStr">
        <is>
          <t>Trinidad and Tobago</t>
        </is>
      </c>
      <c r="B10328" t="inlineStr">
        <is>
          <t>TTO</t>
        </is>
      </c>
      <c r="C10328" t="n">
        <v>1993</v>
      </c>
      <c r="D10328" t="n">
        <v>10.835235920852</v>
      </c>
    </row>
    <row r="10329">
      <c r="A10329" t="inlineStr">
        <is>
          <t>Trinidad and Tobago</t>
        </is>
      </c>
      <c r="B10329" t="inlineStr">
        <is>
          <t>TTO</t>
        </is>
      </c>
      <c r="C10329" t="n">
        <v>1994</v>
      </c>
      <c r="D10329" t="n">
        <v>8.81469401768106</v>
      </c>
    </row>
    <row r="10330">
      <c r="A10330" t="inlineStr">
        <is>
          <t>Trinidad and Tobago</t>
        </is>
      </c>
      <c r="B10330" t="inlineStr">
        <is>
          <t>TTO</t>
        </is>
      </c>
      <c r="C10330" t="n">
        <v>1995</v>
      </c>
      <c r="D10330" t="n">
        <v>5.18220539517274</v>
      </c>
    </row>
    <row r="10331">
      <c r="A10331" t="inlineStr">
        <is>
          <t>Trinidad and Tobago</t>
        </is>
      </c>
      <c r="B10331" t="inlineStr">
        <is>
          <t>TTO</t>
        </is>
      </c>
      <c r="C10331" t="n">
        <v>1996</v>
      </c>
      <c r="D10331" t="n">
        <v>3.40457442819624</v>
      </c>
    </row>
    <row r="10332">
      <c r="A10332" t="inlineStr">
        <is>
          <t>Trinidad and Tobago</t>
        </is>
      </c>
      <c r="B10332" t="inlineStr">
        <is>
          <t>TTO</t>
        </is>
      </c>
      <c r="C10332" t="n">
        <v>1997</v>
      </c>
      <c r="D10332" t="n">
        <v>3.62607875843081</v>
      </c>
    </row>
    <row r="10333">
      <c r="A10333" t="inlineStr">
        <is>
          <t>Trinidad and Tobago</t>
        </is>
      </c>
      <c r="B10333" t="inlineStr">
        <is>
          <t>TTO</t>
        </is>
      </c>
      <c r="C10333" t="n">
        <v>1998</v>
      </c>
      <c r="D10333" t="n">
        <v>5.61270907691201</v>
      </c>
    </row>
    <row r="10334">
      <c r="A10334" t="inlineStr">
        <is>
          <t>Trinidad and Tobago</t>
        </is>
      </c>
      <c r="B10334" t="inlineStr">
        <is>
          <t>TTO</t>
        </is>
      </c>
      <c r="C10334" t="n">
        <v>1999</v>
      </c>
      <c r="D10334" t="n">
        <v>3.43913590881996</v>
      </c>
    </row>
    <row r="10335">
      <c r="A10335" t="inlineStr">
        <is>
          <t>Trinidad and Tobago</t>
        </is>
      </c>
      <c r="B10335" t="inlineStr">
        <is>
          <t>TTO</t>
        </is>
      </c>
      <c r="C10335" t="n">
        <v>2000</v>
      </c>
      <c r="D10335" t="n">
        <v>3.55541319666877</v>
      </c>
    </row>
    <row r="10336">
      <c r="A10336" t="inlineStr">
        <is>
          <t>Trinidad and Tobago</t>
        </is>
      </c>
      <c r="B10336" t="inlineStr">
        <is>
          <t>TTO</t>
        </is>
      </c>
      <c r="C10336" t="n">
        <v>2001</v>
      </c>
      <c r="D10336" t="n">
        <v>5.536653263223</v>
      </c>
    </row>
    <row r="10337">
      <c r="A10337" t="inlineStr">
        <is>
          <t>Trinidad and Tobago</t>
        </is>
      </c>
      <c r="B10337" t="inlineStr">
        <is>
          <t>TTO</t>
        </is>
      </c>
      <c r="C10337" t="n">
        <v>2002</v>
      </c>
      <c r="D10337" t="n">
        <v>4.1500586166472</v>
      </c>
    </row>
    <row r="10338">
      <c r="A10338" t="inlineStr">
        <is>
          <t>Trinidad and Tobago</t>
        </is>
      </c>
      <c r="B10338" t="inlineStr">
        <is>
          <t>TTO</t>
        </is>
      </c>
      <c r="C10338" t="n">
        <v>2003</v>
      </c>
      <c r="D10338" t="n">
        <v>3.8111062439687</v>
      </c>
    </row>
    <row r="10339">
      <c r="A10339" t="inlineStr">
        <is>
          <t>Trinidad and Tobago</t>
        </is>
      </c>
      <c r="B10339" t="inlineStr">
        <is>
          <t>TTO</t>
        </is>
      </c>
      <c r="C10339" t="n">
        <v>2004</v>
      </c>
      <c r="D10339" t="n">
        <v>3.72154938995965</v>
      </c>
    </row>
    <row r="10340">
      <c r="A10340" t="inlineStr">
        <is>
          <t>Trinidad and Tobago</t>
        </is>
      </c>
      <c r="B10340" t="inlineStr">
        <is>
          <t>TTO</t>
        </is>
      </c>
      <c r="C10340" t="n">
        <v>2005</v>
      </c>
      <c r="D10340" t="n">
        <v>6.87453459583516</v>
      </c>
    </row>
    <row r="10341">
      <c r="A10341" t="inlineStr">
        <is>
          <t>Trinidad and Tobago</t>
        </is>
      </c>
      <c r="B10341" t="inlineStr">
        <is>
          <t>TTO</t>
        </is>
      </c>
      <c r="C10341" t="n">
        <v>2006</v>
      </c>
      <c r="D10341" t="n">
        <v>8.329603514653471</v>
      </c>
    </row>
    <row r="10342">
      <c r="A10342" t="inlineStr">
        <is>
          <t>Trinidad and Tobago</t>
        </is>
      </c>
      <c r="B10342" t="inlineStr">
        <is>
          <t>TTO</t>
        </is>
      </c>
      <c r="C10342" t="n">
        <v>2007</v>
      </c>
      <c r="D10342" t="n">
        <v>7.89438834757299</v>
      </c>
    </row>
    <row r="10343">
      <c r="A10343" t="inlineStr">
        <is>
          <t>Trinidad and Tobago</t>
        </is>
      </c>
      <c r="B10343" t="inlineStr">
        <is>
          <t>TTO</t>
        </is>
      </c>
      <c r="C10343" t="n">
        <v>2008</v>
      </c>
      <c r="D10343" t="n">
        <v>12.0303445477177</v>
      </c>
    </row>
    <row r="10344">
      <c r="A10344" t="inlineStr">
        <is>
          <t>Trinidad and Tobago</t>
        </is>
      </c>
      <c r="B10344" t="inlineStr">
        <is>
          <t>TTO</t>
        </is>
      </c>
      <c r="C10344" t="n">
        <v>2009</v>
      </c>
      <c r="D10344" t="n">
        <v>6.97808725251547</v>
      </c>
    </row>
    <row r="10345">
      <c r="A10345" t="inlineStr">
        <is>
          <t>Trinidad and Tobago</t>
        </is>
      </c>
      <c r="B10345" t="inlineStr">
        <is>
          <t>TTO</t>
        </is>
      </c>
      <c r="C10345" t="n">
        <v>2010</v>
      </c>
      <c r="D10345" t="n">
        <v>10.5492003179988</v>
      </c>
    </row>
    <row r="10346">
      <c r="A10346" t="inlineStr">
        <is>
          <t>Trinidad and Tobago</t>
        </is>
      </c>
      <c r="B10346" t="inlineStr">
        <is>
          <t>TTO</t>
        </is>
      </c>
      <c r="C10346" t="n">
        <v>2011</v>
      </c>
      <c r="D10346" t="n">
        <v>5.1071328926456</v>
      </c>
    </row>
    <row r="10347">
      <c r="A10347" t="inlineStr">
        <is>
          <t>Trinidad and Tobago</t>
        </is>
      </c>
      <c r="B10347" t="inlineStr">
        <is>
          <t>TTO</t>
        </is>
      </c>
      <c r="C10347" t="n">
        <v>2012</v>
      </c>
      <c r="D10347" t="n">
        <v>9.26028137068292</v>
      </c>
    </row>
    <row r="10348">
      <c r="A10348" t="inlineStr">
        <is>
          <t>Trinidad and Tobago</t>
        </is>
      </c>
      <c r="B10348" t="inlineStr">
        <is>
          <t>TTO</t>
        </is>
      </c>
      <c r="C10348" t="n">
        <v>2013</v>
      </c>
      <c r="D10348" t="n">
        <v>5.19981740465611</v>
      </c>
    </row>
    <row r="10349">
      <c r="A10349" t="inlineStr">
        <is>
          <t>Trinidad and Tobago</t>
        </is>
      </c>
      <c r="B10349" t="inlineStr">
        <is>
          <t>TTO</t>
        </is>
      </c>
      <c r="C10349" t="n">
        <v>2014</v>
      </c>
      <c r="D10349" t="n">
        <v>5.68441814595659</v>
      </c>
    </row>
    <row r="10350">
      <c r="A10350" t="inlineStr">
        <is>
          <t>Trinidad and Tobago</t>
        </is>
      </c>
      <c r="B10350" t="inlineStr">
        <is>
          <t>TTO</t>
        </is>
      </c>
      <c r="C10350" t="n">
        <v>2015</v>
      </c>
      <c r="D10350" t="n">
        <v>4.66121598098264</v>
      </c>
    </row>
    <row r="10351">
      <c r="A10351" t="inlineStr">
        <is>
          <t>Trinidad and Tobago</t>
        </is>
      </c>
      <c r="B10351" t="inlineStr">
        <is>
          <t>TTO</t>
        </is>
      </c>
      <c r="C10351" t="n">
        <v>2016</v>
      </c>
      <c r="D10351" t="n">
        <v>3.07066742464024</v>
      </c>
    </row>
    <row r="10352">
      <c r="A10352" t="inlineStr">
        <is>
          <t>Trinidad and Tobago</t>
        </is>
      </c>
      <c r="B10352" t="inlineStr">
        <is>
          <t>TTO</t>
        </is>
      </c>
      <c r="C10352" t="n">
        <v>2017</v>
      </c>
      <c r="D10352" t="n">
        <v>1.88038440183532</v>
      </c>
    </row>
    <row r="10353">
      <c r="A10353" t="inlineStr">
        <is>
          <t>Trinidad and Tobago</t>
        </is>
      </c>
      <c r="B10353" t="inlineStr">
        <is>
          <t>TTO</t>
        </is>
      </c>
      <c r="C10353" t="n">
        <v>2018</v>
      </c>
      <c r="D10353" t="n">
        <v>1.01856930188822</v>
      </c>
    </row>
    <row r="10354">
      <c r="A10354" t="inlineStr">
        <is>
          <t>Trinidad and Tobago</t>
        </is>
      </c>
      <c r="B10354" t="inlineStr">
        <is>
          <t>TTO</t>
        </is>
      </c>
      <c r="C10354" t="n">
        <v>2019</v>
      </c>
      <c r="D10354" t="n">
        <v>1.00054293027237</v>
      </c>
    </row>
    <row r="10355">
      <c r="A10355" t="inlineStr">
        <is>
          <t>Trinidad and Tobago</t>
        </is>
      </c>
      <c r="B10355" t="inlineStr">
        <is>
          <t>TTO</t>
        </is>
      </c>
      <c r="C10355" t="n">
        <v>2020</v>
      </c>
      <c r="D10355" t="n">
        <v>0.598986330824643</v>
      </c>
    </row>
    <row r="10356">
      <c r="A10356" t="inlineStr">
        <is>
          <t>Trinidad and Tobago</t>
        </is>
      </c>
      <c r="B10356" t="inlineStr">
        <is>
          <t>TTO</t>
        </is>
      </c>
      <c r="C10356" t="n">
        <v>2021</v>
      </c>
      <c r="D10356" t="n">
        <v>2.05922746915458</v>
      </c>
    </row>
    <row r="10357">
      <c r="A10357" t="inlineStr">
        <is>
          <t>Trinidad and Tobago</t>
        </is>
      </c>
      <c r="B10357" t="inlineStr">
        <is>
          <t>TTO</t>
        </is>
      </c>
      <c r="C10357" t="n">
        <v>2022</v>
      </c>
      <c r="D10357" t="n">
        <v>5.82838638517959</v>
      </c>
    </row>
    <row r="10358">
      <c r="A10358" t="inlineStr">
        <is>
          <t>Trinidad and Tobago</t>
        </is>
      </c>
      <c r="B10358" t="inlineStr">
        <is>
          <t>TTO</t>
        </is>
      </c>
      <c r="C10358" t="n">
        <v>2023</v>
      </c>
      <c r="D10358" t="n">
        <v>4.62930242419968</v>
      </c>
    </row>
    <row r="10359">
      <c r="A10359" t="inlineStr">
        <is>
          <t>Trinidad and Tobago</t>
        </is>
      </c>
      <c r="B10359" t="inlineStr">
        <is>
          <t>TTO</t>
        </is>
      </c>
      <c r="C10359" t="n">
        <v>2024</v>
      </c>
      <c r="D10359" t="n">
        <v>0.526884625776839</v>
      </c>
    </row>
    <row r="10360">
      <c r="A10360" t="inlineStr">
        <is>
          <t>Tunisia</t>
        </is>
      </c>
      <c r="B10360" t="inlineStr">
        <is>
          <t>TUN</t>
        </is>
      </c>
      <c r="C10360" t="n">
        <v>1984</v>
      </c>
      <c r="D10360" t="n">
        <v>8.9000000000001</v>
      </c>
    </row>
    <row r="10361">
      <c r="A10361" t="inlineStr">
        <is>
          <t>Tunisia</t>
        </is>
      </c>
      <c r="B10361" t="inlineStr">
        <is>
          <t>TUN</t>
        </is>
      </c>
      <c r="C10361" t="n">
        <v>1985</v>
      </c>
      <c r="D10361" t="n">
        <v>7.25436179981635</v>
      </c>
    </row>
    <row r="10362">
      <c r="A10362" t="inlineStr">
        <is>
          <t>Tunisia</t>
        </is>
      </c>
      <c r="B10362" t="inlineStr">
        <is>
          <t>TUN</t>
        </is>
      </c>
      <c r="C10362" t="n">
        <v>1986</v>
      </c>
      <c r="D10362" t="n">
        <v>6.16438356164371</v>
      </c>
    </row>
    <row r="10363">
      <c r="A10363" t="inlineStr">
        <is>
          <t>Tunisia</t>
        </is>
      </c>
      <c r="B10363" t="inlineStr">
        <is>
          <t>TUN</t>
        </is>
      </c>
      <c r="C10363" t="n">
        <v>1987</v>
      </c>
      <c r="D10363" t="n">
        <v>8.2258064516129</v>
      </c>
    </row>
    <row r="10364">
      <c r="A10364" t="inlineStr">
        <is>
          <t>Tunisia</t>
        </is>
      </c>
      <c r="B10364" t="inlineStr">
        <is>
          <t>TUN</t>
        </is>
      </c>
      <c r="C10364" t="n">
        <v>1988</v>
      </c>
      <c r="D10364" t="n">
        <v>7.19696969696955</v>
      </c>
    </row>
    <row r="10365">
      <c r="A10365" t="inlineStr">
        <is>
          <t>Tunisia</t>
        </is>
      </c>
      <c r="B10365" t="inlineStr">
        <is>
          <t>TUN</t>
        </is>
      </c>
      <c r="C10365" t="n">
        <v>1989</v>
      </c>
      <c r="D10365" t="n">
        <v>7.74088603961336</v>
      </c>
    </row>
    <row r="10366">
      <c r="A10366" t="inlineStr">
        <is>
          <t>Tunisia</t>
        </is>
      </c>
      <c r="B10366" t="inlineStr">
        <is>
          <t>TUN</t>
        </is>
      </c>
      <c r="C10366" t="n">
        <v>1990</v>
      </c>
      <c r="D10366" t="n">
        <v>6.54529307282414</v>
      </c>
    </row>
    <row r="10367">
      <c r="A10367" t="inlineStr">
        <is>
          <t>Tunisia</t>
        </is>
      </c>
      <c r="B10367" t="inlineStr">
        <is>
          <t>TUN</t>
        </is>
      </c>
      <c r="C10367" t="n">
        <v>1991</v>
      </c>
      <c r="D10367" t="n">
        <v>8.193715095440851</v>
      </c>
    </row>
    <row r="10368">
      <c r="A10368" t="inlineStr">
        <is>
          <t>Tunisia</t>
        </is>
      </c>
      <c r="B10368" t="inlineStr">
        <is>
          <t>TUN</t>
        </is>
      </c>
      <c r="C10368" t="n">
        <v>1992</v>
      </c>
      <c r="D10368" t="n">
        <v>5.82434514637906</v>
      </c>
    </row>
    <row r="10369">
      <c r="A10369" t="inlineStr">
        <is>
          <t>Tunisia</t>
        </is>
      </c>
      <c r="B10369" t="inlineStr">
        <is>
          <t>TUN</t>
        </is>
      </c>
      <c r="C10369" t="n">
        <v>1993</v>
      </c>
      <c r="D10369" t="n">
        <v>3.9749563191613</v>
      </c>
    </row>
    <row r="10370">
      <c r="A10370" t="inlineStr">
        <is>
          <t>Tunisia</t>
        </is>
      </c>
      <c r="B10370" t="inlineStr">
        <is>
          <t>TUN</t>
        </is>
      </c>
      <c r="C10370" t="n">
        <v>1994</v>
      </c>
      <c r="D10370" t="n">
        <v>4.73323063996595</v>
      </c>
    </row>
    <row r="10371">
      <c r="A10371" t="inlineStr">
        <is>
          <t>Tunisia</t>
        </is>
      </c>
      <c r="B10371" t="inlineStr">
        <is>
          <t>TUN</t>
        </is>
      </c>
      <c r="C10371" t="n">
        <v>1995</v>
      </c>
      <c r="D10371" t="n">
        <v>6.24415028747146</v>
      </c>
    </row>
    <row r="10372">
      <c r="A10372" t="inlineStr">
        <is>
          <t>Tunisia</t>
        </is>
      </c>
      <c r="B10372" t="inlineStr">
        <is>
          <t>TUN</t>
        </is>
      </c>
      <c r="C10372" t="n">
        <v>1996</v>
      </c>
      <c r="D10372" t="n">
        <v>3.72514472690715</v>
      </c>
    </row>
    <row r="10373">
      <c r="A10373" t="inlineStr">
        <is>
          <t>Tunisia</t>
        </is>
      </c>
      <c r="B10373" t="inlineStr">
        <is>
          <t>TUN</t>
        </is>
      </c>
      <c r="C10373" t="n">
        <v>1997</v>
      </c>
      <c r="D10373" t="n">
        <v>3.65202620723071</v>
      </c>
    </row>
    <row r="10374">
      <c r="A10374" t="inlineStr">
        <is>
          <t>Tunisia</t>
        </is>
      </c>
      <c r="B10374" t="inlineStr">
        <is>
          <t>TUN</t>
        </is>
      </c>
      <c r="C10374" t="n">
        <v>1998</v>
      </c>
      <c r="D10374" t="n">
        <v>3.12536579655862</v>
      </c>
    </row>
    <row r="10375">
      <c r="A10375" t="inlineStr">
        <is>
          <t>Tunisia</t>
        </is>
      </c>
      <c r="B10375" t="inlineStr">
        <is>
          <t>TUN</t>
        </is>
      </c>
      <c r="C10375" t="n">
        <v>1999</v>
      </c>
      <c r="D10375" t="n">
        <v>2.6901248581158</v>
      </c>
    </row>
    <row r="10376">
      <c r="A10376" t="inlineStr">
        <is>
          <t>Tunisia</t>
        </is>
      </c>
      <c r="B10376" t="inlineStr">
        <is>
          <t>TUN</t>
        </is>
      </c>
      <c r="C10376" t="n">
        <v>2000</v>
      </c>
      <c r="D10376" t="n">
        <v>2.96230794738605</v>
      </c>
    </row>
    <row r="10377">
      <c r="A10377" t="inlineStr">
        <is>
          <t>Tunisia</t>
        </is>
      </c>
      <c r="B10377" t="inlineStr">
        <is>
          <t>TUN</t>
        </is>
      </c>
      <c r="C10377" t="n">
        <v>2001</v>
      </c>
      <c r="D10377" t="n">
        <v>1.98333333333337</v>
      </c>
    </row>
    <row r="10378">
      <c r="A10378" t="inlineStr">
        <is>
          <t>Tunisia</t>
        </is>
      </c>
      <c r="B10378" t="inlineStr">
        <is>
          <t>TUN</t>
        </is>
      </c>
      <c r="C10378" t="n">
        <v>2002</v>
      </c>
      <c r="D10378" t="n">
        <v>2.72103284850455</v>
      </c>
    </row>
    <row r="10379">
      <c r="A10379" t="inlineStr">
        <is>
          <t>Tunisia</t>
        </is>
      </c>
      <c r="B10379" t="inlineStr">
        <is>
          <t>TUN</t>
        </is>
      </c>
      <c r="C10379" t="n">
        <v>2003</v>
      </c>
      <c r="D10379" t="n">
        <v>2.71259247474352</v>
      </c>
    </row>
    <row r="10380">
      <c r="A10380" t="inlineStr">
        <is>
          <t>Tunisia</t>
        </is>
      </c>
      <c r="B10380" t="inlineStr">
        <is>
          <t>TUN</t>
        </is>
      </c>
      <c r="C10380" t="n">
        <v>2004</v>
      </c>
      <c r="D10380" t="n">
        <v>3.63228004956625</v>
      </c>
    </row>
    <row r="10381">
      <c r="A10381" t="inlineStr">
        <is>
          <t>Tunisia</t>
        </is>
      </c>
      <c r="B10381" t="inlineStr">
        <is>
          <t>TUN</t>
        </is>
      </c>
      <c r="C10381" t="n">
        <v>2005</v>
      </c>
      <c r="D10381" t="n">
        <v>2.01778641357144</v>
      </c>
    </row>
    <row r="10382">
      <c r="A10382" t="inlineStr">
        <is>
          <t>Tunisia</t>
        </is>
      </c>
      <c r="B10382" t="inlineStr">
        <is>
          <t>TUN</t>
        </is>
      </c>
      <c r="C10382" t="n">
        <v>2006</v>
      </c>
      <c r="D10382" t="n">
        <v>3.22525337438917</v>
      </c>
    </row>
    <row r="10383">
      <c r="A10383" t="inlineStr">
        <is>
          <t>Tunisia</t>
        </is>
      </c>
      <c r="B10383" t="inlineStr">
        <is>
          <t>TUN</t>
        </is>
      </c>
      <c r="C10383" t="n">
        <v>2007</v>
      </c>
      <c r="D10383" t="n">
        <v>2.96694432477349</v>
      </c>
    </row>
    <row r="10384">
      <c r="A10384" t="inlineStr">
        <is>
          <t>Tunisia</t>
        </is>
      </c>
      <c r="B10384" t="inlineStr">
        <is>
          <t>TUN</t>
        </is>
      </c>
      <c r="C10384" t="n">
        <v>2008</v>
      </c>
      <c r="D10384" t="n">
        <v>4.34502807623045</v>
      </c>
    </row>
    <row r="10385">
      <c r="A10385" t="inlineStr">
        <is>
          <t>Tunisia</t>
        </is>
      </c>
      <c r="B10385" t="inlineStr">
        <is>
          <t>TUN</t>
        </is>
      </c>
      <c r="C10385" t="n">
        <v>2009</v>
      </c>
      <c r="D10385" t="n">
        <v>3.66490330642919</v>
      </c>
    </row>
    <row r="10386">
      <c r="A10386" t="inlineStr">
        <is>
          <t>Tunisia</t>
        </is>
      </c>
      <c r="B10386" t="inlineStr">
        <is>
          <t>TUN</t>
        </is>
      </c>
      <c r="C10386" t="n">
        <v>2010</v>
      </c>
      <c r="D10386" t="n">
        <v>3.33897963601069</v>
      </c>
    </row>
    <row r="10387">
      <c r="A10387" t="inlineStr">
        <is>
          <t>Tunisia</t>
        </is>
      </c>
      <c r="B10387" t="inlineStr">
        <is>
          <t>TUN</t>
        </is>
      </c>
      <c r="C10387" t="n">
        <v>2011</v>
      </c>
      <c r="D10387" t="n">
        <v>3.24002842009531</v>
      </c>
    </row>
    <row r="10388">
      <c r="A10388" t="inlineStr">
        <is>
          <t>Tunisia</t>
        </is>
      </c>
      <c r="B10388" t="inlineStr">
        <is>
          <t>TUN</t>
        </is>
      </c>
      <c r="C10388" t="n">
        <v>2012</v>
      </c>
      <c r="D10388" t="n">
        <v>4.6118443220664</v>
      </c>
    </row>
    <row r="10389">
      <c r="A10389" t="inlineStr">
        <is>
          <t>Tunisia</t>
        </is>
      </c>
      <c r="B10389" t="inlineStr">
        <is>
          <t>TUN</t>
        </is>
      </c>
      <c r="C10389" t="n">
        <v>2013</v>
      </c>
      <c r="D10389" t="n">
        <v>5.31623531326689</v>
      </c>
    </row>
    <row r="10390">
      <c r="A10390" t="inlineStr">
        <is>
          <t>Tunisia</t>
        </is>
      </c>
      <c r="B10390" t="inlineStr">
        <is>
          <t>TUN</t>
        </is>
      </c>
      <c r="C10390" t="n">
        <v>2014</v>
      </c>
      <c r="D10390" t="n">
        <v>4.62555099534031</v>
      </c>
    </row>
    <row r="10391">
      <c r="A10391" t="inlineStr">
        <is>
          <t>Tunisia</t>
        </is>
      </c>
      <c r="B10391" t="inlineStr">
        <is>
          <t>TUN</t>
        </is>
      </c>
      <c r="C10391" t="n">
        <v>2015</v>
      </c>
      <c r="D10391" t="n">
        <v>4.437371273215</v>
      </c>
    </row>
    <row r="10392">
      <c r="A10392" t="inlineStr">
        <is>
          <t>Tunisia</t>
        </is>
      </c>
      <c r="B10392" t="inlineStr">
        <is>
          <t>TUN</t>
        </is>
      </c>
      <c r="C10392" t="n">
        <v>2016</v>
      </c>
      <c r="D10392" t="n">
        <v>3.62939937384381</v>
      </c>
    </row>
    <row r="10393">
      <c r="A10393" t="inlineStr">
        <is>
          <t>Tunisia</t>
        </is>
      </c>
      <c r="B10393" t="inlineStr">
        <is>
          <t>TUN</t>
        </is>
      </c>
      <c r="C10393" t="n">
        <v>2017</v>
      </c>
      <c r="D10393" t="n">
        <v>5.30884839565844</v>
      </c>
    </row>
    <row r="10394">
      <c r="A10394" t="inlineStr">
        <is>
          <t>Tunisia</t>
        </is>
      </c>
      <c r="B10394" t="inlineStr">
        <is>
          <t>TUN</t>
        </is>
      </c>
      <c r="C10394" t="n">
        <v>2018</v>
      </c>
      <c r="D10394" t="n">
        <v>7.30759176031652</v>
      </c>
    </row>
    <row r="10395">
      <c r="A10395" t="inlineStr">
        <is>
          <t>Tunisia</t>
        </is>
      </c>
      <c r="B10395" t="inlineStr">
        <is>
          <t>TUN</t>
        </is>
      </c>
      <c r="C10395" t="n">
        <v>2019</v>
      </c>
      <c r="D10395" t="n">
        <v>6.72007532863799</v>
      </c>
    </row>
    <row r="10396">
      <c r="A10396" t="inlineStr">
        <is>
          <t>Tunisia</t>
        </is>
      </c>
      <c r="B10396" t="inlineStr">
        <is>
          <t>TUN</t>
        </is>
      </c>
      <c r="C10396" t="n">
        <v>2020</v>
      </c>
      <c r="D10396" t="n">
        <v>5.63415115897625</v>
      </c>
    </row>
    <row r="10397">
      <c r="A10397" t="inlineStr">
        <is>
          <t>Tunisia</t>
        </is>
      </c>
      <c r="B10397" t="inlineStr">
        <is>
          <t>TUN</t>
        </is>
      </c>
      <c r="C10397" t="n">
        <v>2021</v>
      </c>
      <c r="D10397" t="n">
        <v>5.706350208307</v>
      </c>
    </row>
    <row r="10398">
      <c r="A10398" t="inlineStr">
        <is>
          <t>Tunisia</t>
        </is>
      </c>
      <c r="B10398" t="inlineStr">
        <is>
          <t>TUN</t>
        </is>
      </c>
      <c r="C10398" t="n">
        <v>2022</v>
      </c>
      <c r="D10398" t="n">
        <v>8.30646124447623</v>
      </c>
    </row>
    <row r="10399">
      <c r="A10399" t="inlineStr">
        <is>
          <t>Tunisia</t>
        </is>
      </c>
      <c r="B10399" t="inlineStr">
        <is>
          <t>TUN</t>
        </is>
      </c>
      <c r="C10399" t="n">
        <v>2023</v>
      </c>
      <c r="D10399" t="n">
        <v>9.32899597507865</v>
      </c>
    </row>
    <row r="10400">
      <c r="A10400" t="inlineStr">
        <is>
          <t>Tunisia</t>
        </is>
      </c>
      <c r="B10400" t="inlineStr">
        <is>
          <t>TUN</t>
        </is>
      </c>
      <c r="C10400" t="n">
        <v>2024</v>
      </c>
      <c r="D10400" t="n">
        <v>7.20661657168794</v>
      </c>
    </row>
    <row r="10401">
      <c r="A10401" t="inlineStr">
        <is>
          <t>Turkiye</t>
        </is>
      </c>
      <c r="B10401" t="inlineStr">
        <is>
          <t>TUR</t>
        </is>
      </c>
      <c r="C10401" t="n">
        <v>1960</v>
      </c>
      <c r="D10401" t="n">
        <v>5.66473988439306</v>
      </c>
    </row>
    <row r="10402">
      <c r="A10402" t="inlineStr">
        <is>
          <t>Turkiye</t>
        </is>
      </c>
      <c r="B10402" t="inlineStr">
        <is>
          <t>TUR</t>
        </is>
      </c>
      <c r="C10402" t="n">
        <v>1961</v>
      </c>
      <c r="D10402" t="n">
        <v>3.17285699708263</v>
      </c>
    </row>
    <row r="10403">
      <c r="A10403" t="inlineStr">
        <is>
          <t>Turkiye</t>
        </is>
      </c>
      <c r="B10403" t="inlineStr">
        <is>
          <t>TUR</t>
        </is>
      </c>
      <c r="C10403" t="n">
        <v>1962</v>
      </c>
      <c r="D10403" t="n">
        <v>3.88832025146507</v>
      </c>
    </row>
    <row r="10404">
      <c r="A10404" t="inlineStr">
        <is>
          <t>Turkiye</t>
        </is>
      </c>
      <c r="B10404" t="inlineStr">
        <is>
          <t>TUR</t>
        </is>
      </c>
      <c r="C10404" t="n">
        <v>1963</v>
      </c>
      <c r="D10404" t="n">
        <v>6.36270692832308</v>
      </c>
    </row>
    <row r="10405">
      <c r="A10405" t="inlineStr">
        <is>
          <t>Turkiye</t>
        </is>
      </c>
      <c r="B10405" t="inlineStr">
        <is>
          <t>TUR</t>
        </is>
      </c>
      <c r="C10405" t="n">
        <v>1964</v>
      </c>
      <c r="D10405" t="n">
        <v>1.11963781543123</v>
      </c>
    </row>
    <row r="10406">
      <c r="A10406" t="inlineStr">
        <is>
          <t>Turkiye</t>
        </is>
      </c>
      <c r="B10406" t="inlineStr">
        <is>
          <t>TUR</t>
        </is>
      </c>
      <c r="C10406" t="n">
        <v>1965</v>
      </c>
      <c r="D10406" t="n">
        <v>4.55553368394821</v>
      </c>
    </row>
    <row r="10407">
      <c r="A10407" t="inlineStr">
        <is>
          <t>Turkiye</t>
        </is>
      </c>
      <c r="B10407" t="inlineStr">
        <is>
          <t>TUR</t>
        </is>
      </c>
      <c r="C10407" t="n">
        <v>1966</v>
      </c>
      <c r="D10407" t="n">
        <v>8.47199621539219</v>
      </c>
    </row>
    <row r="10408">
      <c r="A10408" t="inlineStr">
        <is>
          <t>Turkiye</t>
        </is>
      </c>
      <c r="B10408" t="inlineStr">
        <is>
          <t>TUR</t>
        </is>
      </c>
      <c r="C10408" t="n">
        <v>1967</v>
      </c>
      <c r="D10408" t="n">
        <v>13.9748929481675</v>
      </c>
    </row>
    <row r="10409">
      <c r="A10409" t="inlineStr">
        <is>
          <t>Turkiye</t>
        </is>
      </c>
      <c r="B10409" t="inlineStr">
        <is>
          <t>TUR</t>
        </is>
      </c>
      <c r="C10409" t="n">
        <v>1968</v>
      </c>
      <c r="D10409" t="n">
        <v>6.04623966197402</v>
      </c>
    </row>
    <row r="10410">
      <c r="A10410" t="inlineStr">
        <is>
          <t>Turkiye</t>
        </is>
      </c>
      <c r="B10410" t="inlineStr">
        <is>
          <t>TUR</t>
        </is>
      </c>
      <c r="C10410" t="n">
        <v>1969</v>
      </c>
      <c r="D10410" t="n">
        <v>4.92419394498303</v>
      </c>
    </row>
    <row r="10411">
      <c r="A10411" t="inlineStr">
        <is>
          <t>Turkiye</t>
        </is>
      </c>
      <c r="B10411" t="inlineStr">
        <is>
          <t>TUR</t>
        </is>
      </c>
      <c r="C10411" t="n">
        <v>1970</v>
      </c>
      <c r="D10411" t="n">
        <v>7.92395208301997</v>
      </c>
    </row>
    <row r="10412">
      <c r="A10412" t="inlineStr">
        <is>
          <t>Turkiye</t>
        </is>
      </c>
      <c r="B10412" t="inlineStr">
        <is>
          <t>TUR</t>
        </is>
      </c>
      <c r="C10412" t="n">
        <v>1971</v>
      </c>
      <c r="D10412" t="n">
        <v>19.0114086837676</v>
      </c>
    </row>
    <row r="10413">
      <c r="A10413" t="inlineStr">
        <is>
          <t>Turkiye</t>
        </is>
      </c>
      <c r="B10413" t="inlineStr">
        <is>
          <t>TUR</t>
        </is>
      </c>
      <c r="C10413" t="n">
        <v>1972</v>
      </c>
      <c r="D10413" t="n">
        <v>15.4164557223962</v>
      </c>
    </row>
    <row r="10414">
      <c r="A10414" t="inlineStr">
        <is>
          <t>Turkiye</t>
        </is>
      </c>
      <c r="B10414" t="inlineStr">
        <is>
          <t>TUR</t>
        </is>
      </c>
      <c r="C10414" t="n">
        <v>1973</v>
      </c>
      <c r="D10414" t="n">
        <v>13.9381652448957</v>
      </c>
    </row>
    <row r="10415">
      <c r="A10415" t="inlineStr">
        <is>
          <t>Turkiye</t>
        </is>
      </c>
      <c r="B10415" t="inlineStr">
        <is>
          <t>TUR</t>
        </is>
      </c>
      <c r="C10415" t="n">
        <v>1974</v>
      </c>
      <c r="D10415" t="n">
        <v>23.8981615766704</v>
      </c>
    </row>
    <row r="10416">
      <c r="A10416" t="inlineStr">
        <is>
          <t>Turkiye</t>
        </is>
      </c>
      <c r="B10416" t="inlineStr">
        <is>
          <t>TUR</t>
        </is>
      </c>
      <c r="C10416" t="n">
        <v>1975</v>
      </c>
      <c r="D10416" t="n">
        <v>21.2273552385836</v>
      </c>
    </row>
    <row r="10417">
      <c r="A10417" t="inlineStr">
        <is>
          <t>Turkiye</t>
        </is>
      </c>
      <c r="B10417" t="inlineStr">
        <is>
          <t>TUR</t>
        </is>
      </c>
      <c r="C10417" t="n">
        <v>1976</v>
      </c>
      <c r="D10417" t="n">
        <v>17.4556893891338</v>
      </c>
    </row>
    <row r="10418">
      <c r="A10418" t="inlineStr">
        <is>
          <t>Turkiye</t>
        </is>
      </c>
      <c r="B10418" t="inlineStr">
        <is>
          <t>TUR</t>
        </is>
      </c>
      <c r="C10418" t="n">
        <v>1977</v>
      </c>
      <c r="D10418" t="n">
        <v>25.9853378650601</v>
      </c>
    </row>
    <row r="10419">
      <c r="A10419" t="inlineStr">
        <is>
          <t>Turkiye</t>
        </is>
      </c>
      <c r="B10419" t="inlineStr">
        <is>
          <t>TUR</t>
        </is>
      </c>
      <c r="C10419" t="n">
        <v>1978</v>
      </c>
      <c r="D10419" t="n">
        <v>61.8970444383435</v>
      </c>
    </row>
    <row r="10420">
      <c r="A10420" t="inlineStr">
        <is>
          <t>Turkiye</t>
        </is>
      </c>
      <c r="B10420" t="inlineStr">
        <is>
          <t>TUR</t>
        </is>
      </c>
      <c r="C10420" t="n">
        <v>1979</v>
      </c>
      <c r="D10420" t="n">
        <v>63.5431082506343</v>
      </c>
    </row>
    <row r="10421">
      <c r="A10421" t="inlineStr">
        <is>
          <t>Turkiye</t>
        </is>
      </c>
      <c r="B10421" t="inlineStr">
        <is>
          <t>TUR</t>
        </is>
      </c>
      <c r="C10421" t="n">
        <v>1980</v>
      </c>
      <c r="D10421" t="n">
        <v>94.2608598807591</v>
      </c>
    </row>
    <row r="10422">
      <c r="A10422" t="inlineStr">
        <is>
          <t>Turkiye</t>
        </is>
      </c>
      <c r="B10422" t="inlineStr">
        <is>
          <t>TUR</t>
        </is>
      </c>
      <c r="C10422" t="n">
        <v>1981</v>
      </c>
      <c r="D10422" t="n">
        <v>37.6147825797716</v>
      </c>
    </row>
    <row r="10423">
      <c r="A10423" t="inlineStr">
        <is>
          <t>Turkiye</t>
        </is>
      </c>
      <c r="B10423" t="inlineStr">
        <is>
          <t>TUR</t>
        </is>
      </c>
      <c r="C10423" t="n">
        <v>1982</v>
      </c>
      <c r="D10423" t="n">
        <v>29.1375145022677</v>
      </c>
    </row>
    <row r="10424">
      <c r="A10424" t="inlineStr">
        <is>
          <t>Turkiye</t>
        </is>
      </c>
      <c r="B10424" t="inlineStr">
        <is>
          <t>TUR</t>
        </is>
      </c>
      <c r="C10424" t="n">
        <v>1983</v>
      </c>
      <c r="D10424" t="n">
        <v>31.3902710198445</v>
      </c>
    </row>
    <row r="10425">
      <c r="A10425" t="inlineStr">
        <is>
          <t>Turkiye</t>
        </is>
      </c>
      <c r="B10425" t="inlineStr">
        <is>
          <t>TUR</t>
        </is>
      </c>
      <c r="C10425" t="n">
        <v>1984</v>
      </c>
      <c r="D10425" t="n">
        <v>48.3923231346863</v>
      </c>
    </row>
    <row r="10426">
      <c r="A10426" t="inlineStr">
        <is>
          <t>Turkiye</t>
        </is>
      </c>
      <c r="B10426" t="inlineStr">
        <is>
          <t>TUR</t>
        </is>
      </c>
      <c r="C10426" t="n">
        <v>1985</v>
      </c>
      <c r="D10426" t="n">
        <v>44.9617301528779</v>
      </c>
    </row>
    <row r="10427">
      <c r="A10427" t="inlineStr">
        <is>
          <t>Turkiye</t>
        </is>
      </c>
      <c r="B10427" t="inlineStr">
        <is>
          <t>TUR</t>
        </is>
      </c>
      <c r="C10427" t="n">
        <v>1986</v>
      </c>
      <c r="D10427" t="n">
        <v>34.6100759738745</v>
      </c>
    </row>
    <row r="10428">
      <c r="A10428" t="inlineStr">
        <is>
          <t>Turkiye</t>
        </is>
      </c>
      <c r="B10428" t="inlineStr">
        <is>
          <t>TUR</t>
        </is>
      </c>
      <c r="C10428" t="n">
        <v>1987</v>
      </c>
      <c r="D10428" t="n">
        <v>38.8558434758408</v>
      </c>
    </row>
    <row r="10429">
      <c r="A10429" t="inlineStr">
        <is>
          <t>Turkiye</t>
        </is>
      </c>
      <c r="B10429" t="inlineStr">
        <is>
          <t>TUR</t>
        </is>
      </c>
      <c r="C10429" t="n">
        <v>1988</v>
      </c>
      <c r="D10429" t="n">
        <v>68.80964338370489</v>
      </c>
    </row>
    <row r="10430">
      <c r="A10430" t="inlineStr">
        <is>
          <t>Turkiye</t>
        </is>
      </c>
      <c r="B10430" t="inlineStr">
        <is>
          <t>TUR</t>
        </is>
      </c>
      <c r="C10430" t="n">
        <v>1989</v>
      </c>
      <c r="D10430" t="n">
        <v>63.2725524930958</v>
      </c>
    </row>
    <row r="10431">
      <c r="A10431" t="inlineStr">
        <is>
          <t>Turkiye</t>
        </is>
      </c>
      <c r="B10431" t="inlineStr">
        <is>
          <t>TUR</t>
        </is>
      </c>
      <c r="C10431" t="n">
        <v>1990</v>
      </c>
      <c r="D10431" t="n">
        <v>60.3038691346446</v>
      </c>
    </row>
    <row r="10432">
      <c r="A10432" t="inlineStr">
        <is>
          <t>Turkiye</t>
        </is>
      </c>
      <c r="B10432" t="inlineStr">
        <is>
          <t>TUR</t>
        </is>
      </c>
      <c r="C10432" t="n">
        <v>1991</v>
      </c>
      <c r="D10432" t="n">
        <v>65.9785679918951</v>
      </c>
    </row>
    <row r="10433">
      <c r="A10433" t="inlineStr">
        <is>
          <t>Turkiye</t>
        </is>
      </c>
      <c r="B10433" t="inlineStr">
        <is>
          <t>TUR</t>
        </is>
      </c>
      <c r="C10433" t="n">
        <v>1992</v>
      </c>
      <c r="D10433" t="n">
        <v>70.0761038690372</v>
      </c>
    </row>
    <row r="10434">
      <c r="A10434" t="inlineStr">
        <is>
          <t>Turkiye</t>
        </is>
      </c>
      <c r="B10434" t="inlineStr">
        <is>
          <t>TUR</t>
        </is>
      </c>
      <c r="C10434" t="n">
        <v>1993</v>
      </c>
      <c r="D10434" t="n">
        <v>66.0938429820006</v>
      </c>
    </row>
    <row r="10435">
      <c r="A10435" t="inlineStr">
        <is>
          <t>Turkiye</t>
        </is>
      </c>
      <c r="B10435" t="inlineStr">
        <is>
          <t>TUR</t>
        </is>
      </c>
      <c r="C10435" t="n">
        <v>1994</v>
      </c>
      <c r="D10435" t="n">
        <v>105.214986469202</v>
      </c>
    </row>
    <row r="10436">
      <c r="A10436" t="inlineStr">
        <is>
          <t>Turkiye</t>
        </is>
      </c>
      <c r="B10436" t="inlineStr">
        <is>
          <t>TUR</t>
        </is>
      </c>
      <c r="C10436" t="n">
        <v>1995</v>
      </c>
      <c r="D10436" t="n">
        <v>89.11331722484999</v>
      </c>
    </row>
    <row r="10437">
      <c r="A10437" t="inlineStr">
        <is>
          <t>Turkiye</t>
        </is>
      </c>
      <c r="B10437" t="inlineStr">
        <is>
          <t>TUR</t>
        </is>
      </c>
      <c r="C10437" t="n">
        <v>1996</v>
      </c>
      <c r="D10437" t="n">
        <v>80.41215113880421</v>
      </c>
    </row>
    <row r="10438">
      <c r="A10438" t="inlineStr">
        <is>
          <t>Turkiye</t>
        </is>
      </c>
      <c r="B10438" t="inlineStr">
        <is>
          <t>TUR</t>
        </is>
      </c>
      <c r="C10438" t="n">
        <v>1997</v>
      </c>
      <c r="D10438" t="n">
        <v>85.669361649978</v>
      </c>
    </row>
    <row r="10439">
      <c r="A10439" t="inlineStr">
        <is>
          <t>Turkiye</t>
        </is>
      </c>
      <c r="B10439" t="inlineStr">
        <is>
          <t>TUR</t>
        </is>
      </c>
      <c r="C10439" t="n">
        <v>1998</v>
      </c>
      <c r="D10439" t="n">
        <v>84.64134348463151</v>
      </c>
    </row>
    <row r="10440">
      <c r="A10440" t="inlineStr">
        <is>
          <t>Turkiye</t>
        </is>
      </c>
      <c r="B10440" t="inlineStr">
        <is>
          <t>TUR</t>
        </is>
      </c>
      <c r="C10440" t="n">
        <v>1999</v>
      </c>
      <c r="D10440" t="n">
        <v>64.8674876350757</v>
      </c>
    </row>
    <row r="10441">
      <c r="A10441" t="inlineStr">
        <is>
          <t>Turkiye</t>
        </is>
      </c>
      <c r="B10441" t="inlineStr">
        <is>
          <t>TUR</t>
        </is>
      </c>
      <c r="C10441" t="n">
        <v>2000</v>
      </c>
      <c r="D10441" t="n">
        <v>54.9153705812683</v>
      </c>
    </row>
    <row r="10442">
      <c r="A10442" t="inlineStr">
        <is>
          <t>Turkiye</t>
        </is>
      </c>
      <c r="B10442" t="inlineStr">
        <is>
          <t>TUR</t>
        </is>
      </c>
      <c r="C10442" t="n">
        <v>2001</v>
      </c>
      <c r="D10442" t="n">
        <v>54.4001887619075</v>
      </c>
    </row>
    <row r="10443">
      <c r="A10443" t="inlineStr">
        <is>
          <t>Turkiye</t>
        </is>
      </c>
      <c r="B10443" t="inlineStr">
        <is>
          <t>TUR</t>
        </is>
      </c>
      <c r="C10443" t="n">
        <v>2002</v>
      </c>
      <c r="D10443" t="n">
        <v>44.9641209479849</v>
      </c>
    </row>
    <row r="10444">
      <c r="A10444" t="inlineStr">
        <is>
          <t>Turkiye</t>
        </is>
      </c>
      <c r="B10444" t="inlineStr">
        <is>
          <t>TUR</t>
        </is>
      </c>
      <c r="C10444" t="n">
        <v>2003</v>
      </c>
      <c r="D10444" t="n">
        <v>21.6024384490572</v>
      </c>
    </row>
    <row r="10445">
      <c r="A10445" t="inlineStr">
        <is>
          <t>Turkiye</t>
        </is>
      </c>
      <c r="B10445" t="inlineStr">
        <is>
          <t>TUR</t>
        </is>
      </c>
      <c r="C10445" t="n">
        <v>2004</v>
      </c>
      <c r="D10445" t="n">
        <v>8.598261681152721</v>
      </c>
    </row>
    <row r="10446">
      <c r="A10446" t="inlineStr">
        <is>
          <t>Turkiye</t>
        </is>
      </c>
      <c r="B10446" t="inlineStr">
        <is>
          <t>TUR</t>
        </is>
      </c>
      <c r="C10446" t="n">
        <v>2005</v>
      </c>
      <c r="D10446" t="n">
        <v>8.179160368020019</v>
      </c>
    </row>
    <row r="10447">
      <c r="A10447" t="inlineStr">
        <is>
          <t>Turkiye</t>
        </is>
      </c>
      <c r="B10447" t="inlineStr">
        <is>
          <t>TUR</t>
        </is>
      </c>
      <c r="C10447" t="n">
        <v>2006</v>
      </c>
      <c r="D10447" t="n">
        <v>9.597242122884319</v>
      </c>
    </row>
    <row r="10448">
      <c r="A10448" t="inlineStr">
        <is>
          <t>Turkiye</t>
        </is>
      </c>
      <c r="B10448" t="inlineStr">
        <is>
          <t>TUR</t>
        </is>
      </c>
      <c r="C10448" t="n">
        <v>2007</v>
      </c>
      <c r="D10448" t="n">
        <v>8.756180909726391</v>
      </c>
    </row>
    <row r="10449">
      <c r="A10449" t="inlineStr">
        <is>
          <t>Turkiye</t>
        </is>
      </c>
      <c r="B10449" t="inlineStr">
        <is>
          <t>TUR</t>
        </is>
      </c>
      <c r="C10449" t="n">
        <v>2008</v>
      </c>
      <c r="D10449" t="n">
        <v>10.4441283764885</v>
      </c>
    </row>
    <row r="10450">
      <c r="A10450" t="inlineStr">
        <is>
          <t>Turkiye</t>
        </is>
      </c>
      <c r="B10450" t="inlineStr">
        <is>
          <t>TUR</t>
        </is>
      </c>
      <c r="C10450" t="n">
        <v>2009</v>
      </c>
      <c r="D10450" t="n">
        <v>6.25097663090626</v>
      </c>
    </row>
    <row r="10451">
      <c r="A10451" t="inlineStr">
        <is>
          <t>Turkiye</t>
        </is>
      </c>
      <c r="B10451" t="inlineStr">
        <is>
          <t>TUR</t>
        </is>
      </c>
      <c r="C10451" t="n">
        <v>2010</v>
      </c>
      <c r="D10451" t="n">
        <v>8.566444205529759</v>
      </c>
    </row>
    <row r="10452">
      <c r="A10452" t="inlineStr">
        <is>
          <t>Turkiye</t>
        </is>
      </c>
      <c r="B10452" t="inlineStr">
        <is>
          <t>TUR</t>
        </is>
      </c>
      <c r="C10452" t="n">
        <v>2011</v>
      </c>
      <c r="D10452" t="n">
        <v>6.471879671151</v>
      </c>
    </row>
    <row r="10453">
      <c r="A10453" t="inlineStr">
        <is>
          <t>Turkiye</t>
        </is>
      </c>
      <c r="B10453" t="inlineStr">
        <is>
          <t>TUR</t>
        </is>
      </c>
      <c r="C10453" t="n">
        <v>2012</v>
      </c>
      <c r="D10453" t="n">
        <v>8.891569965121629</v>
      </c>
    </row>
    <row r="10454">
      <c r="A10454" t="inlineStr">
        <is>
          <t>Turkiye</t>
        </is>
      </c>
      <c r="B10454" t="inlineStr">
        <is>
          <t>TUR</t>
        </is>
      </c>
      <c r="C10454" t="n">
        <v>2013</v>
      </c>
      <c r="D10454" t="n">
        <v>7.49309030547693</v>
      </c>
    </row>
    <row r="10455">
      <c r="A10455" t="inlineStr">
        <is>
          <t>Turkiye</t>
        </is>
      </c>
      <c r="B10455" t="inlineStr">
        <is>
          <t>TUR</t>
        </is>
      </c>
      <c r="C10455" t="n">
        <v>2014</v>
      </c>
      <c r="D10455" t="n">
        <v>8.85457271364324</v>
      </c>
    </row>
    <row r="10456">
      <c r="A10456" t="inlineStr">
        <is>
          <t>Turkiye</t>
        </is>
      </c>
      <c r="B10456" t="inlineStr">
        <is>
          <t>TUR</t>
        </is>
      </c>
      <c r="C10456" t="n">
        <v>2015</v>
      </c>
      <c r="D10456" t="n">
        <v>7.67085364845877</v>
      </c>
    </row>
    <row r="10457">
      <c r="A10457" t="inlineStr">
        <is>
          <t>Turkiye</t>
        </is>
      </c>
      <c r="B10457" t="inlineStr">
        <is>
          <t>TUR</t>
        </is>
      </c>
      <c r="C10457" t="n">
        <v>2016</v>
      </c>
      <c r="D10457" t="n">
        <v>7.7751341532833</v>
      </c>
    </row>
    <row r="10458">
      <c r="A10458" t="inlineStr">
        <is>
          <t>Turkiye</t>
        </is>
      </c>
      <c r="B10458" t="inlineStr">
        <is>
          <t>TUR</t>
        </is>
      </c>
      <c r="C10458" t="n">
        <v>2017</v>
      </c>
      <c r="D10458" t="n">
        <v>11.1443110840765</v>
      </c>
    </row>
    <row r="10459">
      <c r="A10459" t="inlineStr">
        <is>
          <t>Turkiye</t>
        </is>
      </c>
      <c r="B10459" t="inlineStr">
        <is>
          <t>TUR</t>
        </is>
      </c>
      <c r="C10459" t="n">
        <v>2018</v>
      </c>
      <c r="D10459" t="n">
        <v>16.3324638988928</v>
      </c>
    </row>
    <row r="10460">
      <c r="A10460" t="inlineStr">
        <is>
          <t>Turkiye</t>
        </is>
      </c>
      <c r="B10460" t="inlineStr">
        <is>
          <t>TUR</t>
        </is>
      </c>
      <c r="C10460" t="n">
        <v>2019</v>
      </c>
      <c r="D10460" t="n">
        <v>15.1768215720022</v>
      </c>
    </row>
    <row r="10461">
      <c r="A10461" t="inlineStr">
        <is>
          <t>Turkiye</t>
        </is>
      </c>
      <c r="B10461" t="inlineStr">
        <is>
          <t>TUR</t>
        </is>
      </c>
      <c r="C10461" t="n">
        <v>2020</v>
      </c>
      <c r="D10461" t="n">
        <v>12.2789574462574</v>
      </c>
    </row>
    <row r="10462">
      <c r="A10462" t="inlineStr">
        <is>
          <t>Turkiye</t>
        </is>
      </c>
      <c r="B10462" t="inlineStr">
        <is>
          <t>TUR</t>
        </is>
      </c>
      <c r="C10462" t="n">
        <v>2021</v>
      </c>
      <c r="D10462" t="n">
        <v>19.5964926913324</v>
      </c>
    </row>
    <row r="10463">
      <c r="A10463" t="inlineStr">
        <is>
          <t>Turkiye</t>
        </is>
      </c>
      <c r="B10463" t="inlineStr">
        <is>
          <t>TUR</t>
        </is>
      </c>
      <c r="C10463" t="n">
        <v>2022</v>
      </c>
      <c r="D10463" t="n">
        <v>72.30883598912069</v>
      </c>
    </row>
    <row r="10464">
      <c r="A10464" t="inlineStr">
        <is>
          <t>Turkiye</t>
        </is>
      </c>
      <c r="B10464" t="inlineStr">
        <is>
          <t>TUR</t>
        </is>
      </c>
      <c r="C10464" t="n">
        <v>2023</v>
      </c>
      <c r="D10464" t="n">
        <v>53.8594087593315</v>
      </c>
    </row>
    <row r="10465">
      <c r="A10465" t="inlineStr">
        <is>
          <t>Turkiye</t>
        </is>
      </c>
      <c r="B10465" t="inlineStr">
        <is>
          <t>TUR</t>
        </is>
      </c>
      <c r="C10465" t="n">
        <v>2024</v>
      </c>
      <c r="D10465" t="n">
        <v>58.5064507300343</v>
      </c>
    </row>
    <row r="10466">
      <c r="A10466" t="inlineStr">
        <is>
          <t>Tuvalu</t>
        </is>
      </c>
      <c r="B10466" t="inlineStr">
        <is>
          <t>TUV</t>
        </is>
      </c>
      <c r="C10466" t="n">
        <v>2011</v>
      </c>
      <c r="D10466" t="n">
        <v>0.5005807431527</v>
      </c>
    </row>
    <row r="10467">
      <c r="A10467" t="inlineStr">
        <is>
          <t>Tanzania</t>
        </is>
      </c>
      <c r="B10467" t="inlineStr">
        <is>
          <t>TZA</t>
        </is>
      </c>
      <c r="C10467" t="n">
        <v>1966</v>
      </c>
      <c r="D10467" t="n">
        <v>9.77701543927596</v>
      </c>
    </row>
    <row r="10468">
      <c r="A10468" t="inlineStr">
        <is>
          <t>Tanzania</t>
        </is>
      </c>
      <c r="B10468" t="inlineStr">
        <is>
          <t>TZA</t>
        </is>
      </c>
      <c r="C10468" t="n">
        <v>1967</v>
      </c>
      <c r="D10468" t="n">
        <v>12.1874999984368</v>
      </c>
    </row>
    <row r="10469">
      <c r="A10469" t="inlineStr">
        <is>
          <t>Tanzania</t>
        </is>
      </c>
      <c r="B10469" t="inlineStr">
        <is>
          <t>TZA</t>
        </is>
      </c>
      <c r="C10469" t="n">
        <v>1968</v>
      </c>
      <c r="D10469" t="n">
        <v>15.5988857954827</v>
      </c>
    </row>
    <row r="10470">
      <c r="A10470" t="inlineStr">
        <is>
          <t>Tanzania</t>
        </is>
      </c>
      <c r="B10470" t="inlineStr">
        <is>
          <t>TZA</t>
        </is>
      </c>
      <c r="C10470" t="n">
        <v>1969</v>
      </c>
      <c r="D10470" t="n">
        <v>16.4156626499998</v>
      </c>
    </row>
    <row r="10471">
      <c r="A10471" t="inlineStr">
        <is>
          <t>Tanzania</t>
        </is>
      </c>
      <c r="B10471" t="inlineStr">
        <is>
          <t>TZA</t>
        </is>
      </c>
      <c r="C10471" t="n">
        <v>1970</v>
      </c>
      <c r="D10471" t="n">
        <v>3.49288486418357</v>
      </c>
    </row>
    <row r="10472">
      <c r="A10472" t="inlineStr">
        <is>
          <t>Tanzania</t>
        </is>
      </c>
      <c r="B10472" t="inlineStr">
        <is>
          <t>TZA</t>
        </is>
      </c>
      <c r="C10472" t="n">
        <v>1971</v>
      </c>
      <c r="D10472" t="n">
        <v>4.77500000002375</v>
      </c>
    </row>
    <row r="10473">
      <c r="A10473" t="inlineStr">
        <is>
          <t>Tanzania</t>
        </is>
      </c>
      <c r="B10473" t="inlineStr">
        <is>
          <t>TZA</t>
        </is>
      </c>
      <c r="C10473" t="n">
        <v>1972</v>
      </c>
      <c r="D10473" t="n">
        <v>7.63540921001038</v>
      </c>
    </row>
    <row r="10474">
      <c r="A10474" t="inlineStr">
        <is>
          <t>Tanzania</t>
        </is>
      </c>
      <c r="B10474" t="inlineStr">
        <is>
          <t>TZA</t>
        </is>
      </c>
      <c r="C10474" t="n">
        <v>1973</v>
      </c>
      <c r="D10474" t="n">
        <v>10.3968078032167</v>
      </c>
    </row>
    <row r="10475">
      <c r="A10475" t="inlineStr">
        <is>
          <t>Tanzania</t>
        </is>
      </c>
      <c r="B10475" t="inlineStr">
        <is>
          <t>TZA</t>
        </is>
      </c>
      <c r="C10475" t="n">
        <v>1974</v>
      </c>
      <c r="D10475" t="n">
        <v>19.5983935742148</v>
      </c>
    </row>
    <row r="10476">
      <c r="A10476" t="inlineStr">
        <is>
          <t>Tanzania</t>
        </is>
      </c>
      <c r="B10476" t="inlineStr">
        <is>
          <t>TZA</t>
        </is>
      </c>
      <c r="C10476" t="n">
        <v>1975</v>
      </c>
      <c r="D10476" t="n">
        <v>26.0577568841573</v>
      </c>
    </row>
    <row r="10477">
      <c r="A10477" t="inlineStr">
        <is>
          <t>Tanzania</t>
        </is>
      </c>
      <c r="B10477" t="inlineStr">
        <is>
          <t>TZA</t>
        </is>
      </c>
      <c r="C10477" t="n">
        <v>1976</v>
      </c>
      <c r="D10477" t="n">
        <v>6.85935002653251</v>
      </c>
    </row>
    <row r="10478">
      <c r="A10478" t="inlineStr">
        <is>
          <t>Tanzania</t>
        </is>
      </c>
      <c r="B10478" t="inlineStr">
        <is>
          <t>TZA</t>
        </is>
      </c>
      <c r="C10478" t="n">
        <v>1977</v>
      </c>
      <c r="D10478" t="n">
        <v>11.6041381030119</v>
      </c>
    </row>
    <row r="10479">
      <c r="A10479" t="inlineStr">
        <is>
          <t>Tanzania</t>
        </is>
      </c>
      <c r="B10479" t="inlineStr">
        <is>
          <t>TZA</t>
        </is>
      </c>
      <c r="C10479" t="n">
        <v>1978</v>
      </c>
      <c r="D10479" t="n">
        <v>6.57500000000009</v>
      </c>
    </row>
    <row r="10480">
      <c r="A10480" t="inlineStr">
        <is>
          <t>Tanzania</t>
        </is>
      </c>
      <c r="B10480" t="inlineStr">
        <is>
          <t>TZA</t>
        </is>
      </c>
      <c r="C10480" t="n">
        <v>1979</v>
      </c>
      <c r="D10480" t="n">
        <v>12.9486277269529</v>
      </c>
    </row>
    <row r="10481">
      <c r="A10481" t="inlineStr">
        <is>
          <t>Tanzania</t>
        </is>
      </c>
      <c r="B10481" t="inlineStr">
        <is>
          <t>TZA</t>
        </is>
      </c>
      <c r="C10481" t="n">
        <v>1980</v>
      </c>
      <c r="D10481" t="n">
        <v>30.197300103842</v>
      </c>
    </row>
    <row r="10482">
      <c r="A10482" t="inlineStr">
        <is>
          <t>Tanzania</t>
        </is>
      </c>
      <c r="B10482" t="inlineStr">
        <is>
          <t>TZA</t>
        </is>
      </c>
      <c r="C10482" t="n">
        <v>1981</v>
      </c>
      <c r="D10482" t="n">
        <v>25.6500239272612</v>
      </c>
    </row>
    <row r="10483">
      <c r="A10483" t="inlineStr">
        <is>
          <t>Tanzania</t>
        </is>
      </c>
      <c r="B10483" t="inlineStr">
        <is>
          <t>TZA</t>
        </is>
      </c>
      <c r="C10483" t="n">
        <v>1982</v>
      </c>
      <c r="D10483" t="n">
        <v>28.9323346451693</v>
      </c>
    </row>
    <row r="10484">
      <c r="A10484" t="inlineStr">
        <is>
          <t>Tanzania</t>
        </is>
      </c>
      <c r="B10484" t="inlineStr">
        <is>
          <t>TZA</t>
        </is>
      </c>
      <c r="C10484" t="n">
        <v>1983</v>
      </c>
      <c r="D10484" t="n">
        <v>27.0559275305238</v>
      </c>
    </row>
    <row r="10485">
      <c r="A10485" t="inlineStr">
        <is>
          <t>Tanzania</t>
        </is>
      </c>
      <c r="B10485" t="inlineStr">
        <is>
          <t>TZA</t>
        </is>
      </c>
      <c r="C10485" t="n">
        <v>1984</v>
      </c>
      <c r="D10485" t="n">
        <v>36.1459415056028</v>
      </c>
    </row>
    <row r="10486">
      <c r="A10486" t="inlineStr">
        <is>
          <t>Tanzania</t>
        </is>
      </c>
      <c r="B10486" t="inlineStr">
        <is>
          <t>TZA</t>
        </is>
      </c>
      <c r="C10486" t="n">
        <v>1985</v>
      </c>
      <c r="D10486" t="n">
        <v>33.2821038251368</v>
      </c>
    </row>
    <row r="10487">
      <c r="A10487" t="inlineStr">
        <is>
          <t>Tanzania</t>
        </is>
      </c>
      <c r="B10487" t="inlineStr">
        <is>
          <t>TZA</t>
        </is>
      </c>
      <c r="C10487" t="n">
        <v>1986</v>
      </c>
      <c r="D10487" t="n">
        <v>32.4322015801837</v>
      </c>
    </row>
    <row r="10488">
      <c r="A10488" t="inlineStr">
        <is>
          <t>Tanzania</t>
        </is>
      </c>
      <c r="B10488" t="inlineStr">
        <is>
          <t>TZA</t>
        </is>
      </c>
      <c r="C10488" t="n">
        <v>1987</v>
      </c>
      <c r="D10488" t="n">
        <v>29.9493695378761</v>
      </c>
    </row>
    <row r="10489">
      <c r="A10489" t="inlineStr">
        <is>
          <t>Tanzania</t>
        </is>
      </c>
      <c r="B10489" t="inlineStr">
        <is>
          <t>TZA</t>
        </is>
      </c>
      <c r="C10489" t="n">
        <v>1988</v>
      </c>
      <c r="D10489" t="n">
        <v>31.1867182846932</v>
      </c>
    </row>
    <row r="10490">
      <c r="A10490" t="inlineStr">
        <is>
          <t>Tanzania</t>
        </is>
      </c>
      <c r="B10490" t="inlineStr">
        <is>
          <t>TZA</t>
        </is>
      </c>
      <c r="C10490" t="n">
        <v>1989</v>
      </c>
      <c r="D10490" t="n">
        <v>25.8498382611657</v>
      </c>
    </row>
    <row r="10491">
      <c r="A10491" t="inlineStr">
        <is>
          <t>Tanzania</t>
        </is>
      </c>
      <c r="B10491" t="inlineStr">
        <is>
          <t>TZA</t>
        </is>
      </c>
      <c r="C10491" t="n">
        <v>1990</v>
      </c>
      <c r="D10491" t="n">
        <v>35.8267716535433</v>
      </c>
    </row>
    <row r="10492">
      <c r="A10492" t="inlineStr">
        <is>
          <t>Tanzania</t>
        </is>
      </c>
      <c r="B10492" t="inlineStr">
        <is>
          <t>TZA</t>
        </is>
      </c>
      <c r="C10492" t="n">
        <v>1991</v>
      </c>
      <c r="D10492" t="n">
        <v>28.695652173913</v>
      </c>
    </row>
    <row r="10493">
      <c r="A10493" t="inlineStr">
        <is>
          <t>Tanzania</t>
        </is>
      </c>
      <c r="B10493" t="inlineStr">
        <is>
          <t>TZA</t>
        </is>
      </c>
      <c r="C10493" t="n">
        <v>1992</v>
      </c>
      <c r="D10493" t="n">
        <v>21.8468468468473</v>
      </c>
    </row>
    <row r="10494">
      <c r="A10494" t="inlineStr">
        <is>
          <t>Tanzania</t>
        </is>
      </c>
      <c r="B10494" t="inlineStr">
        <is>
          <t>TZA</t>
        </is>
      </c>
      <c r="C10494" t="n">
        <v>1993</v>
      </c>
      <c r="D10494" t="n">
        <v>25.277264325323</v>
      </c>
    </row>
    <row r="10495">
      <c r="A10495" t="inlineStr">
        <is>
          <t>Tanzania</t>
        </is>
      </c>
      <c r="B10495" t="inlineStr">
        <is>
          <t>TZA</t>
        </is>
      </c>
      <c r="C10495" t="n">
        <v>1994</v>
      </c>
      <c r="D10495" t="n">
        <v>34.0833640722984</v>
      </c>
    </row>
    <row r="10496">
      <c r="A10496" t="inlineStr">
        <is>
          <t>Tanzania</t>
        </is>
      </c>
      <c r="B10496" t="inlineStr">
        <is>
          <t>TZA</t>
        </is>
      </c>
      <c r="C10496" t="n">
        <v>1995</v>
      </c>
      <c r="D10496" t="n">
        <v>27.4277854195323</v>
      </c>
    </row>
    <row r="10497">
      <c r="A10497" t="inlineStr">
        <is>
          <t>Tanzania</t>
        </is>
      </c>
      <c r="B10497" t="inlineStr">
        <is>
          <t>TZA</t>
        </is>
      </c>
      <c r="C10497" t="n">
        <v>1996</v>
      </c>
      <c r="D10497" t="n">
        <v>20.9772596430629</v>
      </c>
    </row>
    <row r="10498">
      <c r="A10498" t="inlineStr">
        <is>
          <t>Tanzania</t>
        </is>
      </c>
      <c r="B10498" t="inlineStr">
        <is>
          <t>TZA</t>
        </is>
      </c>
      <c r="C10498" t="n">
        <v>1997</v>
      </c>
      <c r="D10498" t="n">
        <v>16.0906549283201</v>
      </c>
    </row>
    <row r="10499">
      <c r="A10499" t="inlineStr">
        <is>
          <t>Tanzania</t>
        </is>
      </c>
      <c r="B10499" t="inlineStr">
        <is>
          <t>TZA</t>
        </is>
      </c>
      <c r="C10499" t="n">
        <v>1998</v>
      </c>
      <c r="D10499" t="n">
        <v>12.7997540479609</v>
      </c>
    </row>
    <row r="10500">
      <c r="A10500" t="inlineStr">
        <is>
          <t>Tanzania</t>
        </is>
      </c>
      <c r="B10500" t="inlineStr">
        <is>
          <t>TZA</t>
        </is>
      </c>
      <c r="C10500" t="n">
        <v>1999</v>
      </c>
      <c r="D10500" t="n">
        <v>7.89043336058877</v>
      </c>
    </row>
    <row r="10501">
      <c r="A10501" t="inlineStr">
        <is>
          <t>Tanzania</t>
        </is>
      </c>
      <c r="B10501" t="inlineStr">
        <is>
          <t>TZA</t>
        </is>
      </c>
      <c r="C10501" t="n">
        <v>2000</v>
      </c>
      <c r="D10501" t="n">
        <v>5.92396109637479</v>
      </c>
    </row>
    <row r="10502">
      <c r="A10502" t="inlineStr">
        <is>
          <t>Tanzania</t>
        </is>
      </c>
      <c r="B10502" t="inlineStr">
        <is>
          <t>TZA</t>
        </is>
      </c>
      <c r="C10502" t="n">
        <v>2001</v>
      </c>
      <c r="D10502" t="n">
        <v>5.14746800222618</v>
      </c>
    </row>
    <row r="10503">
      <c r="A10503" t="inlineStr">
        <is>
          <t>Tanzania</t>
        </is>
      </c>
      <c r="B10503" t="inlineStr">
        <is>
          <t>TZA</t>
        </is>
      </c>
      <c r="C10503" t="n">
        <v>2002</v>
      </c>
      <c r="D10503" t="n">
        <v>5.31783366118203</v>
      </c>
    </row>
    <row r="10504">
      <c r="A10504" t="inlineStr">
        <is>
          <t>Tanzania</t>
        </is>
      </c>
      <c r="B10504" t="inlineStr">
        <is>
          <t>TZA</t>
        </is>
      </c>
      <c r="C10504" t="n">
        <v>2003</v>
      </c>
      <c r="D10504" t="n">
        <v>5.30356621509782</v>
      </c>
    </row>
    <row r="10505">
      <c r="A10505" t="inlineStr">
        <is>
          <t>Tanzania</t>
        </is>
      </c>
      <c r="B10505" t="inlineStr">
        <is>
          <t>TZA</t>
        </is>
      </c>
      <c r="C10505" t="n">
        <v>2004</v>
      </c>
      <c r="D10505" t="n">
        <v>4.73580143949058</v>
      </c>
    </row>
    <row r="10506">
      <c r="A10506" t="inlineStr">
        <is>
          <t>Tanzania</t>
        </is>
      </c>
      <c r="B10506" t="inlineStr">
        <is>
          <t>TZA</t>
        </is>
      </c>
      <c r="C10506" t="n">
        <v>2005</v>
      </c>
      <c r="D10506" t="n">
        <v>5.03457009267163</v>
      </c>
    </row>
    <row r="10507">
      <c r="A10507" t="inlineStr">
        <is>
          <t>Tanzania</t>
        </is>
      </c>
      <c r="B10507" t="inlineStr">
        <is>
          <t>TZA</t>
        </is>
      </c>
      <c r="C10507" t="n">
        <v>2006</v>
      </c>
      <c r="D10507" t="n">
        <v>7.25097262082546</v>
      </c>
    </row>
    <row r="10508">
      <c r="A10508" t="inlineStr">
        <is>
          <t>Tanzania</t>
        </is>
      </c>
      <c r="B10508" t="inlineStr">
        <is>
          <t>TZA</t>
        </is>
      </c>
      <c r="C10508" t="n">
        <v>2007</v>
      </c>
      <c r="D10508" t="n">
        <v>7.02551436974771</v>
      </c>
    </row>
    <row r="10509">
      <c r="A10509" t="inlineStr">
        <is>
          <t>Tanzania</t>
        </is>
      </c>
      <c r="B10509" t="inlineStr">
        <is>
          <t>TZA</t>
        </is>
      </c>
      <c r="C10509" t="n">
        <v>2008</v>
      </c>
      <c r="D10509" t="n">
        <v>10.2783937621135</v>
      </c>
    </row>
    <row r="10510">
      <c r="A10510" t="inlineStr">
        <is>
          <t>Tanzania</t>
        </is>
      </c>
      <c r="B10510" t="inlineStr">
        <is>
          <t>TZA</t>
        </is>
      </c>
      <c r="C10510" t="n">
        <v>2009</v>
      </c>
      <c r="D10510" t="n">
        <v>12.1422278742988</v>
      </c>
    </row>
    <row r="10511">
      <c r="A10511" t="inlineStr">
        <is>
          <t>Tanzania</t>
        </is>
      </c>
      <c r="B10511" t="inlineStr">
        <is>
          <t>TZA</t>
        </is>
      </c>
      <c r="C10511" t="n">
        <v>2010</v>
      </c>
      <c r="D10511" t="n">
        <v>6.20015595647403</v>
      </c>
    </row>
    <row r="10512">
      <c r="A10512" t="inlineStr">
        <is>
          <t>Tanzania</t>
        </is>
      </c>
      <c r="B10512" t="inlineStr">
        <is>
          <t>TZA</t>
        </is>
      </c>
      <c r="C10512" t="n">
        <v>2011</v>
      </c>
      <c r="D10512" t="n">
        <v>12.6909694699162</v>
      </c>
    </row>
    <row r="10513">
      <c r="A10513" t="inlineStr">
        <is>
          <t>Tanzania</t>
        </is>
      </c>
      <c r="B10513" t="inlineStr">
        <is>
          <t>TZA</t>
        </is>
      </c>
      <c r="C10513" t="n">
        <v>2012</v>
      </c>
      <c r="D10513" t="n">
        <v>16.0010938506338</v>
      </c>
    </row>
    <row r="10514">
      <c r="A10514" t="inlineStr">
        <is>
          <t>Tanzania</t>
        </is>
      </c>
      <c r="B10514" t="inlineStr">
        <is>
          <t>TZA</t>
        </is>
      </c>
      <c r="C10514" t="n">
        <v>2013</v>
      </c>
      <c r="D10514" t="n">
        <v>7.87072364573959</v>
      </c>
    </row>
    <row r="10515">
      <c r="A10515" t="inlineStr">
        <is>
          <t>Tanzania</t>
        </is>
      </c>
      <c r="B10515" t="inlineStr">
        <is>
          <t>TZA</t>
        </is>
      </c>
      <c r="C10515" t="n">
        <v>2014</v>
      </c>
      <c r="D10515" t="n">
        <v>6.13161432988012</v>
      </c>
    </row>
    <row r="10516">
      <c r="A10516" t="inlineStr">
        <is>
          <t>Tanzania</t>
        </is>
      </c>
      <c r="B10516" t="inlineStr">
        <is>
          <t>TZA</t>
        </is>
      </c>
      <c r="C10516" t="n">
        <v>2015</v>
      </c>
      <c r="D10516" t="n">
        <v>5.58816952959298</v>
      </c>
    </row>
    <row r="10517">
      <c r="A10517" t="inlineStr">
        <is>
          <t>Tanzania</t>
        </is>
      </c>
      <c r="B10517" t="inlineStr">
        <is>
          <t>TZA</t>
        </is>
      </c>
      <c r="C10517" t="n">
        <v>2016</v>
      </c>
      <c r="D10517" t="n">
        <v>5.17476629301493</v>
      </c>
    </row>
    <row r="10518">
      <c r="A10518" t="inlineStr">
        <is>
          <t>Tanzania</t>
        </is>
      </c>
      <c r="B10518" t="inlineStr">
        <is>
          <t>TZA</t>
        </is>
      </c>
      <c r="C10518" t="n">
        <v>2017</v>
      </c>
      <c r="D10518" t="n">
        <v>5.31871605228931</v>
      </c>
    </row>
    <row r="10519">
      <c r="A10519" t="inlineStr">
        <is>
          <t>Tanzania</t>
        </is>
      </c>
      <c r="B10519" t="inlineStr">
        <is>
          <t>TZA</t>
        </is>
      </c>
      <c r="C10519" t="n">
        <v>2018</v>
      </c>
      <c r="D10519" t="n">
        <v>3.49445848856181</v>
      </c>
    </row>
    <row r="10520">
      <c r="A10520" t="inlineStr">
        <is>
          <t>Tanzania</t>
        </is>
      </c>
      <c r="B10520" t="inlineStr">
        <is>
          <t>TZA</t>
        </is>
      </c>
      <c r="C10520" t="n">
        <v>2019</v>
      </c>
      <c r="D10520" t="n">
        <v>3.4642805799902</v>
      </c>
    </row>
    <row r="10521">
      <c r="A10521" t="inlineStr">
        <is>
          <t>Tanzania</t>
        </is>
      </c>
      <c r="B10521" t="inlineStr">
        <is>
          <t>TZA</t>
        </is>
      </c>
      <c r="C10521" t="n">
        <v>2020</v>
      </c>
      <c r="D10521" t="n">
        <v>3.29029062798325</v>
      </c>
    </row>
    <row r="10522">
      <c r="A10522" t="inlineStr">
        <is>
          <t>Tanzania</t>
        </is>
      </c>
      <c r="B10522" t="inlineStr">
        <is>
          <t>TZA</t>
        </is>
      </c>
      <c r="C10522" t="n">
        <v>2021</v>
      </c>
      <c r="D10522" t="n">
        <v>3.69091958802199</v>
      </c>
    </row>
    <row r="10523">
      <c r="A10523" t="inlineStr">
        <is>
          <t>Tanzania</t>
        </is>
      </c>
      <c r="B10523" t="inlineStr">
        <is>
          <t>TZA</t>
        </is>
      </c>
      <c r="C10523" t="n">
        <v>2022</v>
      </c>
      <c r="D10523" t="n">
        <v>4.35027204269101</v>
      </c>
    </row>
    <row r="10524">
      <c r="A10524" t="inlineStr">
        <is>
          <t>Tanzania</t>
        </is>
      </c>
      <c r="B10524" t="inlineStr">
        <is>
          <t>TZA</t>
        </is>
      </c>
      <c r="C10524" t="n">
        <v>2023</v>
      </c>
      <c r="D10524" t="n">
        <v>3.79923291384916</v>
      </c>
    </row>
    <row r="10525">
      <c r="A10525" t="inlineStr">
        <is>
          <t>Tanzania</t>
        </is>
      </c>
      <c r="B10525" t="inlineStr">
        <is>
          <t>TZA</t>
        </is>
      </c>
      <c r="C10525" t="n">
        <v>2024</v>
      </c>
      <c r="D10525" t="n">
        <v>3.05694676312373</v>
      </c>
    </row>
    <row r="10526">
      <c r="A10526" t="inlineStr">
        <is>
          <t>Uganda</t>
        </is>
      </c>
      <c r="B10526" t="inlineStr">
        <is>
          <t>UGA</t>
        </is>
      </c>
      <c r="C10526" t="n">
        <v>1994</v>
      </c>
      <c r="D10526" t="n">
        <v>10.0367598792175</v>
      </c>
    </row>
    <row r="10527">
      <c r="A10527" t="inlineStr">
        <is>
          <t>Uganda</t>
        </is>
      </c>
      <c r="B10527" t="inlineStr">
        <is>
          <t>UGA</t>
        </is>
      </c>
      <c r="C10527" t="n">
        <v>1995</v>
      </c>
      <c r="D10527" t="n">
        <v>6.55014018970371</v>
      </c>
    </row>
    <row r="10528">
      <c r="A10528" t="inlineStr">
        <is>
          <t>Uganda</t>
        </is>
      </c>
      <c r="B10528" t="inlineStr">
        <is>
          <t>UGA</t>
        </is>
      </c>
      <c r="C10528" t="n">
        <v>1996</v>
      </c>
      <c r="D10528" t="n">
        <v>7.19164660433344</v>
      </c>
    </row>
    <row r="10529">
      <c r="A10529" t="inlineStr">
        <is>
          <t>Uganda</t>
        </is>
      </c>
      <c r="B10529" t="inlineStr">
        <is>
          <t>UGA</t>
        </is>
      </c>
      <c r="C10529" t="n">
        <v>1997</v>
      </c>
      <c r="D10529" t="n">
        <v>8.16902144106963</v>
      </c>
    </row>
    <row r="10530">
      <c r="A10530" t="inlineStr">
        <is>
          <t>Uganda</t>
        </is>
      </c>
      <c r="B10530" t="inlineStr">
        <is>
          <t>UGA</t>
        </is>
      </c>
      <c r="C10530" t="n">
        <v>1998</v>
      </c>
      <c r="D10530" t="n">
        <v>0.0688041719983172</v>
      </c>
    </row>
    <row r="10531">
      <c r="A10531" t="inlineStr">
        <is>
          <t>Uganda</t>
        </is>
      </c>
      <c r="B10531" t="inlineStr">
        <is>
          <t>UGA</t>
        </is>
      </c>
      <c r="C10531" t="n">
        <v>1999</v>
      </c>
      <c r="D10531" t="n">
        <v>5.77736898687895</v>
      </c>
    </row>
    <row r="10532">
      <c r="A10532" t="inlineStr">
        <is>
          <t>Uganda</t>
        </is>
      </c>
      <c r="B10532" t="inlineStr">
        <is>
          <t>UGA</t>
        </is>
      </c>
      <c r="C10532" t="n">
        <v>2000</v>
      </c>
      <c r="D10532" t="n">
        <v>3.39202158512998</v>
      </c>
    </row>
    <row r="10533">
      <c r="A10533" t="inlineStr">
        <is>
          <t>Uganda</t>
        </is>
      </c>
      <c r="B10533" t="inlineStr">
        <is>
          <t>UGA</t>
        </is>
      </c>
      <c r="C10533" t="n">
        <v>2001</v>
      </c>
      <c r="D10533" t="n">
        <v>1.86512524084773</v>
      </c>
    </row>
    <row r="10534">
      <c r="A10534" t="inlineStr">
        <is>
          <t>Uganda</t>
        </is>
      </c>
      <c r="B10534" t="inlineStr">
        <is>
          <t>UGA</t>
        </is>
      </c>
      <c r="C10534" t="n">
        <v>2002</v>
      </c>
      <c r="D10534" t="n">
        <v>-0.287508511765196</v>
      </c>
    </row>
    <row r="10535">
      <c r="A10535" t="inlineStr">
        <is>
          <t>Uganda</t>
        </is>
      </c>
      <c r="B10535" t="inlineStr">
        <is>
          <t>UGA</t>
        </is>
      </c>
      <c r="C10535" t="n">
        <v>2003</v>
      </c>
      <c r="D10535" t="n">
        <v>8.68047651566884</v>
      </c>
    </row>
    <row r="10536">
      <c r="A10536" t="inlineStr">
        <is>
          <t>Uganda</t>
        </is>
      </c>
      <c r="B10536" t="inlineStr">
        <is>
          <t>UGA</t>
        </is>
      </c>
      <c r="C10536" t="n">
        <v>2004</v>
      </c>
      <c r="D10536" t="n">
        <v>3.72128743978228</v>
      </c>
    </row>
    <row r="10537">
      <c r="A10537" t="inlineStr">
        <is>
          <t>Uganda</t>
        </is>
      </c>
      <c r="B10537" t="inlineStr">
        <is>
          <t>UGA</t>
        </is>
      </c>
      <c r="C10537" t="n">
        <v>2005</v>
      </c>
      <c r="D10537" t="n">
        <v>8.448726422995319</v>
      </c>
    </row>
    <row r="10538">
      <c r="A10538" t="inlineStr">
        <is>
          <t>Uganda</t>
        </is>
      </c>
      <c r="B10538" t="inlineStr">
        <is>
          <t>UGA</t>
        </is>
      </c>
      <c r="C10538" t="n">
        <v>2006</v>
      </c>
      <c r="D10538" t="n">
        <v>7.31067613561864</v>
      </c>
    </row>
    <row r="10539">
      <c r="A10539" t="inlineStr">
        <is>
          <t>Uganda</t>
        </is>
      </c>
      <c r="B10539" t="inlineStr">
        <is>
          <t>UGA</t>
        </is>
      </c>
      <c r="C10539" t="n">
        <v>2007</v>
      </c>
      <c r="D10539" t="n">
        <v>6.1385108328505</v>
      </c>
    </row>
    <row r="10540">
      <c r="A10540" t="inlineStr">
        <is>
          <t>Uganda</t>
        </is>
      </c>
      <c r="B10540" t="inlineStr">
        <is>
          <t>UGA</t>
        </is>
      </c>
      <c r="C10540" t="n">
        <v>2008</v>
      </c>
      <c r="D10540" t="n">
        <v>12.0508555482886</v>
      </c>
    </row>
    <row r="10541">
      <c r="A10541" t="inlineStr">
        <is>
          <t>Uganda</t>
        </is>
      </c>
      <c r="B10541" t="inlineStr">
        <is>
          <t>UGA</t>
        </is>
      </c>
      <c r="C10541" t="n">
        <v>2009</v>
      </c>
      <c r="D10541" t="n">
        <v>13.0172561889185</v>
      </c>
    </row>
    <row r="10542">
      <c r="A10542" t="inlineStr">
        <is>
          <t>Uganda</t>
        </is>
      </c>
      <c r="B10542" t="inlineStr">
        <is>
          <t>UGA</t>
        </is>
      </c>
      <c r="C10542" t="n">
        <v>2010</v>
      </c>
      <c r="D10542" t="n">
        <v>3.97655288478168</v>
      </c>
    </row>
    <row r="10543">
      <c r="A10543" t="inlineStr">
        <is>
          <t>Uganda</t>
        </is>
      </c>
      <c r="B10543" t="inlineStr">
        <is>
          <t>UGA</t>
        </is>
      </c>
      <c r="C10543" t="n">
        <v>2011</v>
      </c>
      <c r="D10543" t="n">
        <v>16.5643496174515</v>
      </c>
    </row>
    <row r="10544">
      <c r="A10544" t="inlineStr">
        <is>
          <t>Uganda</t>
        </is>
      </c>
      <c r="B10544" t="inlineStr">
        <is>
          <t>UGA</t>
        </is>
      </c>
      <c r="C10544" t="n">
        <v>2012</v>
      </c>
      <c r="D10544" t="n">
        <v>12.6790377224659</v>
      </c>
    </row>
    <row r="10545">
      <c r="A10545" t="inlineStr">
        <is>
          <t>Uganda</t>
        </is>
      </c>
      <c r="B10545" t="inlineStr">
        <is>
          <t>UGA</t>
        </is>
      </c>
      <c r="C10545" t="n">
        <v>2013</v>
      </c>
      <c r="D10545" t="n">
        <v>4.90520875694557</v>
      </c>
    </row>
    <row r="10546">
      <c r="A10546" t="inlineStr">
        <is>
          <t>Uganda</t>
        </is>
      </c>
      <c r="B10546" t="inlineStr">
        <is>
          <t>UGA</t>
        </is>
      </c>
      <c r="C10546" t="n">
        <v>2014</v>
      </c>
      <c r="D10546" t="n">
        <v>3.07570668958641</v>
      </c>
    </row>
    <row r="10547">
      <c r="A10547" t="inlineStr">
        <is>
          <t>Uganda</t>
        </is>
      </c>
      <c r="B10547" t="inlineStr">
        <is>
          <t>UGA</t>
        </is>
      </c>
      <c r="C10547" t="n">
        <v>2015</v>
      </c>
      <c r="D10547" t="n">
        <v>5.58968606251725</v>
      </c>
    </row>
    <row r="10548">
      <c r="A10548" t="inlineStr">
        <is>
          <t>Uganda</t>
        </is>
      </c>
      <c r="B10548" t="inlineStr">
        <is>
          <t>UGA</t>
        </is>
      </c>
      <c r="C10548" t="n">
        <v>2016</v>
      </c>
      <c r="D10548" t="n">
        <v>5.70637504616212</v>
      </c>
    </row>
    <row r="10549">
      <c r="A10549" t="inlineStr">
        <is>
          <t>Uganda</t>
        </is>
      </c>
      <c r="B10549" t="inlineStr">
        <is>
          <t>UGA</t>
        </is>
      </c>
      <c r="C10549" t="n">
        <v>2017</v>
      </c>
      <c r="D10549" t="n">
        <v>5.20971705914209</v>
      </c>
    </row>
    <row r="10550">
      <c r="A10550" t="inlineStr">
        <is>
          <t>Uganda</t>
        </is>
      </c>
      <c r="B10550" t="inlineStr">
        <is>
          <t>UGA</t>
        </is>
      </c>
      <c r="C10550" t="n">
        <v>2018</v>
      </c>
      <c r="D10550" t="n">
        <v>2.61601190952274</v>
      </c>
    </row>
    <row r="10551">
      <c r="A10551" t="inlineStr">
        <is>
          <t>Uganda</t>
        </is>
      </c>
      <c r="B10551" t="inlineStr">
        <is>
          <t>UGA</t>
        </is>
      </c>
      <c r="C10551" t="n">
        <v>2019</v>
      </c>
      <c r="D10551" t="n">
        <v>2.867588034469</v>
      </c>
    </row>
    <row r="10552">
      <c r="A10552" t="inlineStr">
        <is>
          <t>Uganda</t>
        </is>
      </c>
      <c r="B10552" t="inlineStr">
        <is>
          <t>UGA</t>
        </is>
      </c>
      <c r="C10552" t="n">
        <v>2020</v>
      </c>
      <c r="D10552" t="n">
        <v>3.31332289544502</v>
      </c>
    </row>
    <row r="10553">
      <c r="A10553" t="inlineStr">
        <is>
          <t>Uganda</t>
        </is>
      </c>
      <c r="B10553" t="inlineStr">
        <is>
          <t>UGA</t>
        </is>
      </c>
      <c r="C10553" t="n">
        <v>2021</v>
      </c>
      <c r="D10553" t="n">
        <v>2.20457204757414</v>
      </c>
    </row>
    <row r="10554">
      <c r="A10554" t="inlineStr">
        <is>
          <t>Uganda</t>
        </is>
      </c>
      <c r="B10554" t="inlineStr">
        <is>
          <t>UGA</t>
        </is>
      </c>
      <c r="C10554" t="n">
        <v>2022</v>
      </c>
      <c r="D10554" t="n">
        <v>7.1957888597581</v>
      </c>
    </row>
    <row r="10555">
      <c r="A10555" t="inlineStr">
        <is>
          <t>Uganda</t>
        </is>
      </c>
      <c r="B10555" t="inlineStr">
        <is>
          <t>UGA</t>
        </is>
      </c>
      <c r="C10555" t="n">
        <v>2023</v>
      </c>
      <c r="D10555" t="n">
        <v>5.35094804280395</v>
      </c>
    </row>
    <row r="10556">
      <c r="A10556" t="inlineStr">
        <is>
          <t>Uganda</t>
        </is>
      </c>
      <c r="B10556" t="inlineStr">
        <is>
          <t>UGA</t>
        </is>
      </c>
      <c r="C10556" t="n">
        <v>2024</v>
      </c>
      <c r="D10556" t="n">
        <v>3.3233806708656</v>
      </c>
    </row>
    <row r="10557">
      <c r="A10557" t="inlineStr">
        <is>
          <t>Ukraine</t>
        </is>
      </c>
      <c r="B10557" t="inlineStr">
        <is>
          <t>UKR</t>
        </is>
      </c>
      <c r="C10557" t="n">
        <v>1993</v>
      </c>
      <c r="D10557" t="n">
        <v>4734.91434744585</v>
      </c>
    </row>
    <row r="10558">
      <c r="A10558" t="inlineStr">
        <is>
          <t>Ukraine</t>
        </is>
      </c>
      <c r="B10558" t="inlineStr">
        <is>
          <t>UKR</t>
        </is>
      </c>
      <c r="C10558" t="n">
        <v>1994</v>
      </c>
      <c r="D10558" t="n">
        <v>891.187748133705</v>
      </c>
    </row>
    <row r="10559">
      <c r="A10559" t="inlineStr">
        <is>
          <t>Ukraine</t>
        </is>
      </c>
      <c r="B10559" t="inlineStr">
        <is>
          <t>UKR</t>
        </is>
      </c>
      <c r="C10559" t="n">
        <v>1995</v>
      </c>
      <c r="D10559" t="n">
        <v>376.746174768209</v>
      </c>
    </row>
    <row r="10560">
      <c r="A10560" t="inlineStr">
        <is>
          <t>Ukraine</t>
        </is>
      </c>
      <c r="B10560" t="inlineStr">
        <is>
          <t>UKR</t>
        </is>
      </c>
      <c r="C10560" t="n">
        <v>1996</v>
      </c>
      <c r="D10560" t="n">
        <v>80.32550145517421</v>
      </c>
    </row>
    <row r="10561">
      <c r="A10561" t="inlineStr">
        <is>
          <t>Ukraine</t>
        </is>
      </c>
      <c r="B10561" t="inlineStr">
        <is>
          <t>UKR</t>
        </is>
      </c>
      <c r="C10561" t="n">
        <v>1997</v>
      </c>
      <c r="D10561" t="n">
        <v>15.940599414943</v>
      </c>
    </row>
    <row r="10562">
      <c r="A10562" t="inlineStr">
        <is>
          <t>Ukraine</t>
        </is>
      </c>
      <c r="B10562" t="inlineStr">
        <is>
          <t>UKR</t>
        </is>
      </c>
      <c r="C10562" t="n">
        <v>1998</v>
      </c>
      <c r="D10562" t="n">
        <v>10.5771611482514</v>
      </c>
    </row>
    <row r="10563">
      <c r="A10563" t="inlineStr">
        <is>
          <t>Ukraine</t>
        </is>
      </c>
      <c r="B10563" t="inlineStr">
        <is>
          <t>UKR</t>
        </is>
      </c>
      <c r="C10563" t="n">
        <v>1999</v>
      </c>
      <c r="D10563" t="n">
        <v>22.6836718061345</v>
      </c>
    </row>
    <row r="10564">
      <c r="A10564" t="inlineStr">
        <is>
          <t>Ukraine</t>
        </is>
      </c>
      <c r="B10564" t="inlineStr">
        <is>
          <t>UKR</t>
        </is>
      </c>
      <c r="C10564" t="n">
        <v>2000</v>
      </c>
      <c r="D10564" t="n">
        <v>28.2030972388552</v>
      </c>
    </row>
    <row r="10565">
      <c r="A10565" t="inlineStr">
        <is>
          <t>Ukraine</t>
        </is>
      </c>
      <c r="B10565" t="inlineStr">
        <is>
          <t>UKR</t>
        </is>
      </c>
      <c r="C10565" t="n">
        <v>2001</v>
      </c>
      <c r="D10565" t="n">
        <v>11.9588085390459</v>
      </c>
    </row>
    <row r="10566">
      <c r="A10566" t="inlineStr">
        <is>
          <t>Ukraine</t>
        </is>
      </c>
      <c r="B10566" t="inlineStr">
        <is>
          <t>UKR</t>
        </is>
      </c>
      <c r="C10566" t="n">
        <v>2002</v>
      </c>
      <c r="D10566" t="n">
        <v>0.75742084639286</v>
      </c>
    </row>
    <row r="10567">
      <c r="A10567" t="inlineStr">
        <is>
          <t>Ukraine</t>
        </is>
      </c>
      <c r="B10567" t="inlineStr">
        <is>
          <t>UKR</t>
        </is>
      </c>
      <c r="C10567" t="n">
        <v>2003</v>
      </c>
      <c r="D10567" t="n">
        <v>5.17967781908315</v>
      </c>
    </row>
    <row r="10568">
      <c r="A10568" t="inlineStr">
        <is>
          <t>Ukraine</t>
        </is>
      </c>
      <c r="B10568" t="inlineStr">
        <is>
          <t>UKR</t>
        </is>
      </c>
      <c r="C10568" t="n">
        <v>2004</v>
      </c>
      <c r="D10568" t="n">
        <v>9.04806786050888</v>
      </c>
    </row>
    <row r="10569">
      <c r="A10569" t="inlineStr">
        <is>
          <t>Ukraine</t>
        </is>
      </c>
      <c r="B10569" t="inlineStr">
        <is>
          <t>UKR</t>
        </is>
      </c>
      <c r="C10569" t="n">
        <v>2005</v>
      </c>
      <c r="D10569" t="n">
        <v>13.5695764909248</v>
      </c>
    </row>
    <row r="10570">
      <c r="A10570" t="inlineStr">
        <is>
          <t>Ukraine</t>
        </is>
      </c>
      <c r="B10570" t="inlineStr">
        <is>
          <t>UKR</t>
        </is>
      </c>
      <c r="C10570" t="n">
        <v>2006</v>
      </c>
      <c r="D10570" t="n">
        <v>9.05252491133248</v>
      </c>
    </row>
    <row r="10571">
      <c r="A10571" t="inlineStr">
        <is>
          <t>Ukraine</t>
        </is>
      </c>
      <c r="B10571" t="inlineStr">
        <is>
          <t>UKR</t>
        </is>
      </c>
      <c r="C10571" t="n">
        <v>2007</v>
      </c>
      <c r="D10571" t="n">
        <v>12.8387796190181</v>
      </c>
    </row>
    <row r="10572">
      <c r="A10572" t="inlineStr">
        <is>
          <t>Ukraine</t>
        </is>
      </c>
      <c r="B10572" t="inlineStr">
        <is>
          <t>UKR</t>
        </is>
      </c>
      <c r="C10572" t="n">
        <v>2008</v>
      </c>
      <c r="D10572" t="n">
        <v>25.226461707384</v>
      </c>
    </row>
    <row r="10573">
      <c r="A10573" t="inlineStr">
        <is>
          <t>Ukraine</t>
        </is>
      </c>
      <c r="B10573" t="inlineStr">
        <is>
          <t>UKR</t>
        </is>
      </c>
      <c r="C10573" t="n">
        <v>2009</v>
      </c>
      <c r="D10573" t="n">
        <v>15.8811924594476</v>
      </c>
    </row>
    <row r="10574">
      <c r="A10574" t="inlineStr">
        <is>
          <t>Ukraine</t>
        </is>
      </c>
      <c r="B10574" t="inlineStr">
        <is>
          <t>UKR</t>
        </is>
      </c>
      <c r="C10574" t="n">
        <v>2010</v>
      </c>
      <c r="D10574" t="n">
        <v>9.372931050789781</v>
      </c>
    </row>
    <row r="10575">
      <c r="A10575" t="inlineStr">
        <is>
          <t>Ukraine</t>
        </is>
      </c>
      <c r="B10575" t="inlineStr">
        <is>
          <t>UKR</t>
        </is>
      </c>
      <c r="C10575" t="n">
        <v>2011</v>
      </c>
      <c r="D10575" t="n">
        <v>7.95572466274652</v>
      </c>
    </row>
    <row r="10576">
      <c r="A10576" t="inlineStr">
        <is>
          <t>Ukraine</t>
        </is>
      </c>
      <c r="B10576" t="inlineStr">
        <is>
          <t>UKR</t>
        </is>
      </c>
      <c r="C10576" t="n">
        <v>2012</v>
      </c>
      <c r="D10576" t="n">
        <v>0.568727971803862</v>
      </c>
    </row>
    <row r="10577">
      <c r="A10577" t="inlineStr">
        <is>
          <t>Ukraine</t>
        </is>
      </c>
      <c r="B10577" t="inlineStr">
        <is>
          <t>UKR</t>
        </is>
      </c>
      <c r="C10577" t="n">
        <v>2013</v>
      </c>
      <c r="D10577" t="n">
        <v>-0.238948626045407</v>
      </c>
    </row>
    <row r="10578">
      <c r="A10578" t="inlineStr">
        <is>
          <t>Ukraine</t>
        </is>
      </c>
      <c r="B10578" t="inlineStr">
        <is>
          <t>UKR</t>
        </is>
      </c>
      <c r="C10578" t="n">
        <v>2014</v>
      </c>
      <c r="D10578" t="n">
        <v>12.0718562874251</v>
      </c>
    </row>
    <row r="10579">
      <c r="A10579" t="inlineStr">
        <is>
          <t>Ukraine</t>
        </is>
      </c>
      <c r="B10579" t="inlineStr">
        <is>
          <t>UKR</t>
        </is>
      </c>
      <c r="C10579" t="n">
        <v>2015</v>
      </c>
      <c r="D10579" t="n">
        <v>48.6998646434424</v>
      </c>
    </row>
    <row r="10580">
      <c r="A10580" t="inlineStr">
        <is>
          <t>Ukraine</t>
        </is>
      </c>
      <c r="B10580" t="inlineStr">
        <is>
          <t>UKR</t>
        </is>
      </c>
      <c r="C10580" t="n">
        <v>2016</v>
      </c>
      <c r="D10580" t="n">
        <v>13.9127101997797</v>
      </c>
    </row>
    <row r="10581">
      <c r="A10581" t="inlineStr">
        <is>
          <t>Ukraine</t>
        </is>
      </c>
      <c r="B10581" t="inlineStr">
        <is>
          <t>UKR</t>
        </is>
      </c>
      <c r="C10581" t="n">
        <v>2017</v>
      </c>
      <c r="D10581" t="n">
        <v>14.4383227488749</v>
      </c>
    </row>
    <row r="10582">
      <c r="A10582" t="inlineStr">
        <is>
          <t>Ukraine</t>
        </is>
      </c>
      <c r="B10582" t="inlineStr">
        <is>
          <t>UKR</t>
        </is>
      </c>
      <c r="C10582" t="n">
        <v>2018</v>
      </c>
      <c r="D10582" t="n">
        <v>10.9518559353178</v>
      </c>
    </row>
    <row r="10583">
      <c r="A10583" t="inlineStr">
        <is>
          <t>Ukraine</t>
        </is>
      </c>
      <c r="B10583" t="inlineStr">
        <is>
          <t>UKR</t>
        </is>
      </c>
      <c r="C10583" t="n">
        <v>2019</v>
      </c>
      <c r="D10583" t="n">
        <v>7.88671745611133</v>
      </c>
    </row>
    <row r="10584">
      <c r="A10584" t="inlineStr">
        <is>
          <t>Ukraine</t>
        </is>
      </c>
      <c r="B10584" t="inlineStr">
        <is>
          <t>UKR</t>
        </is>
      </c>
      <c r="C10584" t="n">
        <v>2020</v>
      </c>
      <c r="D10584" t="n">
        <v>2.73249209419427</v>
      </c>
    </row>
    <row r="10585">
      <c r="A10585" t="inlineStr">
        <is>
          <t>Ukraine</t>
        </is>
      </c>
      <c r="B10585" t="inlineStr">
        <is>
          <t>UKR</t>
        </is>
      </c>
      <c r="C10585" t="n">
        <v>2021</v>
      </c>
      <c r="D10585" t="n">
        <v>9.363139176952229</v>
      </c>
    </row>
    <row r="10586">
      <c r="A10586" t="inlineStr">
        <is>
          <t>Ukraine</t>
        </is>
      </c>
      <c r="B10586" t="inlineStr">
        <is>
          <t>UKR</t>
        </is>
      </c>
      <c r="C10586" t="n">
        <v>2022</v>
      </c>
      <c r="D10586" t="n">
        <v>20.1836366617478</v>
      </c>
    </row>
    <row r="10587">
      <c r="A10587" t="inlineStr">
        <is>
          <t>Ukraine</t>
        </is>
      </c>
      <c r="B10587" t="inlineStr">
        <is>
          <t>UKR</t>
        </is>
      </c>
      <c r="C10587" t="n">
        <v>2023</v>
      </c>
      <c r="D10587" t="n">
        <v>12.8490222828559</v>
      </c>
    </row>
    <row r="10588">
      <c r="A10588" t="inlineStr">
        <is>
          <t>Ukraine</t>
        </is>
      </c>
      <c r="B10588" t="inlineStr">
        <is>
          <t>UKR</t>
        </is>
      </c>
      <c r="C10588" t="n">
        <v>2024</v>
      </c>
      <c r="D10588" t="n">
        <v>6.50198464669254</v>
      </c>
    </row>
    <row r="10589">
      <c r="A10589" t="inlineStr">
        <is>
          <t>Upper middle income</t>
        </is>
      </c>
      <c r="B10589" t="inlineStr">
        <is>
          <t>UMC</t>
        </is>
      </c>
      <c r="C10589" t="n">
        <v>1975</v>
      </c>
      <c r="D10589" t="n">
        <v>14.2896742946894</v>
      </c>
    </row>
    <row r="10590">
      <c r="A10590" t="inlineStr">
        <is>
          <t>Upper middle income</t>
        </is>
      </c>
      <c r="B10590" t="inlineStr">
        <is>
          <t>UMC</t>
        </is>
      </c>
      <c r="C10590" t="n">
        <v>1976</v>
      </c>
      <c r="D10590" t="n">
        <v>10.8137481327593</v>
      </c>
    </row>
    <row r="10591">
      <c r="A10591" t="inlineStr">
        <is>
          <t>Upper middle income</t>
        </is>
      </c>
      <c r="B10591" t="inlineStr">
        <is>
          <t>UMC</t>
        </is>
      </c>
      <c r="C10591" t="n">
        <v>1977</v>
      </c>
      <c r="D10591" t="n">
        <v>11.1910016370359</v>
      </c>
    </row>
    <row r="10592">
      <c r="A10592" t="inlineStr">
        <is>
          <t>Upper middle income</t>
        </is>
      </c>
      <c r="B10592" t="inlineStr">
        <is>
          <t>UMC</t>
        </is>
      </c>
      <c r="C10592" t="n">
        <v>1978</v>
      </c>
      <c r="D10592" t="n">
        <v>10.6602475929181</v>
      </c>
    </row>
    <row r="10593">
      <c r="A10593" t="inlineStr">
        <is>
          <t>Upper middle income</t>
        </is>
      </c>
      <c r="B10593" t="inlineStr">
        <is>
          <t>UMC</t>
        </is>
      </c>
      <c r="C10593" t="n">
        <v>1979</v>
      </c>
      <c r="D10593" t="n">
        <v>11.7362306367885</v>
      </c>
    </row>
    <row r="10594">
      <c r="A10594" t="inlineStr">
        <is>
          <t>Upper middle income</t>
        </is>
      </c>
      <c r="B10594" t="inlineStr">
        <is>
          <t>UMC</t>
        </is>
      </c>
      <c r="C10594" t="n">
        <v>1980</v>
      </c>
      <c r="D10594" t="n">
        <v>18.0354301616893</v>
      </c>
    </row>
    <row r="10595">
      <c r="A10595" t="inlineStr">
        <is>
          <t>Upper middle income</t>
        </is>
      </c>
      <c r="B10595" t="inlineStr">
        <is>
          <t>UMC</t>
        </is>
      </c>
      <c r="C10595" t="n">
        <v>1981</v>
      </c>
      <c r="D10595" t="n">
        <v>14.2547798730487</v>
      </c>
    </row>
    <row r="10596">
      <c r="A10596" t="inlineStr">
        <is>
          <t>Upper middle income</t>
        </is>
      </c>
      <c r="B10596" t="inlineStr">
        <is>
          <t>UMC</t>
        </is>
      </c>
      <c r="C10596" t="n">
        <v>1982</v>
      </c>
      <c r="D10596" t="n">
        <v>9.85211640458146</v>
      </c>
    </row>
    <row r="10597">
      <c r="A10597" t="inlineStr">
        <is>
          <t>Upper middle income</t>
        </is>
      </c>
      <c r="B10597" t="inlineStr">
        <is>
          <t>UMC</t>
        </is>
      </c>
      <c r="C10597" t="n">
        <v>1983</v>
      </c>
      <c r="D10597" t="n">
        <v>10.5411737152167</v>
      </c>
    </row>
    <row r="10598">
      <c r="A10598" t="inlineStr">
        <is>
          <t>Upper middle income</t>
        </is>
      </c>
      <c r="B10598" t="inlineStr">
        <is>
          <t>UMC</t>
        </is>
      </c>
      <c r="C10598" t="n">
        <v>1984</v>
      </c>
      <c r="D10598" t="n">
        <v>9.51625193285453</v>
      </c>
    </row>
    <row r="10599">
      <c r="A10599" t="inlineStr">
        <is>
          <t>Upper middle income</t>
        </is>
      </c>
      <c r="B10599" t="inlineStr">
        <is>
          <t>UMC</t>
        </is>
      </c>
      <c r="C10599" t="n">
        <v>1985</v>
      </c>
      <c r="D10599" t="n">
        <v>10.674120014283</v>
      </c>
    </row>
    <row r="10600">
      <c r="A10600" t="inlineStr">
        <is>
          <t>Upper middle income</t>
        </is>
      </c>
      <c r="B10600" t="inlineStr">
        <is>
          <t>UMC</t>
        </is>
      </c>
      <c r="C10600" t="n">
        <v>1986</v>
      </c>
      <c r="D10600" t="n">
        <v>10.9183887271061</v>
      </c>
    </row>
    <row r="10601">
      <c r="A10601" t="inlineStr">
        <is>
          <t>Upper middle income</t>
        </is>
      </c>
      <c r="B10601" t="inlineStr">
        <is>
          <t>UMC</t>
        </is>
      </c>
      <c r="C10601" t="n">
        <v>1987</v>
      </c>
      <c r="D10601" t="n">
        <v>9.278656131615881</v>
      </c>
    </row>
    <row r="10602">
      <c r="A10602" t="inlineStr">
        <is>
          <t>Upper middle income</t>
        </is>
      </c>
      <c r="B10602" t="inlineStr">
        <is>
          <t>UMC</t>
        </is>
      </c>
      <c r="C10602" t="n">
        <v>1988</v>
      </c>
      <c r="D10602" t="n">
        <v>9.159314133510589</v>
      </c>
    </row>
    <row r="10603">
      <c r="A10603" t="inlineStr">
        <is>
          <t>Upper middle income</t>
        </is>
      </c>
      <c r="B10603" t="inlineStr">
        <is>
          <t>UMC</t>
        </is>
      </c>
      <c r="C10603" t="n">
        <v>1989</v>
      </c>
      <c r="D10603" t="n">
        <v>11.3871321997957</v>
      </c>
    </row>
    <row r="10604">
      <c r="A10604" t="inlineStr">
        <is>
          <t>Upper middle income</t>
        </is>
      </c>
      <c r="B10604" t="inlineStr">
        <is>
          <t>UMC</t>
        </is>
      </c>
      <c r="C10604" t="n">
        <v>1990</v>
      </c>
      <c r="D10604" t="n">
        <v>11.3963461199556</v>
      </c>
    </row>
    <row r="10605">
      <c r="A10605" t="inlineStr">
        <is>
          <t>Upper middle income</t>
        </is>
      </c>
      <c r="B10605" t="inlineStr">
        <is>
          <t>UMC</t>
        </is>
      </c>
      <c r="C10605" t="n">
        <v>1991</v>
      </c>
      <c r="D10605" t="n">
        <v>14.55817595445</v>
      </c>
    </row>
    <row r="10606">
      <c r="A10606" t="inlineStr">
        <is>
          <t>Upper middle income</t>
        </is>
      </c>
      <c r="B10606" t="inlineStr">
        <is>
          <t>UMC</t>
        </is>
      </c>
      <c r="C10606" t="n">
        <v>1992</v>
      </c>
      <c r="D10606" t="n">
        <v>11.2144813801987</v>
      </c>
    </row>
    <row r="10607">
      <c r="A10607" t="inlineStr">
        <is>
          <t>Upper middle income</t>
        </is>
      </c>
      <c r="B10607" t="inlineStr">
        <is>
          <t>UMC</t>
        </is>
      </c>
      <c r="C10607" t="n">
        <v>1993</v>
      </c>
      <c r="D10607" t="n">
        <v>14.4704409861245</v>
      </c>
    </row>
    <row r="10608">
      <c r="A10608" t="inlineStr">
        <is>
          <t>Upper middle income</t>
        </is>
      </c>
      <c r="B10608" t="inlineStr">
        <is>
          <t>UMC</t>
        </is>
      </c>
      <c r="C10608" t="n">
        <v>1994</v>
      </c>
      <c r="D10608" t="n">
        <v>22.5650526933696</v>
      </c>
    </row>
    <row r="10609">
      <c r="A10609" t="inlineStr">
        <is>
          <t>Upper middle income</t>
        </is>
      </c>
      <c r="B10609" t="inlineStr">
        <is>
          <t>UMC</t>
        </is>
      </c>
      <c r="C10609" t="n">
        <v>1995</v>
      </c>
      <c r="D10609" t="n">
        <v>13.4254143646407</v>
      </c>
    </row>
    <row r="10610">
      <c r="A10610" t="inlineStr">
        <is>
          <t>Upper middle income</t>
        </is>
      </c>
      <c r="B10610" t="inlineStr">
        <is>
          <t>UMC</t>
        </is>
      </c>
      <c r="C10610" t="n">
        <v>1996</v>
      </c>
      <c r="D10610" t="n">
        <v>9.79968339016083</v>
      </c>
    </row>
    <row r="10611">
      <c r="A10611" t="inlineStr">
        <is>
          <t>Upper middle income</t>
        </is>
      </c>
      <c r="B10611" t="inlineStr">
        <is>
          <t>UMC</t>
        </is>
      </c>
      <c r="C10611" t="n">
        <v>1997</v>
      </c>
      <c r="D10611" t="n">
        <v>7.14511160883929</v>
      </c>
    </row>
    <row r="10612">
      <c r="A10612" t="inlineStr">
        <is>
          <t>Upper middle income</t>
        </is>
      </c>
      <c r="B10612" t="inlineStr">
        <is>
          <t>UMC</t>
        </is>
      </c>
      <c r="C10612" t="n">
        <v>1998</v>
      </c>
      <c r="D10612" t="n">
        <v>6.88054521037351</v>
      </c>
    </row>
    <row r="10613">
      <c r="A10613" t="inlineStr">
        <is>
          <t>Upper middle income</t>
        </is>
      </c>
      <c r="B10613" t="inlineStr">
        <is>
          <t>UMC</t>
        </is>
      </c>
      <c r="C10613" t="n">
        <v>1999</v>
      </c>
      <c r="D10613" t="n">
        <v>5.18148905111697</v>
      </c>
    </row>
    <row r="10614">
      <c r="A10614" t="inlineStr">
        <is>
          <t>Upper middle income</t>
        </is>
      </c>
      <c r="B10614" t="inlineStr">
        <is>
          <t>UMC</t>
        </is>
      </c>
      <c r="C10614" t="n">
        <v>2000</v>
      </c>
      <c r="D10614" t="n">
        <v>4.97896213183735</v>
      </c>
    </row>
    <row r="10615">
      <c r="A10615" t="inlineStr">
        <is>
          <t>Upper middle income</t>
        </is>
      </c>
      <c r="B10615" t="inlineStr">
        <is>
          <t>UMC</t>
        </is>
      </c>
      <c r="C10615" t="n">
        <v>2001</v>
      </c>
      <c r="D10615" t="n">
        <v>6.27736020484006</v>
      </c>
    </row>
    <row r="10616">
      <c r="A10616" t="inlineStr">
        <is>
          <t>Upper middle income</t>
        </is>
      </c>
      <c r="B10616" t="inlineStr">
        <is>
          <t>UMC</t>
        </is>
      </c>
      <c r="C10616" t="n">
        <v>2002</v>
      </c>
      <c r="D10616" t="n">
        <v>5.30124390261593</v>
      </c>
    </row>
    <row r="10617">
      <c r="A10617" t="inlineStr">
        <is>
          <t>Upper middle income</t>
        </is>
      </c>
      <c r="B10617" t="inlineStr">
        <is>
          <t>UMC</t>
        </is>
      </c>
      <c r="C10617" t="n">
        <v>2003</v>
      </c>
      <c r="D10617" t="n">
        <v>5.12899499422417</v>
      </c>
    </row>
    <row r="10618">
      <c r="A10618" t="inlineStr">
        <is>
          <t>Upper middle income</t>
        </is>
      </c>
      <c r="B10618" t="inlineStr">
        <is>
          <t>UMC</t>
        </is>
      </c>
      <c r="C10618" t="n">
        <v>2004</v>
      </c>
      <c r="D10618" t="n">
        <v>4.71037060105879</v>
      </c>
    </row>
    <row r="10619">
      <c r="A10619" t="inlineStr">
        <is>
          <t>Upper middle income</t>
        </is>
      </c>
      <c r="B10619" t="inlineStr">
        <is>
          <t>UMC</t>
        </is>
      </c>
      <c r="C10619" t="n">
        <v>2005</v>
      </c>
      <c r="D10619" t="n">
        <v>4.69094870903769</v>
      </c>
    </row>
    <row r="10620">
      <c r="A10620" t="inlineStr">
        <is>
          <t>Upper middle income</t>
        </is>
      </c>
      <c r="B10620" t="inlineStr">
        <is>
          <t>UMC</t>
        </is>
      </c>
      <c r="C10620" t="n">
        <v>2006</v>
      </c>
      <c r="D10620" t="n">
        <v>4.41589984169561</v>
      </c>
    </row>
    <row r="10621">
      <c r="A10621" t="inlineStr">
        <is>
          <t>Upper middle income</t>
        </is>
      </c>
      <c r="B10621" t="inlineStr">
        <is>
          <t>UMC</t>
        </is>
      </c>
      <c r="C10621" t="n">
        <v>2007</v>
      </c>
      <c r="D10621" t="n">
        <v>5.84224874901387</v>
      </c>
    </row>
    <row r="10622">
      <c r="A10622" t="inlineStr">
        <is>
          <t>Upper middle income</t>
        </is>
      </c>
      <c r="B10622" t="inlineStr">
        <is>
          <t>UMC</t>
        </is>
      </c>
      <c r="C10622" t="n">
        <v>2008</v>
      </c>
      <c r="D10622" t="n">
        <v>9.732283171468829</v>
      </c>
    </row>
    <row r="10623">
      <c r="A10623" t="inlineStr">
        <is>
          <t>Upper middle income</t>
        </is>
      </c>
      <c r="B10623" t="inlineStr">
        <is>
          <t>UMC</t>
        </is>
      </c>
      <c r="C10623" t="n">
        <v>2009</v>
      </c>
      <c r="D10623" t="n">
        <v>2.936231535967</v>
      </c>
    </row>
    <row r="10624">
      <c r="A10624" t="inlineStr">
        <is>
          <t>Upper middle income</t>
        </is>
      </c>
      <c r="B10624" t="inlineStr">
        <is>
          <t>UMC</t>
        </is>
      </c>
      <c r="C10624" t="n">
        <v>2010</v>
      </c>
      <c r="D10624" t="n">
        <v>3.91106195534028</v>
      </c>
    </row>
    <row r="10625">
      <c r="A10625" t="inlineStr">
        <is>
          <t>Upper middle income</t>
        </is>
      </c>
      <c r="B10625" t="inlineStr">
        <is>
          <t>UMC</t>
        </is>
      </c>
      <c r="C10625" t="n">
        <v>2011</v>
      </c>
      <c r="D10625" t="n">
        <v>5.67533350732013</v>
      </c>
    </row>
    <row r="10626">
      <c r="A10626" t="inlineStr">
        <is>
          <t>Upper middle income</t>
        </is>
      </c>
      <c r="B10626" t="inlineStr">
        <is>
          <t>UMC</t>
        </is>
      </c>
      <c r="C10626" t="n">
        <v>2012</v>
      </c>
      <c r="D10626" t="n">
        <v>3.78180754679678</v>
      </c>
    </row>
    <row r="10627">
      <c r="A10627" t="inlineStr">
        <is>
          <t>Upper middle income</t>
        </is>
      </c>
      <c r="B10627" t="inlineStr">
        <is>
          <t>UMC</t>
        </is>
      </c>
      <c r="C10627" t="n">
        <v>2013</v>
      </c>
      <c r="D10627" t="n">
        <v>2.76789666082002</v>
      </c>
    </row>
    <row r="10628">
      <c r="A10628" t="inlineStr">
        <is>
          <t>Upper middle income</t>
        </is>
      </c>
      <c r="B10628" t="inlineStr">
        <is>
          <t>UMC</t>
        </is>
      </c>
      <c r="C10628" t="n">
        <v>2014</v>
      </c>
      <c r="D10628" t="n">
        <v>3.14299050879095</v>
      </c>
    </row>
    <row r="10629">
      <c r="A10629" t="inlineStr">
        <is>
          <t>Upper middle income</t>
        </is>
      </c>
      <c r="B10629" t="inlineStr">
        <is>
          <t>UMC</t>
        </is>
      </c>
      <c r="C10629" t="n">
        <v>2015</v>
      </c>
      <c r="D10629" t="n">
        <v>2.72064064964023</v>
      </c>
    </row>
    <row r="10630">
      <c r="A10630" t="inlineStr">
        <is>
          <t>Upper middle income</t>
        </is>
      </c>
      <c r="B10630" t="inlineStr">
        <is>
          <t>UMC</t>
        </is>
      </c>
      <c r="C10630" t="n">
        <v>2016</v>
      </c>
      <c r="D10630" t="n">
        <v>2.10670712784054</v>
      </c>
    </row>
    <row r="10631">
      <c r="A10631" t="inlineStr">
        <is>
          <t>Upper middle income</t>
        </is>
      </c>
      <c r="B10631" t="inlineStr">
        <is>
          <t>UMC</t>
        </is>
      </c>
      <c r="C10631" t="n">
        <v>2017</v>
      </c>
      <c r="D10631" t="n">
        <v>3.3475783475784</v>
      </c>
    </row>
    <row r="10632">
      <c r="A10632" t="inlineStr">
        <is>
          <t>Upper middle income</t>
        </is>
      </c>
      <c r="B10632" t="inlineStr">
        <is>
          <t>UMC</t>
        </is>
      </c>
      <c r="C10632" t="n">
        <v>2018</v>
      </c>
      <c r="D10632" t="n">
        <v>2.83014934367364</v>
      </c>
    </row>
    <row r="10633">
      <c r="A10633" t="inlineStr">
        <is>
          <t>Upper middle income</t>
        </is>
      </c>
      <c r="B10633" t="inlineStr">
        <is>
          <t>UMC</t>
        </is>
      </c>
      <c r="C10633" t="n">
        <v>2019</v>
      </c>
      <c r="D10633" t="n">
        <v>2.0239072819035</v>
      </c>
    </row>
    <row r="10634">
      <c r="A10634" t="inlineStr">
        <is>
          <t>Upper middle income</t>
        </is>
      </c>
      <c r="B10634" t="inlineStr">
        <is>
          <t>UMC</t>
        </is>
      </c>
      <c r="C10634" t="n">
        <v>2020</v>
      </c>
      <c r="D10634" t="n">
        <v>1.8903591682421</v>
      </c>
    </row>
    <row r="10635">
      <c r="A10635" t="inlineStr">
        <is>
          <t>Upper middle income</t>
        </is>
      </c>
      <c r="B10635" t="inlineStr">
        <is>
          <t>UMC</t>
        </is>
      </c>
      <c r="C10635" t="n">
        <v>2021</v>
      </c>
      <c r="D10635" t="n">
        <v>4.02852888157383</v>
      </c>
    </row>
    <row r="10636">
      <c r="A10636" t="inlineStr">
        <is>
          <t>Upper middle income</t>
        </is>
      </c>
      <c r="B10636" t="inlineStr">
        <is>
          <t>UMC</t>
        </is>
      </c>
      <c r="C10636" t="n">
        <v>2022</v>
      </c>
      <c r="D10636" t="n">
        <v>8.64091108973855</v>
      </c>
    </row>
    <row r="10637">
      <c r="A10637" t="inlineStr">
        <is>
          <t>Upper middle income</t>
        </is>
      </c>
      <c r="B10637" t="inlineStr">
        <is>
          <t>UMC</t>
        </is>
      </c>
      <c r="C10637" t="n">
        <v>2023</v>
      </c>
      <c r="D10637" t="n">
        <v>4.97246170941296</v>
      </c>
    </row>
    <row r="10638">
      <c r="A10638" t="inlineStr">
        <is>
          <t>Uruguay</t>
        </is>
      </c>
      <c r="B10638" t="inlineStr">
        <is>
          <t>URY</t>
        </is>
      </c>
      <c r="C10638" t="n">
        <v>1960</v>
      </c>
      <c r="D10638" t="n">
        <v>38.5040374002647</v>
      </c>
    </row>
    <row r="10639">
      <c r="A10639" t="inlineStr">
        <is>
          <t>Uruguay</t>
        </is>
      </c>
      <c r="B10639" t="inlineStr">
        <is>
          <t>URY</t>
        </is>
      </c>
      <c r="C10639" t="n">
        <v>1961</v>
      </c>
      <c r="D10639" t="n">
        <v>22.747263986796</v>
      </c>
    </row>
    <row r="10640">
      <c r="A10640" t="inlineStr">
        <is>
          <t>Uruguay</t>
        </is>
      </c>
      <c r="B10640" t="inlineStr">
        <is>
          <t>URY</t>
        </is>
      </c>
      <c r="C10640" t="n">
        <v>1962</v>
      </c>
      <c r="D10640" t="n">
        <v>10.9074243811899</v>
      </c>
    </row>
    <row r="10641">
      <c r="A10641" t="inlineStr">
        <is>
          <t>Uruguay</t>
        </is>
      </c>
      <c r="B10641" t="inlineStr">
        <is>
          <t>URY</t>
        </is>
      </c>
      <c r="C10641" t="n">
        <v>1963</v>
      </c>
      <c r="D10641" t="n">
        <v>21.2546957175585</v>
      </c>
    </row>
    <row r="10642">
      <c r="A10642" t="inlineStr">
        <is>
          <t>Uruguay</t>
        </is>
      </c>
      <c r="B10642" t="inlineStr">
        <is>
          <t>URY</t>
        </is>
      </c>
      <c r="C10642" t="n">
        <v>1964</v>
      </c>
      <c r="D10642" t="n">
        <v>42.3694157015186</v>
      </c>
    </row>
    <row r="10643">
      <c r="A10643" t="inlineStr">
        <is>
          <t>Uruguay</t>
        </is>
      </c>
      <c r="B10643" t="inlineStr">
        <is>
          <t>URY</t>
        </is>
      </c>
      <c r="C10643" t="n">
        <v>1965</v>
      </c>
      <c r="D10643" t="n">
        <v>56.5565565566607</v>
      </c>
    </row>
    <row r="10644">
      <c r="A10644" t="inlineStr">
        <is>
          <t>Uruguay</t>
        </is>
      </c>
      <c r="B10644" t="inlineStr">
        <is>
          <t>URY</t>
        </is>
      </c>
      <c r="C10644" t="n">
        <v>1966</v>
      </c>
      <c r="D10644" t="n">
        <v>73.4626932061085</v>
      </c>
    </row>
    <row r="10645">
      <c r="A10645" t="inlineStr">
        <is>
          <t>Uruguay</t>
        </is>
      </c>
      <c r="B10645" t="inlineStr">
        <is>
          <t>URY</t>
        </is>
      </c>
      <c r="C10645" t="n">
        <v>1967</v>
      </c>
      <c r="D10645" t="n">
        <v>89.27529728503789</v>
      </c>
    </row>
    <row r="10646">
      <c r="A10646" t="inlineStr">
        <is>
          <t>Uruguay</t>
        </is>
      </c>
      <c r="B10646" t="inlineStr">
        <is>
          <t>URY</t>
        </is>
      </c>
      <c r="C10646" t="n">
        <v>1968</v>
      </c>
      <c r="D10646" t="n">
        <v>125.336991126492</v>
      </c>
    </row>
    <row r="10647">
      <c r="A10647" t="inlineStr">
        <is>
          <t>Uruguay</t>
        </is>
      </c>
      <c r="B10647" t="inlineStr">
        <is>
          <t>URY</t>
        </is>
      </c>
      <c r="C10647" t="n">
        <v>1969</v>
      </c>
      <c r="D10647" t="n">
        <v>20.9666666659998</v>
      </c>
    </row>
    <row r="10648">
      <c r="A10648" t="inlineStr">
        <is>
          <t>Uruguay</t>
        </is>
      </c>
      <c r="B10648" t="inlineStr">
        <is>
          <t>URY</t>
        </is>
      </c>
      <c r="C10648" t="n">
        <v>1970</v>
      </c>
      <c r="D10648" t="n">
        <v>16.3061449435998</v>
      </c>
    </row>
    <row r="10649">
      <c r="A10649" t="inlineStr">
        <is>
          <t>Uruguay</t>
        </is>
      </c>
      <c r="B10649" t="inlineStr">
        <is>
          <t>URY</t>
        </is>
      </c>
      <c r="C10649" t="n">
        <v>1971</v>
      </c>
      <c r="D10649" t="n">
        <v>23.9530889061731</v>
      </c>
    </row>
    <row r="10650">
      <c r="A10650" t="inlineStr">
        <is>
          <t>Uruguay</t>
        </is>
      </c>
      <c r="B10650" t="inlineStr">
        <is>
          <t>URY</t>
        </is>
      </c>
      <c r="C10650" t="n">
        <v>1972</v>
      </c>
      <c r="D10650" t="n">
        <v>76.4849237828812</v>
      </c>
    </row>
    <row r="10651">
      <c r="A10651" t="inlineStr">
        <is>
          <t>Uruguay</t>
        </is>
      </c>
      <c r="B10651" t="inlineStr">
        <is>
          <t>URY</t>
        </is>
      </c>
      <c r="C10651" t="n">
        <v>1973</v>
      </c>
      <c r="D10651" t="n">
        <v>96.9972653187058</v>
      </c>
    </row>
    <row r="10652">
      <c r="A10652" t="inlineStr">
        <is>
          <t>Uruguay</t>
        </is>
      </c>
      <c r="B10652" t="inlineStr">
        <is>
          <t>URY</t>
        </is>
      </c>
      <c r="C10652" t="n">
        <v>1974</v>
      </c>
      <c r="D10652" t="n">
        <v>77.21341377920101</v>
      </c>
    </row>
    <row r="10653">
      <c r="A10653" t="inlineStr">
        <is>
          <t>Uruguay</t>
        </is>
      </c>
      <c r="B10653" t="inlineStr">
        <is>
          <t>URY</t>
        </is>
      </c>
      <c r="C10653" t="n">
        <v>1975</v>
      </c>
      <c r="D10653" t="n">
        <v>81.4053840067419</v>
      </c>
    </row>
    <row r="10654">
      <c r="A10654" t="inlineStr">
        <is>
          <t>Uruguay</t>
        </is>
      </c>
      <c r="B10654" t="inlineStr">
        <is>
          <t>URY</t>
        </is>
      </c>
      <c r="C10654" t="n">
        <v>1976</v>
      </c>
      <c r="D10654" t="n">
        <v>50.623049560462</v>
      </c>
    </row>
    <row r="10655">
      <c r="A10655" t="inlineStr">
        <is>
          <t>Uruguay</t>
        </is>
      </c>
      <c r="B10655" t="inlineStr">
        <is>
          <t>URY</t>
        </is>
      </c>
      <c r="C10655" t="n">
        <v>1977</v>
      </c>
      <c r="D10655" t="n">
        <v>58.1961750215737</v>
      </c>
    </row>
    <row r="10656">
      <c r="A10656" t="inlineStr">
        <is>
          <t>Uruguay</t>
        </is>
      </c>
      <c r="B10656" t="inlineStr">
        <is>
          <t>URY</t>
        </is>
      </c>
      <c r="C10656" t="n">
        <v>1978</v>
      </c>
      <c r="D10656" t="n">
        <v>44.5483436672392</v>
      </c>
    </row>
    <row r="10657">
      <c r="A10657" t="inlineStr">
        <is>
          <t>Uruguay</t>
        </is>
      </c>
      <c r="B10657" t="inlineStr">
        <is>
          <t>URY</t>
        </is>
      </c>
      <c r="C10657" t="n">
        <v>1979</v>
      </c>
      <c r="D10657" t="n">
        <v>66.8442861850437</v>
      </c>
    </row>
    <row r="10658">
      <c r="A10658" t="inlineStr">
        <is>
          <t>Uruguay</t>
        </is>
      </c>
      <c r="B10658" t="inlineStr">
        <is>
          <t>URY</t>
        </is>
      </c>
      <c r="C10658" t="n">
        <v>1980</v>
      </c>
      <c r="D10658" t="n">
        <v>63.4758304314673</v>
      </c>
    </row>
    <row r="10659">
      <c r="A10659" t="inlineStr">
        <is>
          <t>Uruguay</t>
        </is>
      </c>
      <c r="B10659" t="inlineStr">
        <is>
          <t>URY</t>
        </is>
      </c>
      <c r="C10659" t="n">
        <v>1981</v>
      </c>
      <c r="D10659" t="n">
        <v>34.0453358609474</v>
      </c>
    </row>
    <row r="10660">
      <c r="A10660" t="inlineStr">
        <is>
          <t>Uruguay</t>
        </is>
      </c>
      <c r="B10660" t="inlineStr">
        <is>
          <t>URY</t>
        </is>
      </c>
      <c r="C10660" t="n">
        <v>1982</v>
      </c>
      <c r="D10660" t="n">
        <v>18.9925012952182</v>
      </c>
    </row>
    <row r="10661">
      <c r="A10661" t="inlineStr">
        <is>
          <t>Uruguay</t>
        </is>
      </c>
      <c r="B10661" t="inlineStr">
        <is>
          <t>URY</t>
        </is>
      </c>
      <c r="C10661" t="n">
        <v>1983</v>
      </c>
      <c r="D10661" t="n">
        <v>49.1973796505637</v>
      </c>
    </row>
    <row r="10662">
      <c r="A10662" t="inlineStr">
        <is>
          <t>Uruguay</t>
        </is>
      </c>
      <c r="B10662" t="inlineStr">
        <is>
          <t>URY</t>
        </is>
      </c>
      <c r="C10662" t="n">
        <v>1984</v>
      </c>
      <c r="D10662" t="n">
        <v>55.3044235418763</v>
      </c>
    </row>
    <row r="10663">
      <c r="A10663" t="inlineStr">
        <is>
          <t>Uruguay</t>
        </is>
      </c>
      <c r="B10663" t="inlineStr">
        <is>
          <t>URY</t>
        </is>
      </c>
      <c r="C10663" t="n">
        <v>1985</v>
      </c>
      <c r="D10663" t="n">
        <v>72.2225644287756</v>
      </c>
    </row>
    <row r="10664">
      <c r="A10664" t="inlineStr">
        <is>
          <t>Uruguay</t>
        </is>
      </c>
      <c r="B10664" t="inlineStr">
        <is>
          <t>URY</t>
        </is>
      </c>
      <c r="C10664" t="n">
        <v>1986</v>
      </c>
      <c r="D10664" t="n">
        <v>76.3806364119544</v>
      </c>
    </row>
    <row r="10665">
      <c r="A10665" t="inlineStr">
        <is>
          <t>Uruguay</t>
        </is>
      </c>
      <c r="B10665" t="inlineStr">
        <is>
          <t>URY</t>
        </is>
      </c>
      <c r="C10665" t="n">
        <v>1987</v>
      </c>
      <c r="D10665" t="n">
        <v>63.5666624326724</v>
      </c>
    </row>
    <row r="10666">
      <c r="A10666" t="inlineStr">
        <is>
          <t>Uruguay</t>
        </is>
      </c>
      <c r="B10666" t="inlineStr">
        <is>
          <t>URY</t>
        </is>
      </c>
      <c r="C10666" t="n">
        <v>1988</v>
      </c>
      <c r="D10666" t="n">
        <v>62.1919564596004</v>
      </c>
    </row>
    <row r="10667">
      <c r="A10667" t="inlineStr">
        <is>
          <t>Uruguay</t>
        </is>
      </c>
      <c r="B10667" t="inlineStr">
        <is>
          <t>URY</t>
        </is>
      </c>
      <c r="C10667" t="n">
        <v>1989</v>
      </c>
      <c r="D10667" t="n">
        <v>80.4474367280735</v>
      </c>
    </row>
    <row r="10668">
      <c r="A10668" t="inlineStr">
        <is>
          <t>Uruguay</t>
        </is>
      </c>
      <c r="B10668" t="inlineStr">
        <is>
          <t>URY</t>
        </is>
      </c>
      <c r="C10668" t="n">
        <v>1990</v>
      </c>
      <c r="D10668" t="n">
        <v>112.525905573023</v>
      </c>
    </row>
    <row r="10669">
      <c r="A10669" t="inlineStr">
        <is>
          <t>Uruguay</t>
        </is>
      </c>
      <c r="B10669" t="inlineStr">
        <is>
          <t>URY</t>
        </is>
      </c>
      <c r="C10669" t="n">
        <v>1991</v>
      </c>
      <c r="D10669" t="n">
        <v>101.971683202507</v>
      </c>
    </row>
    <row r="10670">
      <c r="A10670" t="inlineStr">
        <is>
          <t>Uruguay</t>
        </is>
      </c>
      <c r="B10670" t="inlineStr">
        <is>
          <t>URY</t>
        </is>
      </c>
      <c r="C10670" t="n">
        <v>1992</v>
      </c>
      <c r="D10670" t="n">
        <v>68.45919383953741</v>
      </c>
    </row>
    <row r="10671">
      <c r="A10671" t="inlineStr">
        <is>
          <t>Uruguay</t>
        </is>
      </c>
      <c r="B10671" t="inlineStr">
        <is>
          <t>URY</t>
        </is>
      </c>
      <c r="C10671" t="n">
        <v>1993</v>
      </c>
      <c r="D10671" t="n">
        <v>54.1007924425194</v>
      </c>
    </row>
    <row r="10672">
      <c r="A10672" t="inlineStr">
        <is>
          <t>Uruguay</t>
        </is>
      </c>
      <c r="B10672" t="inlineStr">
        <is>
          <t>URY</t>
        </is>
      </c>
      <c r="C10672" t="n">
        <v>1994</v>
      </c>
      <c r="D10672" t="n">
        <v>44.7360421521933</v>
      </c>
    </row>
    <row r="10673">
      <c r="A10673" t="inlineStr">
        <is>
          <t>Uruguay</t>
        </is>
      </c>
      <c r="B10673" t="inlineStr">
        <is>
          <t>URY</t>
        </is>
      </c>
      <c r="C10673" t="n">
        <v>1995</v>
      </c>
      <c r="D10673" t="n">
        <v>42.2483197983755</v>
      </c>
    </row>
    <row r="10674">
      <c r="A10674" t="inlineStr">
        <is>
          <t>Uruguay</t>
        </is>
      </c>
      <c r="B10674" t="inlineStr">
        <is>
          <t>URY</t>
        </is>
      </c>
      <c r="C10674" t="n">
        <v>1996</v>
      </c>
      <c r="D10674" t="n">
        <v>28.3420486004309</v>
      </c>
    </row>
    <row r="10675">
      <c r="A10675" t="inlineStr">
        <is>
          <t>Uruguay</t>
        </is>
      </c>
      <c r="B10675" t="inlineStr">
        <is>
          <t>URY</t>
        </is>
      </c>
      <c r="C10675" t="n">
        <v>1997</v>
      </c>
      <c r="D10675" t="n">
        <v>19.8188093183779</v>
      </c>
    </row>
    <row r="10676">
      <c r="A10676" t="inlineStr">
        <is>
          <t>Uruguay</t>
        </is>
      </c>
      <c r="B10676" t="inlineStr">
        <is>
          <t>URY</t>
        </is>
      </c>
      <c r="C10676" t="n">
        <v>1998</v>
      </c>
      <c r="D10676" t="n">
        <v>10.8110703055616</v>
      </c>
    </row>
    <row r="10677">
      <c r="A10677" t="inlineStr">
        <is>
          <t>Uruguay</t>
        </is>
      </c>
      <c r="B10677" t="inlineStr">
        <is>
          <t>URY</t>
        </is>
      </c>
      <c r="C10677" t="n">
        <v>1999</v>
      </c>
      <c r="D10677" t="n">
        <v>5.65868803927908</v>
      </c>
    </row>
    <row r="10678">
      <c r="A10678" t="inlineStr">
        <is>
          <t>Uruguay</t>
        </is>
      </c>
      <c r="B10678" t="inlineStr">
        <is>
          <t>URY</t>
        </is>
      </c>
      <c r="C10678" t="n">
        <v>2000</v>
      </c>
      <c r="D10678" t="n">
        <v>4.76382472733251</v>
      </c>
    </row>
    <row r="10679">
      <c r="A10679" t="inlineStr">
        <is>
          <t>Uruguay</t>
        </is>
      </c>
      <c r="B10679" t="inlineStr">
        <is>
          <t>URY</t>
        </is>
      </c>
      <c r="C10679" t="n">
        <v>2001</v>
      </c>
      <c r="D10679" t="n">
        <v>4.3593406521727</v>
      </c>
    </row>
    <row r="10680">
      <c r="A10680" t="inlineStr">
        <is>
          <t>Uruguay</t>
        </is>
      </c>
      <c r="B10680" t="inlineStr">
        <is>
          <t>URY</t>
        </is>
      </c>
      <c r="C10680" t="n">
        <v>2002</v>
      </c>
      <c r="D10680" t="n">
        <v>13.9724725913515</v>
      </c>
    </row>
    <row r="10681">
      <c r="A10681" t="inlineStr">
        <is>
          <t>Uruguay</t>
        </is>
      </c>
      <c r="B10681" t="inlineStr">
        <is>
          <t>URY</t>
        </is>
      </c>
      <c r="C10681" t="n">
        <v>2003</v>
      </c>
      <c r="D10681" t="n">
        <v>19.3797301743995</v>
      </c>
    </row>
    <row r="10682">
      <c r="A10682" t="inlineStr">
        <is>
          <t>Uruguay</t>
        </is>
      </c>
      <c r="B10682" t="inlineStr">
        <is>
          <t>URY</t>
        </is>
      </c>
      <c r="C10682" t="n">
        <v>2004</v>
      </c>
      <c r="D10682" t="n">
        <v>9.15760507540997</v>
      </c>
    </row>
    <row r="10683">
      <c r="A10683" t="inlineStr">
        <is>
          <t>Uruguay</t>
        </is>
      </c>
      <c r="B10683" t="inlineStr">
        <is>
          <t>URY</t>
        </is>
      </c>
      <c r="C10683" t="n">
        <v>2005</v>
      </c>
      <c r="D10683" t="n">
        <v>4.6992773903564</v>
      </c>
    </row>
    <row r="10684">
      <c r="A10684" t="inlineStr">
        <is>
          <t>Uruguay</t>
        </is>
      </c>
      <c r="B10684" t="inlineStr">
        <is>
          <t>URY</t>
        </is>
      </c>
      <c r="C10684" t="n">
        <v>2006</v>
      </c>
      <c r="D10684" t="n">
        <v>6.39764974385131</v>
      </c>
    </row>
    <row r="10685">
      <c r="A10685" t="inlineStr">
        <is>
          <t>Uruguay</t>
        </is>
      </c>
      <c r="B10685" t="inlineStr">
        <is>
          <t>URY</t>
        </is>
      </c>
      <c r="C10685" t="n">
        <v>2007</v>
      </c>
      <c r="D10685" t="n">
        <v>8.114645611793129</v>
      </c>
    </row>
    <row r="10686">
      <c r="A10686" t="inlineStr">
        <is>
          <t>Uruguay</t>
        </is>
      </c>
      <c r="B10686" t="inlineStr">
        <is>
          <t>URY</t>
        </is>
      </c>
      <c r="C10686" t="n">
        <v>2008</v>
      </c>
      <c r="D10686" t="n">
        <v>7.87707374730888</v>
      </c>
    </row>
    <row r="10687">
      <c r="A10687" t="inlineStr">
        <is>
          <t>Uruguay</t>
        </is>
      </c>
      <c r="B10687" t="inlineStr">
        <is>
          <t>URY</t>
        </is>
      </c>
      <c r="C10687" t="n">
        <v>2009</v>
      </c>
      <c r="D10687" t="n">
        <v>7.06221874388574</v>
      </c>
    </row>
    <row r="10688">
      <c r="A10688" t="inlineStr">
        <is>
          <t>Uruguay</t>
        </is>
      </c>
      <c r="B10688" t="inlineStr">
        <is>
          <t>URY</t>
        </is>
      </c>
      <c r="C10688" t="n">
        <v>2010</v>
      </c>
      <c r="D10688" t="n">
        <v>6.69870886978132</v>
      </c>
    </row>
    <row r="10689">
      <c r="A10689" t="inlineStr">
        <is>
          <t>Uruguay</t>
        </is>
      </c>
      <c r="B10689" t="inlineStr">
        <is>
          <t>URY</t>
        </is>
      </c>
      <c r="C10689" t="n">
        <v>2011</v>
      </c>
      <c r="D10689" t="n">
        <v>8.092832063029901</v>
      </c>
    </row>
    <row r="10690">
      <c r="A10690" t="inlineStr">
        <is>
          <t>Uruguay</t>
        </is>
      </c>
      <c r="B10690" t="inlineStr">
        <is>
          <t>URY</t>
        </is>
      </c>
      <c r="C10690" t="n">
        <v>2012</v>
      </c>
      <c r="D10690" t="n">
        <v>8.097765805736019</v>
      </c>
    </row>
    <row r="10691">
      <c r="A10691" t="inlineStr">
        <is>
          <t>Uruguay</t>
        </is>
      </c>
      <c r="B10691" t="inlineStr">
        <is>
          <t>URY</t>
        </is>
      </c>
      <c r="C10691" t="n">
        <v>2013</v>
      </c>
      <c r="D10691" t="n">
        <v>8.57513504005397</v>
      </c>
    </row>
    <row r="10692">
      <c r="A10692" t="inlineStr">
        <is>
          <t>Uruguay</t>
        </is>
      </c>
      <c r="B10692" t="inlineStr">
        <is>
          <t>URY</t>
        </is>
      </c>
      <c r="C10692" t="n">
        <v>2014</v>
      </c>
      <c r="D10692" t="n">
        <v>8.877353332298281</v>
      </c>
    </row>
    <row r="10693">
      <c r="A10693" t="inlineStr">
        <is>
          <t>Uruguay</t>
        </is>
      </c>
      <c r="B10693" t="inlineStr">
        <is>
          <t>URY</t>
        </is>
      </c>
      <c r="C10693" t="n">
        <v>2015</v>
      </c>
      <c r="D10693" t="n">
        <v>8.666269870793281</v>
      </c>
    </row>
    <row r="10694">
      <c r="A10694" t="inlineStr">
        <is>
          <t>Uruguay</t>
        </is>
      </c>
      <c r="B10694" t="inlineStr">
        <is>
          <t>URY</t>
        </is>
      </c>
      <c r="C10694" t="n">
        <v>2016</v>
      </c>
      <c r="D10694" t="n">
        <v>9.6394134763508</v>
      </c>
    </row>
    <row r="10695">
      <c r="A10695" t="inlineStr">
        <is>
          <t>Uruguay</t>
        </is>
      </c>
      <c r="B10695" t="inlineStr">
        <is>
          <t>URY</t>
        </is>
      </c>
      <c r="C10695" t="n">
        <v>2017</v>
      </c>
      <c r="D10695" t="n">
        <v>6.2180938256186</v>
      </c>
    </row>
    <row r="10696">
      <c r="A10696" t="inlineStr">
        <is>
          <t>Uruguay</t>
        </is>
      </c>
      <c r="B10696" t="inlineStr">
        <is>
          <t>URY</t>
        </is>
      </c>
      <c r="C10696" t="n">
        <v>2018</v>
      </c>
      <c r="D10696" t="n">
        <v>7.60653360377047</v>
      </c>
    </row>
    <row r="10697">
      <c r="A10697" t="inlineStr">
        <is>
          <t>Uruguay</t>
        </is>
      </c>
      <c r="B10697" t="inlineStr">
        <is>
          <t>URY</t>
        </is>
      </c>
      <c r="C10697" t="n">
        <v>2019</v>
      </c>
      <c r="D10697" t="n">
        <v>7.88198870879619</v>
      </c>
    </row>
    <row r="10698">
      <c r="A10698" t="inlineStr">
        <is>
          <t>Uruguay</t>
        </is>
      </c>
      <c r="B10698" t="inlineStr">
        <is>
          <t>URY</t>
        </is>
      </c>
      <c r="C10698" t="n">
        <v>2020</v>
      </c>
      <c r="D10698" t="n">
        <v>9.75640636078194</v>
      </c>
    </row>
    <row r="10699">
      <c r="A10699" t="inlineStr">
        <is>
          <t>Uruguay</t>
        </is>
      </c>
      <c r="B10699" t="inlineStr">
        <is>
          <t>URY</t>
        </is>
      </c>
      <c r="C10699" t="n">
        <v>2021</v>
      </c>
      <c r="D10699" t="n">
        <v>7.74791402314762</v>
      </c>
    </row>
    <row r="10700">
      <c r="A10700" t="inlineStr">
        <is>
          <t>Uruguay</t>
        </is>
      </c>
      <c r="B10700" t="inlineStr">
        <is>
          <t>URY</t>
        </is>
      </c>
      <c r="C10700" t="n">
        <v>2022</v>
      </c>
      <c r="D10700" t="n">
        <v>9.10437983075437</v>
      </c>
    </row>
    <row r="10701">
      <c r="A10701" t="inlineStr">
        <is>
          <t>Uruguay</t>
        </is>
      </c>
      <c r="B10701" t="inlineStr">
        <is>
          <t>URY</t>
        </is>
      </c>
      <c r="C10701" t="n">
        <v>2023</v>
      </c>
      <c r="D10701" t="n">
        <v>5.86910359896119</v>
      </c>
    </row>
    <row r="10702">
      <c r="A10702" t="inlineStr">
        <is>
          <t>Uruguay</t>
        </is>
      </c>
      <c r="B10702" t="inlineStr">
        <is>
          <t>URY</t>
        </is>
      </c>
      <c r="C10702" t="n">
        <v>2024</v>
      </c>
      <c r="D10702" t="n">
        <v>4.84914366613156</v>
      </c>
    </row>
    <row r="10703">
      <c r="A10703" t="inlineStr">
        <is>
          <t>United States</t>
        </is>
      </c>
      <c r="B10703" t="inlineStr">
        <is>
          <t>USA</t>
        </is>
      </c>
      <c r="C10703" t="n">
        <v>1960</v>
      </c>
      <c r="D10703" t="n">
        <v>1.45797598627791</v>
      </c>
    </row>
    <row r="10704">
      <c r="A10704" t="inlineStr">
        <is>
          <t>United States</t>
        </is>
      </c>
      <c r="B10704" t="inlineStr">
        <is>
          <t>USA</t>
        </is>
      </c>
      <c r="C10704" t="n">
        <v>1961</v>
      </c>
      <c r="D10704" t="n">
        <v>1.07072414764724</v>
      </c>
    </row>
    <row r="10705">
      <c r="A10705" t="inlineStr">
        <is>
          <t>United States</t>
        </is>
      </c>
      <c r="B10705" t="inlineStr">
        <is>
          <t>USA</t>
        </is>
      </c>
      <c r="C10705" t="n">
        <v>1962</v>
      </c>
      <c r="D10705" t="n">
        <v>1.19877334820186</v>
      </c>
    </row>
    <row r="10706">
      <c r="A10706" t="inlineStr">
        <is>
          <t>United States</t>
        </is>
      </c>
      <c r="B10706" t="inlineStr">
        <is>
          <t>USA</t>
        </is>
      </c>
      <c r="C10706" t="n">
        <v>1963</v>
      </c>
      <c r="D10706" t="n">
        <v>1.23966942148753</v>
      </c>
    </row>
    <row r="10707">
      <c r="A10707" t="inlineStr">
        <is>
          <t>United States</t>
        </is>
      </c>
      <c r="B10707" t="inlineStr">
        <is>
          <t>USA</t>
        </is>
      </c>
      <c r="C10707" t="n">
        <v>1964</v>
      </c>
      <c r="D10707" t="n">
        <v>1.27891156462591</v>
      </c>
    </row>
    <row r="10708">
      <c r="A10708" t="inlineStr">
        <is>
          <t>United States</t>
        </is>
      </c>
      <c r="B10708" t="inlineStr">
        <is>
          <t>USA</t>
        </is>
      </c>
      <c r="C10708" t="n">
        <v>1965</v>
      </c>
      <c r="D10708" t="n">
        <v>1.58516926383662</v>
      </c>
    </row>
    <row r="10709">
      <c r="A10709" t="inlineStr">
        <is>
          <t>United States</t>
        </is>
      </c>
      <c r="B10709" t="inlineStr">
        <is>
          <t>USA</t>
        </is>
      </c>
      <c r="C10709" t="n">
        <v>1966</v>
      </c>
      <c r="D10709" t="n">
        <v>3.0150753768844</v>
      </c>
    </row>
    <row r="10710">
      <c r="A10710" t="inlineStr">
        <is>
          <t>United States</t>
        </is>
      </c>
      <c r="B10710" t="inlineStr">
        <is>
          <t>USA</t>
        </is>
      </c>
      <c r="C10710" t="n">
        <v>1967</v>
      </c>
      <c r="D10710" t="n">
        <v>2.77278562259309</v>
      </c>
    </row>
    <row r="10711">
      <c r="A10711" t="inlineStr">
        <is>
          <t>United States</t>
        </is>
      </c>
      <c r="B10711" t="inlineStr">
        <is>
          <t>USA</t>
        </is>
      </c>
      <c r="C10711" t="n">
        <v>1968</v>
      </c>
      <c r="D10711" t="n">
        <v>4.27179615288537</v>
      </c>
    </row>
    <row r="10712">
      <c r="A10712" t="inlineStr">
        <is>
          <t>United States</t>
        </is>
      </c>
      <c r="B10712" t="inlineStr">
        <is>
          <t>USA</t>
        </is>
      </c>
      <c r="C10712" t="n">
        <v>1969</v>
      </c>
      <c r="D10712" t="n">
        <v>5.46238620028745</v>
      </c>
    </row>
    <row r="10713">
      <c r="A10713" t="inlineStr">
        <is>
          <t>United States</t>
        </is>
      </c>
      <c r="B10713" t="inlineStr">
        <is>
          <t>USA</t>
        </is>
      </c>
      <c r="C10713" t="n">
        <v>1970</v>
      </c>
      <c r="D10713" t="n">
        <v>5.83825533848251</v>
      </c>
    </row>
    <row r="10714">
      <c r="A10714" t="inlineStr">
        <is>
          <t>United States</t>
        </is>
      </c>
      <c r="B10714" t="inlineStr">
        <is>
          <t>USA</t>
        </is>
      </c>
      <c r="C10714" t="n">
        <v>1971</v>
      </c>
      <c r="D10714" t="n">
        <v>4.29276668813051</v>
      </c>
    </row>
    <row r="10715">
      <c r="A10715" t="inlineStr">
        <is>
          <t>United States</t>
        </is>
      </c>
      <c r="B10715" t="inlineStr">
        <is>
          <t>USA</t>
        </is>
      </c>
      <c r="C10715" t="n">
        <v>1972</v>
      </c>
      <c r="D10715" t="n">
        <v>3.27227824655283</v>
      </c>
    </row>
    <row r="10716">
      <c r="A10716" t="inlineStr">
        <is>
          <t>United States</t>
        </is>
      </c>
      <c r="B10716" t="inlineStr">
        <is>
          <t>USA</t>
        </is>
      </c>
      <c r="C10716" t="n">
        <v>1973</v>
      </c>
      <c r="D10716" t="n">
        <v>6.17776006377038</v>
      </c>
    </row>
    <row r="10717">
      <c r="A10717" t="inlineStr">
        <is>
          <t>United States</t>
        </is>
      </c>
      <c r="B10717" t="inlineStr">
        <is>
          <t>USA</t>
        </is>
      </c>
      <c r="C10717" t="n">
        <v>1974</v>
      </c>
      <c r="D10717" t="n">
        <v>11.0548048048048</v>
      </c>
    </row>
    <row r="10718">
      <c r="A10718" t="inlineStr">
        <is>
          <t>United States</t>
        </is>
      </c>
      <c r="B10718" t="inlineStr">
        <is>
          <t>USA</t>
        </is>
      </c>
      <c r="C10718" t="n">
        <v>1975</v>
      </c>
      <c r="D10718" t="n">
        <v>9.143146864965351</v>
      </c>
    </row>
    <row r="10719">
      <c r="A10719" t="inlineStr">
        <is>
          <t>United States</t>
        </is>
      </c>
      <c r="B10719" t="inlineStr">
        <is>
          <t>USA</t>
        </is>
      </c>
      <c r="C10719" t="n">
        <v>1976</v>
      </c>
      <c r="D10719" t="n">
        <v>5.74481263549085</v>
      </c>
    </row>
    <row r="10720">
      <c r="A10720" t="inlineStr">
        <is>
          <t>United States</t>
        </is>
      </c>
      <c r="B10720" t="inlineStr">
        <is>
          <t>USA</t>
        </is>
      </c>
      <c r="C10720" t="n">
        <v>1977</v>
      </c>
      <c r="D10720" t="n">
        <v>6.5016839947284</v>
      </c>
    </row>
    <row r="10721">
      <c r="A10721" t="inlineStr">
        <is>
          <t>United States</t>
        </is>
      </c>
      <c r="B10721" t="inlineStr">
        <is>
          <t>USA</t>
        </is>
      </c>
      <c r="C10721" t="n">
        <v>1978</v>
      </c>
      <c r="D10721" t="n">
        <v>7.63096383885606</v>
      </c>
    </row>
    <row r="10722">
      <c r="A10722" t="inlineStr">
        <is>
          <t>United States</t>
        </is>
      </c>
      <c r="B10722" t="inlineStr">
        <is>
          <t>USA</t>
        </is>
      </c>
      <c r="C10722" t="n">
        <v>1979</v>
      </c>
      <c r="D10722" t="n">
        <v>11.2544711292795</v>
      </c>
    </row>
    <row r="10723">
      <c r="A10723" t="inlineStr">
        <is>
          <t>United States</t>
        </is>
      </c>
      <c r="B10723" t="inlineStr">
        <is>
          <t>USA</t>
        </is>
      </c>
      <c r="C10723" t="n">
        <v>1980</v>
      </c>
      <c r="D10723" t="n">
        <v>13.5492019749684</v>
      </c>
    </row>
    <row r="10724">
      <c r="A10724" t="inlineStr">
        <is>
          <t>United States</t>
        </is>
      </c>
      <c r="B10724" t="inlineStr">
        <is>
          <t>USA</t>
        </is>
      </c>
      <c r="C10724" t="n">
        <v>1981</v>
      </c>
      <c r="D10724" t="n">
        <v>10.3347153402771</v>
      </c>
    </row>
    <row r="10725">
      <c r="A10725" t="inlineStr">
        <is>
          <t>United States</t>
        </is>
      </c>
      <c r="B10725" t="inlineStr">
        <is>
          <t>USA</t>
        </is>
      </c>
      <c r="C10725" t="n">
        <v>1982</v>
      </c>
      <c r="D10725" t="n">
        <v>6.13142700027493</v>
      </c>
    </row>
    <row r="10726">
      <c r="A10726" t="inlineStr">
        <is>
          <t>United States</t>
        </is>
      </c>
      <c r="B10726" t="inlineStr">
        <is>
          <t>USA</t>
        </is>
      </c>
      <c r="C10726" t="n">
        <v>1983</v>
      </c>
      <c r="D10726" t="n">
        <v>3.21243523316065</v>
      </c>
    </row>
    <row r="10727">
      <c r="A10727" t="inlineStr">
        <is>
          <t>United States</t>
        </is>
      </c>
      <c r="B10727" t="inlineStr">
        <is>
          <t>USA</t>
        </is>
      </c>
      <c r="C10727" t="n">
        <v>1984</v>
      </c>
      <c r="D10727" t="n">
        <v>4.30053547523429</v>
      </c>
    </row>
    <row r="10728">
      <c r="A10728" t="inlineStr">
        <is>
          <t>United States</t>
        </is>
      </c>
      <c r="B10728" t="inlineStr">
        <is>
          <t>USA</t>
        </is>
      </c>
      <c r="C10728" t="n">
        <v>1985</v>
      </c>
      <c r="D10728" t="n">
        <v>3.54564415209365</v>
      </c>
    </row>
    <row r="10729">
      <c r="A10729" t="inlineStr">
        <is>
          <t>United States</t>
        </is>
      </c>
      <c r="B10729" t="inlineStr">
        <is>
          <t>USA</t>
        </is>
      </c>
      <c r="C10729" t="n">
        <v>1986</v>
      </c>
      <c r="D10729" t="n">
        <v>1.89804772234276</v>
      </c>
    </row>
    <row r="10730">
      <c r="A10730" t="inlineStr">
        <is>
          <t>United States</t>
        </is>
      </c>
      <c r="B10730" t="inlineStr">
        <is>
          <t>USA</t>
        </is>
      </c>
      <c r="C10730" t="n">
        <v>1987</v>
      </c>
      <c r="D10730" t="n">
        <v>3.6645632175169</v>
      </c>
    </row>
    <row r="10731">
      <c r="A10731" t="inlineStr">
        <is>
          <t>United States</t>
        </is>
      </c>
      <c r="B10731" t="inlineStr">
        <is>
          <t>USA</t>
        </is>
      </c>
      <c r="C10731" t="n">
        <v>1988</v>
      </c>
      <c r="D10731" t="n">
        <v>4.07774110744413</v>
      </c>
    </row>
    <row r="10732">
      <c r="A10732" t="inlineStr">
        <is>
          <t>United States</t>
        </is>
      </c>
      <c r="B10732" t="inlineStr">
        <is>
          <t>USA</t>
        </is>
      </c>
      <c r="C10732" t="n">
        <v>1989</v>
      </c>
      <c r="D10732" t="n">
        <v>4.82700303008944</v>
      </c>
    </row>
    <row r="10733">
      <c r="A10733" t="inlineStr">
        <is>
          <t>United States</t>
        </is>
      </c>
      <c r="B10733" t="inlineStr">
        <is>
          <t>USA</t>
        </is>
      </c>
      <c r="C10733" t="n">
        <v>1990</v>
      </c>
      <c r="D10733" t="n">
        <v>5.39795643990325</v>
      </c>
    </row>
    <row r="10734">
      <c r="A10734" t="inlineStr">
        <is>
          <t>United States</t>
        </is>
      </c>
      <c r="B10734" t="inlineStr">
        <is>
          <t>USA</t>
        </is>
      </c>
      <c r="C10734" t="n">
        <v>1991</v>
      </c>
      <c r="D10734" t="n">
        <v>4.23496396453849</v>
      </c>
    </row>
    <row r="10735">
      <c r="A10735" t="inlineStr">
        <is>
          <t>United States</t>
        </is>
      </c>
      <c r="B10735" t="inlineStr">
        <is>
          <t>USA</t>
        </is>
      </c>
      <c r="C10735" t="n">
        <v>1992</v>
      </c>
      <c r="D10735" t="n">
        <v>3.02881967814969</v>
      </c>
    </row>
    <row r="10736">
      <c r="A10736" t="inlineStr">
        <is>
          <t>United States</t>
        </is>
      </c>
      <c r="B10736" t="inlineStr">
        <is>
          <t>USA</t>
        </is>
      </c>
      <c r="C10736" t="n">
        <v>1993</v>
      </c>
      <c r="D10736" t="n">
        <v>2.95165696638559</v>
      </c>
    </row>
    <row r="10737">
      <c r="A10737" t="inlineStr">
        <is>
          <t>United States</t>
        </is>
      </c>
      <c r="B10737" t="inlineStr">
        <is>
          <t>USA</t>
        </is>
      </c>
      <c r="C10737" t="n">
        <v>1994</v>
      </c>
      <c r="D10737" t="n">
        <v>2.60744159215453</v>
      </c>
    </row>
    <row r="10738">
      <c r="A10738" t="inlineStr">
        <is>
          <t>United States</t>
        </is>
      </c>
      <c r="B10738" t="inlineStr">
        <is>
          <t>USA</t>
        </is>
      </c>
      <c r="C10738" t="n">
        <v>1995</v>
      </c>
      <c r="D10738" t="n">
        <v>2.80541968853662</v>
      </c>
    </row>
    <row r="10739">
      <c r="A10739" t="inlineStr">
        <is>
          <t>United States</t>
        </is>
      </c>
      <c r="B10739" t="inlineStr">
        <is>
          <t>USA</t>
        </is>
      </c>
      <c r="C10739" t="n">
        <v>1996</v>
      </c>
      <c r="D10739" t="n">
        <v>2.93120419993441</v>
      </c>
    </row>
    <row r="10740">
      <c r="A10740" t="inlineStr">
        <is>
          <t>United States</t>
        </is>
      </c>
      <c r="B10740" t="inlineStr">
        <is>
          <t>USA</t>
        </is>
      </c>
      <c r="C10740" t="n">
        <v>1997</v>
      </c>
      <c r="D10740" t="n">
        <v>2.33768993730735</v>
      </c>
    </row>
    <row r="10741">
      <c r="A10741" t="inlineStr">
        <is>
          <t>United States</t>
        </is>
      </c>
      <c r="B10741" t="inlineStr">
        <is>
          <t>USA</t>
        </is>
      </c>
      <c r="C10741" t="n">
        <v>1998</v>
      </c>
      <c r="D10741" t="n">
        <v>1.55227909874364</v>
      </c>
    </row>
    <row r="10742">
      <c r="A10742" t="inlineStr">
        <is>
          <t>United States</t>
        </is>
      </c>
      <c r="B10742" t="inlineStr">
        <is>
          <t>USA</t>
        </is>
      </c>
      <c r="C10742" t="n">
        <v>1999</v>
      </c>
      <c r="D10742" t="n">
        <v>2.18802719697358</v>
      </c>
    </row>
    <row r="10743">
      <c r="A10743" t="inlineStr">
        <is>
          <t>United States</t>
        </is>
      </c>
      <c r="B10743" t="inlineStr">
        <is>
          <t>USA</t>
        </is>
      </c>
      <c r="C10743" t="n">
        <v>2000</v>
      </c>
      <c r="D10743" t="n">
        <v>3.37685727149929</v>
      </c>
    </row>
    <row r="10744">
      <c r="A10744" t="inlineStr">
        <is>
          <t>United States</t>
        </is>
      </c>
      <c r="B10744" t="inlineStr">
        <is>
          <t>USA</t>
        </is>
      </c>
      <c r="C10744" t="n">
        <v>2001</v>
      </c>
      <c r="D10744" t="n">
        <v>2.82617111885407</v>
      </c>
    </row>
    <row r="10745">
      <c r="A10745" t="inlineStr">
        <is>
          <t>United States</t>
        </is>
      </c>
      <c r="B10745" t="inlineStr">
        <is>
          <t>USA</t>
        </is>
      </c>
      <c r="C10745" t="n">
        <v>2002</v>
      </c>
      <c r="D10745" t="n">
        <v>1.58603162650601</v>
      </c>
    </row>
    <row r="10746">
      <c r="A10746" t="inlineStr">
        <is>
          <t>United States</t>
        </is>
      </c>
      <c r="B10746" t="inlineStr">
        <is>
          <t>USA</t>
        </is>
      </c>
      <c r="C10746" t="n">
        <v>2003</v>
      </c>
      <c r="D10746" t="n">
        <v>2.27009497336115</v>
      </c>
    </row>
    <row r="10747">
      <c r="A10747" t="inlineStr">
        <is>
          <t>United States</t>
        </is>
      </c>
      <c r="B10747" t="inlineStr">
        <is>
          <t>USA</t>
        </is>
      </c>
      <c r="C10747" t="n">
        <v>2004</v>
      </c>
      <c r="D10747" t="n">
        <v>2.67723669309172</v>
      </c>
    </row>
    <row r="10748">
      <c r="A10748" t="inlineStr">
        <is>
          <t>United States</t>
        </is>
      </c>
      <c r="B10748" t="inlineStr">
        <is>
          <t>USA</t>
        </is>
      </c>
      <c r="C10748" t="n">
        <v>2005</v>
      </c>
      <c r="D10748" t="n">
        <v>3.3927468454955</v>
      </c>
    </row>
    <row r="10749">
      <c r="A10749" t="inlineStr">
        <is>
          <t>United States</t>
        </is>
      </c>
      <c r="B10749" t="inlineStr">
        <is>
          <t>USA</t>
        </is>
      </c>
      <c r="C10749" t="n">
        <v>2006</v>
      </c>
      <c r="D10749" t="n">
        <v>3.22594410070404</v>
      </c>
    </row>
    <row r="10750">
      <c r="A10750" t="inlineStr">
        <is>
          <t>United States</t>
        </is>
      </c>
      <c r="B10750" t="inlineStr">
        <is>
          <t>USA</t>
        </is>
      </c>
      <c r="C10750" t="n">
        <v>2007</v>
      </c>
      <c r="D10750" t="n">
        <v>2.85267248150138</v>
      </c>
    </row>
    <row r="10751">
      <c r="A10751" t="inlineStr">
        <is>
          <t>United States</t>
        </is>
      </c>
      <c r="B10751" t="inlineStr">
        <is>
          <t>USA</t>
        </is>
      </c>
      <c r="C10751" t="n">
        <v>2008</v>
      </c>
      <c r="D10751" t="n">
        <v>3.839100296651</v>
      </c>
    </row>
    <row r="10752">
      <c r="A10752" t="inlineStr">
        <is>
          <t>United States</t>
        </is>
      </c>
      <c r="B10752" t="inlineStr">
        <is>
          <t>USA</t>
        </is>
      </c>
      <c r="C10752" t="n">
        <v>2009</v>
      </c>
      <c r="D10752" t="n">
        <v>-0.355546266299747</v>
      </c>
    </row>
    <row r="10753">
      <c r="A10753" t="inlineStr">
        <is>
          <t>United States</t>
        </is>
      </c>
      <c r="B10753" t="inlineStr">
        <is>
          <t>USA</t>
        </is>
      </c>
      <c r="C10753" t="n">
        <v>2010</v>
      </c>
      <c r="D10753" t="n">
        <v>1.6400434423899</v>
      </c>
    </row>
    <row r="10754">
      <c r="A10754" t="inlineStr">
        <is>
          <t>United States</t>
        </is>
      </c>
      <c r="B10754" t="inlineStr">
        <is>
          <t>USA</t>
        </is>
      </c>
      <c r="C10754" t="n">
        <v>2011</v>
      </c>
      <c r="D10754" t="n">
        <v>3.156841568622</v>
      </c>
    </row>
    <row r="10755">
      <c r="A10755" t="inlineStr">
        <is>
          <t>United States</t>
        </is>
      </c>
      <c r="B10755" t="inlineStr">
        <is>
          <t>USA</t>
        </is>
      </c>
      <c r="C10755" t="n">
        <v>2012</v>
      </c>
      <c r="D10755" t="n">
        <v>2.06933726526067</v>
      </c>
    </row>
    <row r="10756">
      <c r="A10756" t="inlineStr">
        <is>
          <t>United States</t>
        </is>
      </c>
      <c r="B10756" t="inlineStr">
        <is>
          <t>USA</t>
        </is>
      </c>
      <c r="C10756" t="n">
        <v>2013</v>
      </c>
      <c r="D10756" t="n">
        <v>1.46483265562717</v>
      </c>
    </row>
    <row r="10757">
      <c r="A10757" t="inlineStr">
        <is>
          <t>United States</t>
        </is>
      </c>
      <c r="B10757" t="inlineStr">
        <is>
          <t>USA</t>
        </is>
      </c>
      <c r="C10757" t="n">
        <v>2014</v>
      </c>
      <c r="D10757" t="n">
        <v>1.62222297740817</v>
      </c>
    </row>
    <row r="10758">
      <c r="A10758" t="inlineStr">
        <is>
          <t>United States</t>
        </is>
      </c>
      <c r="B10758" t="inlineStr">
        <is>
          <t>USA</t>
        </is>
      </c>
      <c r="C10758" t="n">
        <v>2015</v>
      </c>
      <c r="D10758" t="n">
        <v>0.118627135552451</v>
      </c>
    </row>
    <row r="10759">
      <c r="A10759" t="inlineStr">
        <is>
          <t>United States</t>
        </is>
      </c>
      <c r="B10759" t="inlineStr">
        <is>
          <t>USA</t>
        </is>
      </c>
      <c r="C10759" t="n">
        <v>2016</v>
      </c>
      <c r="D10759" t="n">
        <v>1.26158320570536</v>
      </c>
    </row>
    <row r="10760">
      <c r="A10760" t="inlineStr">
        <is>
          <t>United States</t>
        </is>
      </c>
      <c r="B10760" t="inlineStr">
        <is>
          <t>USA</t>
        </is>
      </c>
      <c r="C10760" t="n">
        <v>2017</v>
      </c>
      <c r="D10760" t="n">
        <v>2.13011000365961</v>
      </c>
    </row>
    <row r="10761">
      <c r="A10761" t="inlineStr">
        <is>
          <t>United States</t>
        </is>
      </c>
      <c r="B10761" t="inlineStr">
        <is>
          <t>USA</t>
        </is>
      </c>
      <c r="C10761" t="n">
        <v>2018</v>
      </c>
      <c r="D10761" t="n">
        <v>2.44258329692817</v>
      </c>
    </row>
    <row r="10762">
      <c r="A10762" t="inlineStr">
        <is>
          <t>United States</t>
        </is>
      </c>
      <c r="B10762" t="inlineStr">
        <is>
          <t>USA</t>
        </is>
      </c>
      <c r="C10762" t="n">
        <v>2019</v>
      </c>
      <c r="D10762" t="n">
        <v>1.81221007526021</v>
      </c>
    </row>
    <row r="10763">
      <c r="A10763" t="inlineStr">
        <is>
          <t>United States</t>
        </is>
      </c>
      <c r="B10763" t="inlineStr">
        <is>
          <t>USA</t>
        </is>
      </c>
      <c r="C10763" t="n">
        <v>2020</v>
      </c>
      <c r="D10763" t="n">
        <v>1.23358439630629</v>
      </c>
    </row>
    <row r="10764">
      <c r="A10764" t="inlineStr">
        <is>
          <t>United States</t>
        </is>
      </c>
      <c r="B10764" t="inlineStr">
        <is>
          <t>USA</t>
        </is>
      </c>
      <c r="C10764" t="n">
        <v>2021</v>
      </c>
      <c r="D10764" t="n">
        <v>4.69785886363742</v>
      </c>
    </row>
    <row r="10765">
      <c r="A10765" t="inlineStr">
        <is>
          <t>United States</t>
        </is>
      </c>
      <c r="B10765" t="inlineStr">
        <is>
          <t>USA</t>
        </is>
      </c>
      <c r="C10765" t="n">
        <v>2022</v>
      </c>
      <c r="D10765" t="n">
        <v>8.00279982052121</v>
      </c>
    </row>
    <row r="10766">
      <c r="A10766" t="inlineStr">
        <is>
          <t>United States</t>
        </is>
      </c>
      <c r="B10766" t="inlineStr">
        <is>
          <t>USA</t>
        </is>
      </c>
      <c r="C10766" t="n">
        <v>2023</v>
      </c>
      <c r="D10766" t="n">
        <v>4.11633838374488</v>
      </c>
    </row>
    <row r="10767">
      <c r="A10767" t="inlineStr">
        <is>
          <t>United States</t>
        </is>
      </c>
      <c r="B10767" t="inlineStr">
        <is>
          <t>USA</t>
        </is>
      </c>
      <c r="C10767" t="n">
        <v>2024</v>
      </c>
      <c r="D10767" t="n">
        <v>2.94952520485207</v>
      </c>
    </row>
    <row r="10768">
      <c r="A10768" t="inlineStr">
        <is>
          <t>Uzbekistan</t>
        </is>
      </c>
      <c r="B10768" t="inlineStr">
        <is>
          <t>UZB</t>
        </is>
      </c>
      <c r="C10768" t="n">
        <v>2011</v>
      </c>
      <c r="D10768" t="n">
        <v>13.7797446476602</v>
      </c>
    </row>
    <row r="10769">
      <c r="A10769" t="inlineStr">
        <is>
          <t>Uzbekistan</t>
        </is>
      </c>
      <c r="B10769" t="inlineStr">
        <is>
          <t>UZB</t>
        </is>
      </c>
      <c r="C10769" t="n">
        <v>2012</v>
      </c>
      <c r="D10769" t="n">
        <v>13.2088026688373</v>
      </c>
    </row>
    <row r="10770">
      <c r="A10770" t="inlineStr">
        <is>
          <t>Uzbekistan</t>
        </is>
      </c>
      <c r="B10770" t="inlineStr">
        <is>
          <t>UZB</t>
        </is>
      </c>
      <c r="C10770" t="n">
        <v>2013</v>
      </c>
      <c r="D10770" t="n">
        <v>11.8414333622049</v>
      </c>
    </row>
    <row r="10771">
      <c r="A10771" t="inlineStr">
        <is>
          <t>Uzbekistan</t>
        </is>
      </c>
      <c r="B10771" t="inlineStr">
        <is>
          <t>UZB</t>
        </is>
      </c>
      <c r="C10771" t="n">
        <v>2014</v>
      </c>
      <c r="D10771" t="n">
        <v>9.28309356162695</v>
      </c>
    </row>
    <row r="10772">
      <c r="A10772" t="inlineStr">
        <is>
          <t>Uzbekistan</t>
        </is>
      </c>
      <c r="B10772" t="inlineStr">
        <is>
          <t>UZB</t>
        </is>
      </c>
      <c r="C10772" t="n">
        <v>2015</v>
      </c>
      <c r="D10772" t="n">
        <v>8.751881967375081</v>
      </c>
    </row>
    <row r="10773">
      <c r="A10773" t="inlineStr">
        <is>
          <t>Uzbekistan</t>
        </is>
      </c>
      <c r="B10773" t="inlineStr">
        <is>
          <t>UZB</t>
        </is>
      </c>
      <c r="C10773" t="n">
        <v>2016</v>
      </c>
      <c r="D10773" t="n">
        <v>8.130886695236001</v>
      </c>
    </row>
    <row r="10774">
      <c r="A10774" t="inlineStr">
        <is>
          <t>Uzbekistan</t>
        </is>
      </c>
      <c r="B10774" t="inlineStr">
        <is>
          <t>UZB</t>
        </is>
      </c>
      <c r="C10774" t="n">
        <v>2017</v>
      </c>
      <c r="D10774" t="n">
        <v>13.8757425441635</v>
      </c>
    </row>
    <row r="10775">
      <c r="A10775" t="inlineStr">
        <is>
          <t>Uzbekistan</t>
        </is>
      </c>
      <c r="B10775" t="inlineStr">
        <is>
          <t>UZB</t>
        </is>
      </c>
      <c r="C10775" t="n">
        <v>2018</v>
      </c>
      <c r="D10775" t="n">
        <v>17.5241796514055</v>
      </c>
    </row>
    <row r="10776">
      <c r="A10776" t="inlineStr">
        <is>
          <t>Uzbekistan</t>
        </is>
      </c>
      <c r="B10776" t="inlineStr">
        <is>
          <t>UZB</t>
        </is>
      </c>
      <c r="C10776" t="n">
        <v>2019</v>
      </c>
      <c r="D10776" t="n">
        <v>14.5257359560687</v>
      </c>
    </row>
    <row r="10777">
      <c r="A10777" t="inlineStr">
        <is>
          <t>Uzbekistan</t>
        </is>
      </c>
      <c r="B10777" t="inlineStr">
        <is>
          <t>UZB</t>
        </is>
      </c>
      <c r="C10777" t="n">
        <v>2020</v>
      </c>
      <c r="D10777" t="n">
        <v>12.8677297362606</v>
      </c>
    </row>
    <row r="10778">
      <c r="A10778" t="inlineStr">
        <is>
          <t>Uzbekistan</t>
        </is>
      </c>
      <c r="B10778" t="inlineStr">
        <is>
          <t>UZB</t>
        </is>
      </c>
      <c r="C10778" t="n">
        <v>2021</v>
      </c>
      <c r="D10778" t="n">
        <v>10.8492397508122</v>
      </c>
    </row>
    <row r="10779">
      <c r="A10779" t="inlineStr">
        <is>
          <t>Uzbekistan</t>
        </is>
      </c>
      <c r="B10779" t="inlineStr">
        <is>
          <t>UZB</t>
        </is>
      </c>
      <c r="C10779" t="n">
        <v>2022</v>
      </c>
      <c r="D10779" t="n">
        <v>11.4466436998836</v>
      </c>
    </row>
    <row r="10780">
      <c r="A10780" t="inlineStr">
        <is>
          <t>Uzbekistan</t>
        </is>
      </c>
      <c r="B10780" t="inlineStr">
        <is>
          <t>UZB</t>
        </is>
      </c>
      <c r="C10780" t="n">
        <v>2023</v>
      </c>
      <c r="D10780" t="n">
        <v>9.95659071258018</v>
      </c>
    </row>
    <row r="10781">
      <c r="A10781" t="inlineStr">
        <is>
          <t>Uzbekistan</t>
        </is>
      </c>
      <c r="B10781" t="inlineStr">
        <is>
          <t>UZB</t>
        </is>
      </c>
      <c r="C10781" t="n">
        <v>2024</v>
      </c>
      <c r="D10781" t="n">
        <v>9.628254659566821</v>
      </c>
    </row>
    <row r="10782">
      <c r="A10782" t="inlineStr">
        <is>
          <t>St. Vincent and the Grenadines</t>
        </is>
      </c>
      <c r="B10782" t="inlineStr">
        <is>
          <t>VCT</t>
        </is>
      </c>
      <c r="C10782" t="n">
        <v>1975</v>
      </c>
      <c r="D10782" t="n">
        <v>6.79770679739963</v>
      </c>
    </row>
    <row r="10783">
      <c r="A10783" t="inlineStr">
        <is>
          <t>St. Vincent and the Grenadines</t>
        </is>
      </c>
      <c r="B10783" t="inlineStr">
        <is>
          <t>VCT</t>
        </is>
      </c>
      <c r="C10783" t="n">
        <v>1976</v>
      </c>
      <c r="D10783" t="n">
        <v>11.2889826175874</v>
      </c>
    </row>
    <row r="10784">
      <c r="A10784" t="inlineStr">
        <is>
          <t>St. Vincent and the Grenadines</t>
        </is>
      </c>
      <c r="B10784" t="inlineStr">
        <is>
          <t>VCT</t>
        </is>
      </c>
      <c r="C10784" t="n">
        <v>1977</v>
      </c>
      <c r="D10784" t="n">
        <v>10.1869132045143</v>
      </c>
    </row>
    <row r="10785">
      <c r="A10785" t="inlineStr">
        <is>
          <t>St. Vincent and the Grenadines</t>
        </is>
      </c>
      <c r="B10785" t="inlineStr">
        <is>
          <t>VCT</t>
        </is>
      </c>
      <c r="C10785" t="n">
        <v>1978</v>
      </c>
      <c r="D10785" t="n">
        <v>8.42952810284595</v>
      </c>
    </row>
    <row r="10786">
      <c r="A10786" t="inlineStr">
        <is>
          <t>St. Vincent and the Grenadines</t>
        </is>
      </c>
      <c r="B10786" t="inlineStr">
        <is>
          <t>VCT</t>
        </is>
      </c>
      <c r="C10786" t="n">
        <v>1979</v>
      </c>
      <c r="D10786" t="n">
        <v>15.6084783235704</v>
      </c>
    </row>
    <row r="10787">
      <c r="A10787" t="inlineStr">
        <is>
          <t>St. Vincent and the Grenadines</t>
        </is>
      </c>
      <c r="B10787" t="inlineStr">
        <is>
          <t>VCT</t>
        </is>
      </c>
      <c r="C10787" t="n">
        <v>1980</v>
      </c>
      <c r="D10787" t="n">
        <v>17.2074750037358</v>
      </c>
    </row>
    <row r="10788">
      <c r="A10788" t="inlineStr">
        <is>
          <t>St. Vincent and the Grenadines</t>
        </is>
      </c>
      <c r="B10788" t="inlineStr">
        <is>
          <t>VCT</t>
        </is>
      </c>
      <c r="C10788" t="n">
        <v>1981</v>
      </c>
      <c r="D10788" t="n">
        <v>12.7356566462516</v>
      </c>
    </row>
    <row r="10789">
      <c r="A10789" t="inlineStr">
        <is>
          <t>St. Vincent and the Grenadines</t>
        </is>
      </c>
      <c r="B10789" t="inlineStr">
        <is>
          <t>VCT</t>
        </is>
      </c>
      <c r="C10789" t="n">
        <v>1982</v>
      </c>
      <c r="D10789" t="n">
        <v>7.22825662243943</v>
      </c>
    </row>
    <row r="10790">
      <c r="A10790" t="inlineStr">
        <is>
          <t>St. Vincent and the Grenadines</t>
        </is>
      </c>
      <c r="B10790" t="inlineStr">
        <is>
          <t>VCT</t>
        </is>
      </c>
      <c r="C10790" t="n">
        <v>1983</v>
      </c>
      <c r="D10790" t="n">
        <v>5.4583879899022</v>
      </c>
    </row>
    <row r="10791">
      <c r="A10791" t="inlineStr">
        <is>
          <t>St. Vincent and the Grenadines</t>
        </is>
      </c>
      <c r="B10791" t="inlineStr">
        <is>
          <t>VCT</t>
        </is>
      </c>
      <c r="C10791" t="n">
        <v>1984</v>
      </c>
      <c r="D10791" t="n">
        <v>2.70195563584383</v>
      </c>
    </row>
    <row r="10792">
      <c r="A10792" t="inlineStr">
        <is>
          <t>St. Vincent and the Grenadines</t>
        </is>
      </c>
      <c r="B10792" t="inlineStr">
        <is>
          <t>VCT</t>
        </is>
      </c>
      <c r="C10792" t="n">
        <v>1985</v>
      </c>
      <c r="D10792" t="n">
        <v>2.13968510329097</v>
      </c>
    </row>
    <row r="10793">
      <c r="A10793" t="inlineStr">
        <is>
          <t>St. Vincent and the Grenadines</t>
        </is>
      </c>
      <c r="B10793" t="inlineStr">
        <is>
          <t>VCT</t>
        </is>
      </c>
      <c r="C10793" t="n">
        <v>1986</v>
      </c>
      <c r="D10793" t="n">
        <v>1.02766798418975</v>
      </c>
    </row>
    <row r="10794">
      <c r="A10794" t="inlineStr">
        <is>
          <t>St. Vincent and the Grenadines</t>
        </is>
      </c>
      <c r="B10794" t="inlineStr">
        <is>
          <t>VCT</t>
        </is>
      </c>
      <c r="C10794" t="n">
        <v>1987</v>
      </c>
      <c r="D10794" t="n">
        <v>3.30594679186221</v>
      </c>
    </row>
    <row r="10795">
      <c r="A10795" t="inlineStr">
        <is>
          <t>St. Vincent and the Grenadines</t>
        </is>
      </c>
      <c r="B10795" t="inlineStr">
        <is>
          <t>VCT</t>
        </is>
      </c>
      <c r="C10795" t="n">
        <v>1988</v>
      </c>
      <c r="D10795" t="n">
        <v>0.227229691346298</v>
      </c>
    </row>
    <row r="10796">
      <c r="A10796" t="inlineStr">
        <is>
          <t>St. Vincent and the Grenadines</t>
        </is>
      </c>
      <c r="B10796" t="inlineStr">
        <is>
          <t>VCT</t>
        </is>
      </c>
      <c r="C10796" t="n">
        <v>1989</v>
      </c>
      <c r="D10796" t="n">
        <v>2.83393160778396</v>
      </c>
    </row>
    <row r="10797">
      <c r="A10797" t="inlineStr">
        <is>
          <t>St. Vincent and the Grenadines</t>
        </is>
      </c>
      <c r="B10797" t="inlineStr">
        <is>
          <t>VCT</t>
        </is>
      </c>
      <c r="C10797" t="n">
        <v>1990</v>
      </c>
      <c r="D10797" t="n">
        <v>7.60609957743892</v>
      </c>
    </row>
    <row r="10798">
      <c r="A10798" t="inlineStr">
        <is>
          <t>St. Vincent and the Grenadines</t>
        </is>
      </c>
      <c r="B10798" t="inlineStr">
        <is>
          <t>VCT</t>
        </is>
      </c>
      <c r="C10798" t="n">
        <v>1991</v>
      </c>
      <c r="D10798" t="n">
        <v>5.49200387001333</v>
      </c>
    </row>
    <row r="10799">
      <c r="A10799" t="inlineStr">
        <is>
          <t>St. Vincent and the Grenadines</t>
        </is>
      </c>
      <c r="B10799" t="inlineStr">
        <is>
          <t>VCT</t>
        </is>
      </c>
      <c r="C10799" t="n">
        <v>1992</v>
      </c>
      <c r="D10799" t="n">
        <v>3.46353042727654</v>
      </c>
    </row>
    <row r="10800">
      <c r="A10800" t="inlineStr">
        <is>
          <t>St. Vincent and the Grenadines</t>
        </is>
      </c>
      <c r="B10800" t="inlineStr">
        <is>
          <t>VCT</t>
        </is>
      </c>
      <c r="C10800" t="n">
        <v>1993</v>
      </c>
      <c r="D10800" t="n">
        <v>4.29137553446651</v>
      </c>
    </row>
    <row r="10801">
      <c r="A10801" t="inlineStr">
        <is>
          <t>St. Vincent and the Grenadines</t>
        </is>
      </c>
      <c r="B10801" t="inlineStr">
        <is>
          <t>VCT</t>
        </is>
      </c>
      <c r="C10801" t="n">
        <v>1994</v>
      </c>
      <c r="D10801" t="n">
        <v>1.0089495525225</v>
      </c>
    </row>
    <row r="10802">
      <c r="A10802" t="inlineStr">
        <is>
          <t>St. Vincent and the Grenadines</t>
        </is>
      </c>
      <c r="B10802" t="inlineStr">
        <is>
          <t>VCT</t>
        </is>
      </c>
      <c r="C10802" t="n">
        <v>1995</v>
      </c>
      <c r="D10802" t="n">
        <v>1.73837289880567</v>
      </c>
    </row>
    <row r="10803">
      <c r="A10803" t="inlineStr">
        <is>
          <t>St. Vincent and the Grenadines</t>
        </is>
      </c>
      <c r="B10803" t="inlineStr">
        <is>
          <t>VCT</t>
        </is>
      </c>
      <c r="C10803" t="n">
        <v>1996</v>
      </c>
      <c r="D10803" t="n">
        <v>4.40790113846454</v>
      </c>
    </row>
    <row r="10804">
      <c r="A10804" t="inlineStr">
        <is>
          <t>St. Vincent and the Grenadines</t>
        </is>
      </c>
      <c r="B10804" t="inlineStr">
        <is>
          <t>VCT</t>
        </is>
      </c>
      <c r="C10804" t="n">
        <v>1997</v>
      </c>
      <c r="D10804" t="n">
        <v>0.443616029823348</v>
      </c>
    </row>
    <row r="10805">
      <c r="A10805" t="inlineStr">
        <is>
          <t>St. Vincent and the Grenadines</t>
        </is>
      </c>
      <c r="B10805" t="inlineStr">
        <is>
          <t>VCT</t>
        </is>
      </c>
      <c r="C10805" t="n">
        <v>1998</v>
      </c>
      <c r="D10805" t="n">
        <v>2.1424064726839</v>
      </c>
    </row>
    <row r="10806">
      <c r="A10806" t="inlineStr">
        <is>
          <t>St. Vincent and the Grenadines</t>
        </is>
      </c>
      <c r="B10806" t="inlineStr">
        <is>
          <t>VCT</t>
        </is>
      </c>
      <c r="C10806" t="n">
        <v>1999</v>
      </c>
      <c r="D10806" t="n">
        <v>1.01355044438875</v>
      </c>
    </row>
    <row r="10807">
      <c r="A10807" t="inlineStr">
        <is>
          <t>St. Vincent and the Grenadines</t>
        </is>
      </c>
      <c r="B10807" t="inlineStr">
        <is>
          <t>VCT</t>
        </is>
      </c>
      <c r="C10807" t="n">
        <v>2000</v>
      </c>
      <c r="D10807" t="n">
        <v>0.167679637488279</v>
      </c>
    </row>
    <row r="10808">
      <c r="A10808" t="inlineStr">
        <is>
          <t>St. Vincent and the Grenadines</t>
        </is>
      </c>
      <c r="B10808" t="inlineStr">
        <is>
          <t>VCT</t>
        </is>
      </c>
      <c r="C10808" t="n">
        <v>2001</v>
      </c>
      <c r="D10808" t="n">
        <v>0.9008584858665</v>
      </c>
    </row>
    <row r="10809">
      <c r="A10809" t="inlineStr">
        <is>
          <t>St. Vincent and the Grenadines</t>
        </is>
      </c>
      <c r="B10809" t="inlineStr">
        <is>
          <t>VCT</t>
        </is>
      </c>
      <c r="C10809" t="n">
        <v>2002</v>
      </c>
      <c r="D10809" t="n">
        <v>1.85550399046655</v>
      </c>
    </row>
    <row r="10810">
      <c r="A10810" t="inlineStr">
        <is>
          <t>St. Vincent and the Grenadines</t>
        </is>
      </c>
      <c r="B10810" t="inlineStr">
        <is>
          <t>VCT</t>
        </is>
      </c>
      <c r="C10810" t="n">
        <v>2003</v>
      </c>
      <c r="D10810" t="n">
        <v>0.205981708824254</v>
      </c>
    </row>
    <row r="10811">
      <c r="A10811" t="inlineStr">
        <is>
          <t>St. Vincent and the Grenadines</t>
        </is>
      </c>
      <c r="B10811" t="inlineStr">
        <is>
          <t>VCT</t>
        </is>
      </c>
      <c r="C10811" t="n">
        <v>2004</v>
      </c>
      <c r="D10811" t="n">
        <v>2.96003946719286</v>
      </c>
    </row>
    <row r="10812">
      <c r="A10812" t="inlineStr">
        <is>
          <t>St. Vincent and the Grenadines</t>
        </is>
      </c>
      <c r="B10812" t="inlineStr">
        <is>
          <t>VCT</t>
        </is>
      </c>
      <c r="C10812" t="n">
        <v>2005</v>
      </c>
      <c r="D10812" t="n">
        <v>3.7334291646702</v>
      </c>
    </row>
    <row r="10813">
      <c r="A10813" t="inlineStr">
        <is>
          <t>St. Vincent and the Grenadines</t>
        </is>
      </c>
      <c r="B10813" t="inlineStr">
        <is>
          <t>VCT</t>
        </is>
      </c>
      <c r="C10813" t="n">
        <v>2006</v>
      </c>
      <c r="D10813" t="n">
        <v>2.74067516070673</v>
      </c>
    </row>
    <row r="10814">
      <c r="A10814" t="inlineStr">
        <is>
          <t>St. Vincent and the Grenadines</t>
        </is>
      </c>
      <c r="B10814" t="inlineStr">
        <is>
          <t>VCT</t>
        </is>
      </c>
      <c r="C10814" t="n">
        <v>2007</v>
      </c>
      <c r="D10814" t="n">
        <v>7.23614701584807</v>
      </c>
    </row>
    <row r="10815">
      <c r="A10815" t="inlineStr">
        <is>
          <t>St. Vincent and the Grenadines</t>
        </is>
      </c>
      <c r="B10815" t="inlineStr">
        <is>
          <t>VCT</t>
        </is>
      </c>
      <c r="C10815" t="n">
        <v>2008</v>
      </c>
      <c r="D10815" t="n">
        <v>10.0662418245849</v>
      </c>
    </row>
    <row r="10816">
      <c r="A10816" t="inlineStr">
        <is>
          <t>St. Vincent and the Grenadines</t>
        </is>
      </c>
      <c r="B10816" t="inlineStr">
        <is>
          <t>VCT</t>
        </is>
      </c>
      <c r="C10816" t="n">
        <v>2009</v>
      </c>
      <c r="D10816" t="n">
        <v>0.421539125687215</v>
      </c>
    </row>
    <row r="10817">
      <c r="A10817" t="inlineStr">
        <is>
          <t>St. Vincent and the Grenadines</t>
        </is>
      </c>
      <c r="B10817" t="inlineStr">
        <is>
          <t>VCT</t>
        </is>
      </c>
      <c r="C10817" t="n">
        <v>2010</v>
      </c>
      <c r="D10817" t="n">
        <v>0.747109026311474</v>
      </c>
    </row>
    <row r="10818">
      <c r="A10818" t="inlineStr">
        <is>
          <t>St. Vincent and the Grenadines</t>
        </is>
      </c>
      <c r="B10818" t="inlineStr">
        <is>
          <t>VCT</t>
        </is>
      </c>
      <c r="C10818" t="n">
        <v>2011</v>
      </c>
      <c r="D10818" t="n">
        <v>3.1860311155246</v>
      </c>
    </row>
    <row r="10819">
      <c r="A10819" t="inlineStr">
        <is>
          <t>St. Vincent and the Grenadines</t>
        </is>
      </c>
      <c r="B10819" t="inlineStr">
        <is>
          <t>VCT</t>
        </is>
      </c>
      <c r="C10819" t="n">
        <v>2012</v>
      </c>
      <c r="D10819" t="n">
        <v>2.59844414147101</v>
      </c>
    </row>
    <row r="10820">
      <c r="A10820" t="inlineStr">
        <is>
          <t>St. Vincent and the Grenadines</t>
        </is>
      </c>
      <c r="B10820" t="inlineStr">
        <is>
          <t>VCT</t>
        </is>
      </c>
      <c r="C10820" t="n">
        <v>2013</v>
      </c>
      <c r="D10820" t="n">
        <v>0.805127804267928</v>
      </c>
    </row>
    <row r="10821">
      <c r="A10821" t="inlineStr">
        <is>
          <t>St. Vincent and the Grenadines</t>
        </is>
      </c>
      <c r="B10821" t="inlineStr">
        <is>
          <t>VCT</t>
        </is>
      </c>
      <c r="C10821" t="n">
        <v>2014</v>
      </c>
      <c r="D10821" t="n">
        <v>0.193858560794015</v>
      </c>
    </row>
    <row r="10822">
      <c r="A10822" t="inlineStr">
        <is>
          <t>St. Vincent and the Grenadines</t>
        </is>
      </c>
      <c r="B10822" t="inlineStr">
        <is>
          <t>VCT</t>
        </is>
      </c>
      <c r="C10822" t="n">
        <v>2015</v>
      </c>
      <c r="D10822" t="n">
        <v>-1.73361194953959</v>
      </c>
    </row>
    <row r="10823">
      <c r="A10823" t="inlineStr">
        <is>
          <t>St. Vincent and the Grenadines</t>
        </is>
      </c>
      <c r="B10823" t="inlineStr">
        <is>
          <t>VCT</t>
        </is>
      </c>
      <c r="C10823" t="n">
        <v>2016</v>
      </c>
      <c r="D10823" t="n">
        <v>-0.149641647633284</v>
      </c>
    </row>
    <row r="10824">
      <c r="A10824" t="inlineStr">
        <is>
          <t>St. Vincent and the Grenadines</t>
        </is>
      </c>
      <c r="B10824" t="inlineStr">
        <is>
          <t>VCT</t>
        </is>
      </c>
      <c r="C10824" t="n">
        <v>2017</v>
      </c>
      <c r="D10824" t="n">
        <v>2.15333648840511</v>
      </c>
    </row>
    <row r="10825">
      <c r="A10825" t="inlineStr">
        <is>
          <t>St. Vincent and the Grenadines</t>
        </is>
      </c>
      <c r="B10825" t="inlineStr">
        <is>
          <t>VCT</t>
        </is>
      </c>
      <c r="C10825" t="n">
        <v>2018</v>
      </c>
      <c r="D10825" t="n">
        <v>2.32414485367921</v>
      </c>
    </row>
    <row r="10826">
      <c r="A10826" t="inlineStr">
        <is>
          <t>St. Vincent and the Grenadines</t>
        </is>
      </c>
      <c r="B10826" t="inlineStr">
        <is>
          <t>VCT</t>
        </is>
      </c>
      <c r="C10826" t="n">
        <v>2019</v>
      </c>
      <c r="D10826" t="n">
        <v>0.91306972532459</v>
      </c>
    </row>
    <row r="10827">
      <c r="A10827" t="inlineStr">
        <is>
          <t>St. Vincent and the Grenadines</t>
        </is>
      </c>
      <c r="B10827" t="inlineStr">
        <is>
          <t>VCT</t>
        </is>
      </c>
      <c r="C10827" t="n">
        <v>2020</v>
      </c>
      <c r="D10827" t="n">
        <v>-0.628131309354654</v>
      </c>
    </row>
    <row r="10828">
      <c r="A10828" t="inlineStr">
        <is>
          <t>St. Vincent and the Grenadines</t>
        </is>
      </c>
      <c r="B10828" t="inlineStr">
        <is>
          <t>VCT</t>
        </is>
      </c>
      <c r="C10828" t="n">
        <v>2021</v>
      </c>
      <c r="D10828" t="n">
        <v>1.57272932500558</v>
      </c>
    </row>
    <row r="10829">
      <c r="A10829" t="inlineStr">
        <is>
          <t>St. Vincent and the Grenadines</t>
        </is>
      </c>
      <c r="B10829" t="inlineStr">
        <is>
          <t>VCT</t>
        </is>
      </c>
      <c r="C10829" t="n">
        <v>2022</v>
      </c>
      <c r="D10829" t="n">
        <v>5.66009779226552</v>
      </c>
    </row>
    <row r="10830">
      <c r="A10830" t="inlineStr">
        <is>
          <t>St. Vincent and the Grenadines</t>
        </is>
      </c>
      <c r="B10830" t="inlineStr">
        <is>
          <t>VCT</t>
        </is>
      </c>
      <c r="C10830" t="n">
        <v>2023</v>
      </c>
      <c r="D10830" t="n">
        <v>4.56457719814894</v>
      </c>
    </row>
    <row r="10831">
      <c r="A10831" t="inlineStr">
        <is>
          <t>St. Vincent and the Grenadines</t>
        </is>
      </c>
      <c r="B10831" t="inlineStr">
        <is>
          <t>VCT</t>
        </is>
      </c>
      <c r="C10831" t="n">
        <v>2024</v>
      </c>
      <c r="D10831" t="n">
        <v>3.62770736940927</v>
      </c>
    </row>
    <row r="10832">
      <c r="A10832" t="inlineStr">
        <is>
          <t>Venezuela, RB</t>
        </is>
      </c>
      <c r="B10832" t="inlineStr">
        <is>
          <t>VEN</t>
        </is>
      </c>
      <c r="C10832" t="n">
        <v>2009</v>
      </c>
      <c r="D10832" t="n">
        <v>27.080941446613</v>
      </c>
    </row>
    <row r="10833">
      <c r="A10833" t="inlineStr">
        <is>
          <t>Venezuela, RB</t>
        </is>
      </c>
      <c r="B10833" t="inlineStr">
        <is>
          <t>VEN</t>
        </is>
      </c>
      <c r="C10833" t="n">
        <v>2010</v>
      </c>
      <c r="D10833" t="n">
        <v>28.1874647092039</v>
      </c>
    </row>
    <row r="10834">
      <c r="A10834" t="inlineStr">
        <is>
          <t>Venezuela, RB</t>
        </is>
      </c>
      <c r="B10834" t="inlineStr">
        <is>
          <t>VEN</t>
        </is>
      </c>
      <c r="C10834" t="n">
        <v>2011</v>
      </c>
      <c r="D10834" t="n">
        <v>26.0902123160959</v>
      </c>
    </row>
    <row r="10835">
      <c r="A10835" t="inlineStr">
        <is>
          <t>Venezuela, RB</t>
        </is>
      </c>
      <c r="B10835" t="inlineStr">
        <is>
          <t>VEN</t>
        </is>
      </c>
      <c r="C10835" t="n">
        <v>2012</v>
      </c>
      <c r="D10835" t="n">
        <v>21.0689956331876</v>
      </c>
    </row>
    <row r="10836">
      <c r="A10836" t="inlineStr">
        <is>
          <t>Venezuela, RB</t>
        </is>
      </c>
      <c r="B10836" t="inlineStr">
        <is>
          <t>VEN</t>
        </is>
      </c>
      <c r="C10836" t="n">
        <v>2013</v>
      </c>
      <c r="D10836" t="n">
        <v>40.6394275161589</v>
      </c>
    </row>
    <row r="10837">
      <c r="A10837" t="inlineStr">
        <is>
          <t>Venezuela, RB</t>
        </is>
      </c>
      <c r="B10837" t="inlineStr">
        <is>
          <t>VEN</t>
        </is>
      </c>
      <c r="C10837" t="n">
        <v>2014</v>
      </c>
      <c r="D10837" t="n">
        <v>62.1686499794829</v>
      </c>
    </row>
    <row r="10838">
      <c r="A10838" t="inlineStr">
        <is>
          <t>Venezuela, RB</t>
        </is>
      </c>
      <c r="B10838" t="inlineStr">
        <is>
          <t>VEN</t>
        </is>
      </c>
      <c r="C10838" t="n">
        <v>2015</v>
      </c>
      <c r="D10838" t="n">
        <v>121.738085297503</v>
      </c>
    </row>
    <row r="10839">
      <c r="A10839" t="inlineStr">
        <is>
          <t>Venezuela, RB</t>
        </is>
      </c>
      <c r="B10839" t="inlineStr">
        <is>
          <t>VEN</t>
        </is>
      </c>
      <c r="C10839" t="n">
        <v>2016</v>
      </c>
      <c r="D10839" t="n">
        <v>254.948534781816</v>
      </c>
    </row>
    <row r="10840">
      <c r="A10840" t="inlineStr">
        <is>
          <t>Viet Nam</t>
        </is>
      </c>
      <c r="B10840" t="inlineStr">
        <is>
          <t>VNM</t>
        </is>
      </c>
      <c r="C10840" t="n">
        <v>1996</v>
      </c>
      <c r="D10840" t="n">
        <v>5.67499999999994</v>
      </c>
    </row>
    <row r="10841">
      <c r="A10841" t="inlineStr">
        <is>
          <t>Viet Nam</t>
        </is>
      </c>
      <c r="B10841" t="inlineStr">
        <is>
          <t>VNM</t>
        </is>
      </c>
      <c r="C10841" t="n">
        <v>1997</v>
      </c>
      <c r="D10841" t="n">
        <v>3.20952606261374</v>
      </c>
    </row>
    <row r="10842">
      <c r="A10842" t="inlineStr">
        <is>
          <t>Viet Nam</t>
        </is>
      </c>
      <c r="B10842" t="inlineStr">
        <is>
          <t>VNM</t>
        </is>
      </c>
      <c r="C10842" t="n">
        <v>1998</v>
      </c>
      <c r="D10842" t="n">
        <v>7.2661980440096</v>
      </c>
    </row>
    <row r="10843">
      <c r="A10843" t="inlineStr">
        <is>
          <t>Viet Nam</t>
        </is>
      </c>
      <c r="B10843" t="inlineStr">
        <is>
          <t>VNM</t>
        </is>
      </c>
      <c r="C10843" t="n">
        <v>1999</v>
      </c>
      <c r="D10843" t="n">
        <v>4.11710235771736</v>
      </c>
    </row>
    <row r="10844">
      <c r="A10844" t="inlineStr">
        <is>
          <t>Viet Nam</t>
        </is>
      </c>
      <c r="B10844" t="inlineStr">
        <is>
          <t>VNM</t>
        </is>
      </c>
      <c r="C10844" t="n">
        <v>2000</v>
      </c>
      <c r="D10844" t="n">
        <v>-1.71033727851109</v>
      </c>
    </row>
    <row r="10845">
      <c r="A10845" t="inlineStr">
        <is>
          <t>Viet Nam</t>
        </is>
      </c>
      <c r="B10845" t="inlineStr">
        <is>
          <t>VNM</t>
        </is>
      </c>
      <c r="C10845" t="n">
        <v>2001</v>
      </c>
      <c r="D10845" t="n">
        <v>-0.43154451172818</v>
      </c>
    </row>
    <row r="10846">
      <c r="A10846" t="inlineStr">
        <is>
          <t>Viet Nam</t>
        </is>
      </c>
      <c r="B10846" t="inlineStr">
        <is>
          <t>VNM</t>
        </is>
      </c>
      <c r="C10846" t="n">
        <v>2002</v>
      </c>
      <c r="D10846" t="n">
        <v>3.83082838168467</v>
      </c>
    </row>
    <row r="10847">
      <c r="A10847" t="inlineStr">
        <is>
          <t>Viet Nam</t>
        </is>
      </c>
      <c r="B10847" t="inlineStr">
        <is>
          <t>VNM</t>
        </is>
      </c>
      <c r="C10847" t="n">
        <v>2003</v>
      </c>
      <c r="D10847" t="n">
        <v>3.23464817293927</v>
      </c>
    </row>
    <row r="10848">
      <c r="A10848" t="inlineStr">
        <is>
          <t>Viet Nam</t>
        </is>
      </c>
      <c r="B10848" t="inlineStr">
        <is>
          <t>VNM</t>
        </is>
      </c>
      <c r="C10848" t="n">
        <v>2004</v>
      </c>
      <c r="D10848" t="n">
        <v>7.75494748709601</v>
      </c>
    </row>
    <row r="10849">
      <c r="A10849" t="inlineStr">
        <is>
          <t>Viet Nam</t>
        </is>
      </c>
      <c r="B10849" t="inlineStr">
        <is>
          <t>VNM</t>
        </is>
      </c>
      <c r="C10849" t="n">
        <v>2005</v>
      </c>
      <c r="D10849" t="n">
        <v>8.284572431286771</v>
      </c>
    </row>
    <row r="10850">
      <c r="A10850" t="inlineStr">
        <is>
          <t>Viet Nam</t>
        </is>
      </c>
      <c r="B10850" t="inlineStr">
        <is>
          <t>VNM</t>
        </is>
      </c>
      <c r="C10850" t="n">
        <v>2006</v>
      </c>
      <c r="D10850" t="n">
        <v>7.41801715108463</v>
      </c>
    </row>
    <row r="10851">
      <c r="A10851" t="inlineStr">
        <is>
          <t>Viet Nam</t>
        </is>
      </c>
      <c r="B10851" t="inlineStr">
        <is>
          <t>VNM</t>
        </is>
      </c>
      <c r="C10851" t="n">
        <v>2007</v>
      </c>
      <c r="D10851" t="n">
        <v>8.344448897738371</v>
      </c>
    </row>
    <row r="10852">
      <c r="A10852" t="inlineStr">
        <is>
          <t>Viet Nam</t>
        </is>
      </c>
      <c r="B10852" t="inlineStr">
        <is>
          <t>VNM</t>
        </is>
      </c>
      <c r="C10852" t="n">
        <v>2008</v>
      </c>
      <c r="D10852" t="n">
        <v>23.1154483474477</v>
      </c>
    </row>
    <row r="10853">
      <c r="A10853" t="inlineStr">
        <is>
          <t>Viet Nam</t>
        </is>
      </c>
      <c r="B10853" t="inlineStr">
        <is>
          <t>VNM</t>
        </is>
      </c>
      <c r="C10853" t="n">
        <v>2009</v>
      </c>
      <c r="D10853" t="n">
        <v>6.71698269988629</v>
      </c>
    </row>
    <row r="10854">
      <c r="A10854" t="inlineStr">
        <is>
          <t>Viet Nam</t>
        </is>
      </c>
      <c r="B10854" t="inlineStr">
        <is>
          <t>VNM</t>
        </is>
      </c>
      <c r="C10854" t="n">
        <v>2010</v>
      </c>
      <c r="D10854" t="n">
        <v>9.20746648778413</v>
      </c>
    </row>
    <row r="10855">
      <c r="A10855" t="inlineStr">
        <is>
          <t>Viet Nam</t>
        </is>
      </c>
      <c r="B10855" t="inlineStr">
        <is>
          <t>VNM</t>
        </is>
      </c>
      <c r="C10855" t="n">
        <v>2011</v>
      </c>
      <c r="D10855" t="n">
        <v>18.6777322770707</v>
      </c>
    </row>
    <row r="10856">
      <c r="A10856" t="inlineStr">
        <is>
          <t>Viet Nam</t>
        </is>
      </c>
      <c r="B10856" t="inlineStr">
        <is>
          <t>VNM</t>
        </is>
      </c>
      <c r="C10856" t="n">
        <v>2012</v>
      </c>
      <c r="D10856" t="n">
        <v>9.094703395571919</v>
      </c>
    </row>
    <row r="10857">
      <c r="A10857" t="inlineStr">
        <is>
          <t>Viet Nam</t>
        </is>
      </c>
      <c r="B10857" t="inlineStr">
        <is>
          <t>VNM</t>
        </is>
      </c>
      <c r="C10857" t="n">
        <v>2013</v>
      </c>
      <c r="D10857" t="n">
        <v>6.59267475899192</v>
      </c>
    </row>
    <row r="10858">
      <c r="A10858" t="inlineStr">
        <is>
          <t>Viet Nam</t>
        </is>
      </c>
      <c r="B10858" t="inlineStr">
        <is>
          <t>VNM</t>
        </is>
      </c>
      <c r="C10858" t="n">
        <v>2014</v>
      </c>
      <c r="D10858" t="n">
        <v>4.08455446637617</v>
      </c>
    </row>
    <row r="10859">
      <c r="A10859" t="inlineStr">
        <is>
          <t>Viet Nam</t>
        </is>
      </c>
      <c r="B10859" t="inlineStr">
        <is>
          <t>VNM</t>
        </is>
      </c>
      <c r="C10859" t="n">
        <v>2015</v>
      </c>
      <c r="D10859" t="n">
        <v>0.631200905175754</v>
      </c>
    </row>
    <row r="10860">
      <c r="A10860" t="inlineStr">
        <is>
          <t>Viet Nam</t>
        </is>
      </c>
      <c r="B10860" t="inlineStr">
        <is>
          <t>VNM</t>
        </is>
      </c>
      <c r="C10860" t="n">
        <v>2016</v>
      </c>
      <c r="D10860" t="n">
        <v>2.66824816969082</v>
      </c>
    </row>
    <row r="10861">
      <c r="A10861" t="inlineStr">
        <is>
          <t>Viet Nam</t>
        </is>
      </c>
      <c r="B10861" t="inlineStr">
        <is>
          <t>VNM</t>
        </is>
      </c>
      <c r="C10861" t="n">
        <v>2017</v>
      </c>
      <c r="D10861" t="n">
        <v>3.52025688811617</v>
      </c>
    </row>
    <row r="10862">
      <c r="A10862" t="inlineStr">
        <is>
          <t>Viet Nam</t>
        </is>
      </c>
      <c r="B10862" t="inlineStr">
        <is>
          <t>VNM</t>
        </is>
      </c>
      <c r="C10862" t="n">
        <v>2018</v>
      </c>
      <c r="D10862" t="n">
        <v>3.53962805942641</v>
      </c>
    </row>
    <row r="10863">
      <c r="A10863" t="inlineStr">
        <is>
          <t>Viet Nam</t>
        </is>
      </c>
      <c r="B10863" t="inlineStr">
        <is>
          <t>VNM</t>
        </is>
      </c>
      <c r="C10863" t="n">
        <v>2019</v>
      </c>
      <c r="D10863" t="n">
        <v>2.7958236745225</v>
      </c>
    </row>
    <row r="10864">
      <c r="A10864" t="inlineStr">
        <is>
          <t>Viet Nam</t>
        </is>
      </c>
      <c r="B10864" t="inlineStr">
        <is>
          <t>VNM</t>
        </is>
      </c>
      <c r="C10864" t="n">
        <v>2020</v>
      </c>
      <c r="D10864" t="n">
        <v>3.22093436652514</v>
      </c>
    </row>
    <row r="10865">
      <c r="A10865" t="inlineStr">
        <is>
          <t>Viet Nam</t>
        </is>
      </c>
      <c r="B10865" t="inlineStr">
        <is>
          <t>VNM</t>
        </is>
      </c>
      <c r="C10865" t="n">
        <v>2021</v>
      </c>
      <c r="D10865" t="n">
        <v>1.83471554810444</v>
      </c>
    </row>
    <row r="10866">
      <c r="A10866" t="inlineStr">
        <is>
          <t>Viet Nam</t>
        </is>
      </c>
      <c r="B10866" t="inlineStr">
        <is>
          <t>VNM</t>
        </is>
      </c>
      <c r="C10866" t="n">
        <v>2022</v>
      </c>
      <c r="D10866" t="n">
        <v>3.15650749963129</v>
      </c>
    </row>
    <row r="10867">
      <c r="A10867" t="inlineStr">
        <is>
          <t>Viet Nam</t>
        </is>
      </c>
      <c r="B10867" t="inlineStr">
        <is>
          <t>VNM</t>
        </is>
      </c>
      <c r="C10867" t="n">
        <v>2023</v>
      </c>
      <c r="D10867" t="n">
        <v>3.25289282667662</v>
      </c>
    </row>
    <row r="10868">
      <c r="A10868" t="inlineStr">
        <is>
          <t>Viet Nam</t>
        </is>
      </c>
      <c r="B10868" t="inlineStr">
        <is>
          <t>VNM</t>
        </is>
      </c>
      <c r="C10868" t="n">
        <v>2024</v>
      </c>
      <c r="D10868" t="n">
        <v>3.62109273885843</v>
      </c>
    </row>
    <row r="10869">
      <c r="A10869" t="inlineStr">
        <is>
          <t>Vanuatu</t>
        </is>
      </c>
      <c r="B10869" t="inlineStr">
        <is>
          <t>VUT</t>
        </is>
      </c>
      <c r="C10869" t="n">
        <v>1977</v>
      </c>
      <c r="D10869" t="n">
        <v>5.73650947982459</v>
      </c>
    </row>
    <row r="10870">
      <c r="A10870" t="inlineStr">
        <is>
          <t>Vanuatu</t>
        </is>
      </c>
      <c r="B10870" t="inlineStr">
        <is>
          <t>VUT</t>
        </is>
      </c>
      <c r="C10870" t="n">
        <v>1978</v>
      </c>
      <c r="D10870" t="n">
        <v>6.4137931034485</v>
      </c>
    </row>
    <row r="10871">
      <c r="A10871" t="inlineStr">
        <is>
          <t>Vanuatu</t>
        </is>
      </c>
      <c r="B10871" t="inlineStr">
        <is>
          <t>VUT</t>
        </is>
      </c>
      <c r="C10871" t="n">
        <v>1979</v>
      </c>
      <c r="D10871" t="n">
        <v>4.16936703391667</v>
      </c>
    </row>
    <row r="10872">
      <c r="A10872" t="inlineStr">
        <is>
          <t>Vanuatu</t>
        </is>
      </c>
      <c r="B10872" t="inlineStr">
        <is>
          <t>VUT</t>
        </is>
      </c>
      <c r="C10872" t="n">
        <v>1980</v>
      </c>
      <c r="D10872" t="n">
        <v>11.2401493156364</v>
      </c>
    </row>
    <row r="10873">
      <c r="A10873" t="inlineStr">
        <is>
          <t>Vanuatu</t>
        </is>
      </c>
      <c r="B10873" t="inlineStr">
        <is>
          <t>VUT</t>
        </is>
      </c>
      <c r="C10873" t="n">
        <v>1981</v>
      </c>
      <c r="D10873" t="n">
        <v>26.8456375838928</v>
      </c>
    </row>
    <row r="10874">
      <c r="A10874" t="inlineStr">
        <is>
          <t>Vanuatu</t>
        </is>
      </c>
      <c r="B10874" t="inlineStr">
        <is>
          <t>VUT</t>
        </is>
      </c>
      <c r="C10874" t="n">
        <v>1982</v>
      </c>
      <c r="D10874" t="n">
        <v>6.67254556143448</v>
      </c>
    </row>
    <row r="10875">
      <c r="A10875" t="inlineStr">
        <is>
          <t>Vanuatu</t>
        </is>
      </c>
      <c r="B10875" t="inlineStr">
        <is>
          <t>VUT</t>
        </is>
      </c>
      <c r="C10875" t="n">
        <v>1983</v>
      </c>
      <c r="D10875" t="n">
        <v>1.65334802976032</v>
      </c>
    </row>
    <row r="10876">
      <c r="A10876" t="inlineStr">
        <is>
          <t>Vanuatu</t>
        </is>
      </c>
      <c r="B10876" t="inlineStr">
        <is>
          <t>VUT</t>
        </is>
      </c>
      <c r="C10876" t="n">
        <v>1984</v>
      </c>
      <c r="D10876" t="n">
        <v>5.5164001084304</v>
      </c>
    </row>
    <row r="10877">
      <c r="A10877" t="inlineStr">
        <is>
          <t>Vanuatu</t>
        </is>
      </c>
      <c r="B10877" t="inlineStr">
        <is>
          <t>VUT</t>
        </is>
      </c>
      <c r="C10877" t="n">
        <v>1985</v>
      </c>
      <c r="D10877" t="n">
        <v>1.06615285806043</v>
      </c>
    </row>
    <row r="10878">
      <c r="A10878" t="inlineStr">
        <is>
          <t>Vanuatu</t>
        </is>
      </c>
      <c r="B10878" t="inlineStr">
        <is>
          <t>VUT</t>
        </is>
      </c>
      <c r="C10878" t="n">
        <v>1986</v>
      </c>
      <c r="D10878" t="n">
        <v>4.76614133197763</v>
      </c>
    </row>
    <row r="10879">
      <c r="A10879" t="inlineStr">
        <is>
          <t>Vanuatu</t>
        </is>
      </c>
      <c r="B10879" t="inlineStr">
        <is>
          <t>VUT</t>
        </is>
      </c>
      <c r="C10879" t="n">
        <v>1987</v>
      </c>
      <c r="D10879" t="n">
        <v>16.0393950052762</v>
      </c>
    </row>
    <row r="10880">
      <c r="A10880" t="inlineStr">
        <is>
          <t>Vanuatu</t>
        </is>
      </c>
      <c r="B10880" t="inlineStr">
        <is>
          <t>VUT</t>
        </is>
      </c>
      <c r="C10880" t="n">
        <v>1988</v>
      </c>
      <c r="D10880" t="n">
        <v>8.760230372840089</v>
      </c>
    </row>
    <row r="10881">
      <c r="A10881" t="inlineStr">
        <is>
          <t>Vanuatu</t>
        </is>
      </c>
      <c r="B10881" t="inlineStr">
        <is>
          <t>VUT</t>
        </is>
      </c>
      <c r="C10881" t="n">
        <v>1989</v>
      </c>
      <c r="D10881" t="n">
        <v>7.74804905239702</v>
      </c>
    </row>
    <row r="10882">
      <c r="A10882" t="inlineStr">
        <is>
          <t>Vanuatu</t>
        </is>
      </c>
      <c r="B10882" t="inlineStr">
        <is>
          <t>VUT</t>
        </is>
      </c>
      <c r="C10882" t="n">
        <v>1990</v>
      </c>
      <c r="D10882" t="n">
        <v>4.7594412829797</v>
      </c>
    </row>
    <row r="10883">
      <c r="A10883" t="inlineStr">
        <is>
          <t>Vanuatu</t>
        </is>
      </c>
      <c r="B10883" t="inlineStr">
        <is>
          <t>VUT</t>
        </is>
      </c>
      <c r="C10883" t="n">
        <v>1991</v>
      </c>
      <c r="D10883" t="n">
        <v>6.46913580246914</v>
      </c>
    </row>
    <row r="10884">
      <c r="A10884" t="inlineStr">
        <is>
          <t>Vanuatu</t>
        </is>
      </c>
      <c r="B10884" t="inlineStr">
        <is>
          <t>VUT</t>
        </is>
      </c>
      <c r="C10884" t="n">
        <v>1992</v>
      </c>
      <c r="D10884" t="n">
        <v>4.0584415584416</v>
      </c>
    </row>
    <row r="10885">
      <c r="A10885" t="inlineStr">
        <is>
          <t>Vanuatu</t>
        </is>
      </c>
      <c r="B10885" t="inlineStr">
        <is>
          <t>VUT</t>
        </is>
      </c>
      <c r="C10885" t="n">
        <v>1993</v>
      </c>
      <c r="D10885" t="n">
        <v>3.56585691999116</v>
      </c>
    </row>
    <row r="10886">
      <c r="A10886" t="inlineStr">
        <is>
          <t>Vanuatu</t>
        </is>
      </c>
      <c r="B10886" t="inlineStr">
        <is>
          <t>VUT</t>
        </is>
      </c>
      <c r="C10886" t="n">
        <v>1994</v>
      </c>
      <c r="D10886" t="n">
        <v>2.30256079190869</v>
      </c>
    </row>
    <row r="10887">
      <c r="A10887" t="inlineStr">
        <is>
          <t>Vanuatu</t>
        </is>
      </c>
      <c r="B10887" t="inlineStr">
        <is>
          <t>VUT</t>
        </is>
      </c>
      <c r="C10887" t="n">
        <v>1995</v>
      </c>
      <c r="D10887" t="n">
        <v>2.22970130416487</v>
      </c>
    </row>
    <row r="10888">
      <c r="A10888" t="inlineStr">
        <is>
          <t>Vanuatu</t>
        </is>
      </c>
      <c r="B10888" t="inlineStr">
        <is>
          <t>VUT</t>
        </is>
      </c>
      <c r="C10888" t="n">
        <v>1996</v>
      </c>
      <c r="D10888" t="n">
        <v>0.906344410876219</v>
      </c>
    </row>
    <row r="10889">
      <c r="A10889" t="inlineStr">
        <is>
          <t>Vanuatu</t>
        </is>
      </c>
      <c r="B10889" t="inlineStr">
        <is>
          <t>VUT</t>
        </is>
      </c>
      <c r="C10889" t="n">
        <v>1997</v>
      </c>
      <c r="D10889" t="n">
        <v>2.83070223189979</v>
      </c>
    </row>
    <row r="10890">
      <c r="A10890" t="inlineStr">
        <is>
          <t>Vanuatu</t>
        </is>
      </c>
      <c r="B10890" t="inlineStr">
        <is>
          <t>VUT</t>
        </is>
      </c>
      <c r="C10890" t="n">
        <v>1998</v>
      </c>
      <c r="D10890" t="n">
        <v>3.28215987294863</v>
      </c>
    </row>
    <row r="10891">
      <c r="A10891" t="inlineStr">
        <is>
          <t>Vanuatu</t>
        </is>
      </c>
      <c r="B10891" t="inlineStr">
        <is>
          <t>VUT</t>
        </is>
      </c>
      <c r="C10891" t="n">
        <v>1999</v>
      </c>
      <c r="D10891" t="n">
        <v>1.99897488467452</v>
      </c>
    </row>
    <row r="10892">
      <c r="A10892" t="inlineStr">
        <is>
          <t>Vanuatu</t>
        </is>
      </c>
      <c r="B10892" t="inlineStr">
        <is>
          <t>VUT</t>
        </is>
      </c>
      <c r="C10892" t="n">
        <v>2000</v>
      </c>
      <c r="D10892" t="n">
        <v>2.53768844221106</v>
      </c>
    </row>
    <row r="10893">
      <c r="A10893" t="inlineStr">
        <is>
          <t>Vanuatu</t>
        </is>
      </c>
      <c r="B10893" t="inlineStr">
        <is>
          <t>VUT</t>
        </is>
      </c>
      <c r="C10893" t="n">
        <v>2001</v>
      </c>
      <c r="D10893" t="n">
        <v>3.57755452095074</v>
      </c>
    </row>
    <row r="10894">
      <c r="A10894" t="inlineStr">
        <is>
          <t>Vanuatu</t>
        </is>
      </c>
      <c r="B10894" t="inlineStr">
        <is>
          <t>VUT</t>
        </is>
      </c>
      <c r="C10894" t="n">
        <v>2002</v>
      </c>
      <c r="D10894" t="n">
        <v>1.96356754199195</v>
      </c>
    </row>
    <row r="10895">
      <c r="A10895" t="inlineStr">
        <is>
          <t>Vanuatu</t>
        </is>
      </c>
      <c r="B10895" t="inlineStr">
        <is>
          <t>VUT</t>
        </is>
      </c>
      <c r="C10895" t="n">
        <v>2003</v>
      </c>
      <c r="D10895" t="n">
        <v>3.01624129930394</v>
      </c>
    </row>
    <row r="10896">
      <c r="A10896" t="inlineStr">
        <is>
          <t>Vanuatu</t>
        </is>
      </c>
      <c r="B10896" t="inlineStr">
        <is>
          <t>VUT</t>
        </is>
      </c>
      <c r="C10896" t="n">
        <v>2004</v>
      </c>
      <c r="D10896" t="n">
        <v>1.41891891891893</v>
      </c>
    </row>
    <row r="10897">
      <c r="A10897" t="inlineStr">
        <is>
          <t>Vanuatu</t>
        </is>
      </c>
      <c r="B10897" t="inlineStr">
        <is>
          <t>VUT</t>
        </is>
      </c>
      <c r="C10897" t="n">
        <v>2005</v>
      </c>
      <c r="D10897" t="n">
        <v>1.19920053297801</v>
      </c>
    </row>
    <row r="10898">
      <c r="A10898" t="inlineStr">
        <is>
          <t>Vanuatu</t>
        </is>
      </c>
      <c r="B10898" t="inlineStr">
        <is>
          <t>VUT</t>
        </is>
      </c>
      <c r="C10898" t="n">
        <v>2006</v>
      </c>
      <c r="D10898" t="n">
        <v>2.04081632653062</v>
      </c>
    </row>
    <row r="10899">
      <c r="A10899" t="inlineStr">
        <is>
          <t>Vanuatu</t>
        </is>
      </c>
      <c r="B10899" t="inlineStr">
        <is>
          <t>VUT</t>
        </is>
      </c>
      <c r="C10899" t="n">
        <v>2007</v>
      </c>
      <c r="D10899" t="n">
        <v>3.93548387096774</v>
      </c>
    </row>
    <row r="10900">
      <c r="A10900" t="inlineStr">
        <is>
          <t>Vanuatu</t>
        </is>
      </c>
      <c r="B10900" t="inlineStr">
        <is>
          <t>VUT</t>
        </is>
      </c>
      <c r="C10900" t="n">
        <v>2008</v>
      </c>
      <c r="D10900" t="n">
        <v>4.84171322160149</v>
      </c>
    </row>
    <row r="10901">
      <c r="A10901" t="inlineStr">
        <is>
          <t>Vanuatu</t>
        </is>
      </c>
      <c r="B10901" t="inlineStr">
        <is>
          <t>VUT</t>
        </is>
      </c>
      <c r="C10901" t="n">
        <v>2009</v>
      </c>
      <c r="D10901" t="n">
        <v>4.29706572955357</v>
      </c>
    </row>
    <row r="10902">
      <c r="A10902" t="inlineStr">
        <is>
          <t>Vanuatu</t>
        </is>
      </c>
      <c r="B10902" t="inlineStr">
        <is>
          <t>VUT</t>
        </is>
      </c>
      <c r="C10902" t="n">
        <v>2010</v>
      </c>
      <c r="D10902" t="n">
        <v>2.76269469477348</v>
      </c>
    </row>
    <row r="10903">
      <c r="A10903" t="inlineStr">
        <is>
          <t>Vanuatu</t>
        </is>
      </c>
      <c r="B10903" t="inlineStr">
        <is>
          <t>VUT</t>
        </is>
      </c>
      <c r="C10903" t="n">
        <v>2011</v>
      </c>
      <c r="D10903" t="n">
        <v>0.8737931047810999</v>
      </c>
    </row>
    <row r="10904">
      <c r="A10904" t="inlineStr">
        <is>
          <t>Vanuatu</t>
        </is>
      </c>
      <c r="B10904" t="inlineStr">
        <is>
          <t>VUT</t>
        </is>
      </c>
      <c r="C10904" t="n">
        <v>2012</v>
      </c>
      <c r="D10904" t="n">
        <v>1.34740362877658</v>
      </c>
    </row>
    <row r="10905">
      <c r="A10905" t="inlineStr">
        <is>
          <t>Vanuatu</t>
        </is>
      </c>
      <c r="B10905" t="inlineStr">
        <is>
          <t>VUT</t>
        </is>
      </c>
      <c r="C10905" t="n">
        <v>2013</v>
      </c>
      <c r="D10905" t="n">
        <v>1.45893371757921</v>
      </c>
    </row>
    <row r="10906">
      <c r="A10906" t="inlineStr">
        <is>
          <t>Vanuatu</t>
        </is>
      </c>
      <c r="B10906" t="inlineStr">
        <is>
          <t>VUT</t>
        </is>
      </c>
      <c r="C10906" t="n">
        <v>2014</v>
      </c>
      <c r="D10906" t="n">
        <v>0.798863838097023</v>
      </c>
    </row>
    <row r="10907">
      <c r="A10907" t="inlineStr">
        <is>
          <t>Vanuatu</t>
        </is>
      </c>
      <c r="B10907" t="inlineStr">
        <is>
          <t>VUT</t>
        </is>
      </c>
      <c r="C10907" t="n">
        <v>2015</v>
      </c>
      <c r="D10907" t="n">
        <v>2.48326875660439</v>
      </c>
    </row>
    <row r="10908">
      <c r="A10908" t="inlineStr">
        <is>
          <t>Vanuatu</t>
        </is>
      </c>
      <c r="B10908" t="inlineStr">
        <is>
          <t>VUT</t>
        </is>
      </c>
      <c r="C10908" t="n">
        <v>2016</v>
      </c>
      <c r="D10908" t="n">
        <v>0.842069084035061</v>
      </c>
    </row>
    <row r="10909">
      <c r="A10909" t="inlineStr">
        <is>
          <t>Vanuatu</t>
        </is>
      </c>
      <c r="B10909" t="inlineStr">
        <is>
          <t>VUT</t>
        </is>
      </c>
      <c r="C10909" t="n">
        <v>2017</v>
      </c>
      <c r="D10909" t="n">
        <v>3.08452624403546</v>
      </c>
    </row>
    <row r="10910">
      <c r="A10910" t="inlineStr">
        <is>
          <t>Vanuatu</t>
        </is>
      </c>
      <c r="B10910" t="inlineStr">
        <is>
          <t>VUT</t>
        </is>
      </c>
      <c r="C10910" t="n">
        <v>2018</v>
      </c>
      <c r="D10910" t="n">
        <v>2.33096379566866</v>
      </c>
    </row>
    <row r="10911">
      <c r="A10911" t="inlineStr">
        <is>
          <t>Vanuatu</t>
        </is>
      </c>
      <c r="B10911" t="inlineStr">
        <is>
          <t>VUT</t>
        </is>
      </c>
      <c r="C10911" t="n">
        <v>2019</v>
      </c>
      <c r="D10911" t="n">
        <v>2.76252019386111</v>
      </c>
    </row>
    <row r="10912">
      <c r="A10912" t="inlineStr">
        <is>
          <t>Vanuatu</t>
        </is>
      </c>
      <c r="B10912" t="inlineStr">
        <is>
          <t>VUT</t>
        </is>
      </c>
      <c r="C10912" t="n">
        <v>2020</v>
      </c>
      <c r="D10912" t="n">
        <v>5.32935073101715</v>
      </c>
    </row>
    <row r="10913">
      <c r="A10913" t="inlineStr">
        <is>
          <t>Vanuatu</t>
        </is>
      </c>
      <c r="B10913" t="inlineStr">
        <is>
          <t>VUT</t>
        </is>
      </c>
      <c r="C10913" t="n">
        <v>2021</v>
      </c>
      <c r="D10913" t="n">
        <v>2.34328358208953</v>
      </c>
    </row>
    <row r="10914">
      <c r="A10914" t="inlineStr">
        <is>
          <t>Vanuatu</t>
        </is>
      </c>
      <c r="B10914" t="inlineStr">
        <is>
          <t>VUT</t>
        </is>
      </c>
      <c r="C10914" t="n">
        <v>2022</v>
      </c>
      <c r="D10914" t="n">
        <v>6.67930581887121</v>
      </c>
    </row>
    <row r="10915">
      <c r="A10915" t="inlineStr">
        <is>
          <t>Vanuatu</t>
        </is>
      </c>
      <c r="B10915" t="inlineStr">
        <is>
          <t>VUT</t>
        </is>
      </c>
      <c r="C10915" t="n">
        <v>2023</v>
      </c>
      <c r="D10915" t="n">
        <v>11.1825017088175</v>
      </c>
    </row>
    <row r="10916">
      <c r="A10916" t="inlineStr">
        <is>
          <t>World</t>
        </is>
      </c>
      <c r="B10916" t="inlineStr">
        <is>
          <t>WLD</t>
        </is>
      </c>
      <c r="C10916" t="n">
        <v>1981</v>
      </c>
      <c r="D10916" t="n">
        <v>12.4424368936176</v>
      </c>
    </row>
    <row r="10917">
      <c r="A10917" t="inlineStr">
        <is>
          <t>World</t>
        </is>
      </c>
      <c r="B10917" t="inlineStr">
        <is>
          <t>WLD</t>
        </is>
      </c>
      <c r="C10917" t="n">
        <v>1982</v>
      </c>
      <c r="D10917" t="n">
        <v>10.2217271376892</v>
      </c>
    </row>
    <row r="10918">
      <c r="A10918" t="inlineStr">
        <is>
          <t>World</t>
        </is>
      </c>
      <c r="B10918" t="inlineStr">
        <is>
          <t>WLD</t>
        </is>
      </c>
      <c r="C10918" t="n">
        <v>1983</v>
      </c>
      <c r="D10918" t="n">
        <v>8.669271598085221</v>
      </c>
    </row>
    <row r="10919">
      <c r="A10919" t="inlineStr">
        <is>
          <t>World</t>
        </is>
      </c>
      <c r="B10919" t="inlineStr">
        <is>
          <t>WLD</t>
        </is>
      </c>
      <c r="C10919" t="n">
        <v>1984</v>
      </c>
      <c r="D10919" t="n">
        <v>8.080320172557609</v>
      </c>
    </row>
    <row r="10920">
      <c r="A10920" t="inlineStr">
        <is>
          <t>World</t>
        </is>
      </c>
      <c r="B10920" t="inlineStr">
        <is>
          <t>WLD</t>
        </is>
      </c>
      <c r="C10920" t="n">
        <v>1985</v>
      </c>
      <c r="D10920" t="n">
        <v>6.80756655768333</v>
      </c>
    </row>
    <row r="10921">
      <c r="A10921" t="inlineStr">
        <is>
          <t>World</t>
        </is>
      </c>
      <c r="B10921" t="inlineStr">
        <is>
          <t>WLD</t>
        </is>
      </c>
      <c r="C10921" t="n">
        <v>1986</v>
      </c>
      <c r="D10921" t="n">
        <v>5.77811257038602</v>
      </c>
    </row>
    <row r="10922">
      <c r="A10922" t="inlineStr">
        <is>
          <t>World</t>
        </is>
      </c>
      <c r="B10922" t="inlineStr">
        <is>
          <t>WLD</t>
        </is>
      </c>
      <c r="C10922" t="n">
        <v>1987</v>
      </c>
      <c r="D10922" t="n">
        <v>5.71011938486679</v>
      </c>
    </row>
    <row r="10923">
      <c r="A10923" t="inlineStr">
        <is>
          <t>World</t>
        </is>
      </c>
      <c r="B10923" t="inlineStr">
        <is>
          <t>WLD</t>
        </is>
      </c>
      <c r="C10923" t="n">
        <v>1988</v>
      </c>
      <c r="D10923" t="n">
        <v>7.11340652931347</v>
      </c>
    </row>
    <row r="10924">
      <c r="A10924" t="inlineStr">
        <is>
          <t>World</t>
        </is>
      </c>
      <c r="B10924" t="inlineStr">
        <is>
          <t>WLD</t>
        </is>
      </c>
      <c r="C10924" t="n">
        <v>1989</v>
      </c>
      <c r="D10924" t="n">
        <v>6.92390503711238</v>
      </c>
    </row>
    <row r="10925">
      <c r="A10925" t="inlineStr">
        <is>
          <t>World</t>
        </is>
      </c>
      <c r="B10925" t="inlineStr">
        <is>
          <t>WLD</t>
        </is>
      </c>
      <c r="C10925" t="n">
        <v>1990</v>
      </c>
      <c r="D10925" t="n">
        <v>8.063460909388329</v>
      </c>
    </row>
    <row r="10926">
      <c r="A10926" t="inlineStr">
        <is>
          <t>World</t>
        </is>
      </c>
      <c r="B10926" t="inlineStr">
        <is>
          <t>WLD</t>
        </is>
      </c>
      <c r="C10926" t="n">
        <v>1991</v>
      </c>
      <c r="D10926" t="n">
        <v>8.99693873494331</v>
      </c>
    </row>
    <row r="10927">
      <c r="A10927" t="inlineStr">
        <is>
          <t>World</t>
        </is>
      </c>
      <c r="B10927" t="inlineStr">
        <is>
          <t>WLD</t>
        </is>
      </c>
      <c r="C10927" t="n">
        <v>1992</v>
      </c>
      <c r="D10927" t="n">
        <v>7.63610852336974</v>
      </c>
    </row>
    <row r="10928">
      <c r="A10928" t="inlineStr">
        <is>
          <t>World</t>
        </is>
      </c>
      <c r="B10928" t="inlineStr">
        <is>
          <t>WLD</t>
        </is>
      </c>
      <c r="C10928" t="n">
        <v>1993</v>
      </c>
      <c r="D10928" t="n">
        <v>7.14458706876256</v>
      </c>
    </row>
    <row r="10929">
      <c r="A10929" t="inlineStr">
        <is>
          <t>World</t>
        </is>
      </c>
      <c r="B10929" t="inlineStr">
        <is>
          <t>WLD</t>
        </is>
      </c>
      <c r="C10929" t="n">
        <v>1994</v>
      </c>
      <c r="D10929" t="n">
        <v>10.2479355556119</v>
      </c>
    </row>
    <row r="10930">
      <c r="A10930" t="inlineStr">
        <is>
          <t>World</t>
        </is>
      </c>
      <c r="B10930" t="inlineStr">
        <is>
          <t>WLD</t>
        </is>
      </c>
      <c r="C10930" t="n">
        <v>1995</v>
      </c>
      <c r="D10930" t="n">
        <v>9.07738095238091</v>
      </c>
    </row>
    <row r="10931">
      <c r="A10931" t="inlineStr">
        <is>
          <t>World</t>
        </is>
      </c>
      <c r="B10931" t="inlineStr">
        <is>
          <t>WLD</t>
        </is>
      </c>
      <c r="C10931" t="n">
        <v>1996</v>
      </c>
      <c r="D10931" t="n">
        <v>6.52609569372579</v>
      </c>
    </row>
    <row r="10932">
      <c r="A10932" t="inlineStr">
        <is>
          <t>World</t>
        </is>
      </c>
      <c r="B10932" t="inlineStr">
        <is>
          <t>WLD</t>
        </is>
      </c>
      <c r="C10932" t="n">
        <v>1997</v>
      </c>
      <c r="D10932" t="n">
        <v>5.55412988949405</v>
      </c>
    </row>
    <row r="10933">
      <c r="A10933" t="inlineStr">
        <is>
          <t>World</t>
        </is>
      </c>
      <c r="B10933" t="inlineStr">
        <is>
          <t>WLD</t>
        </is>
      </c>
      <c r="C10933" t="n">
        <v>1998</v>
      </c>
      <c r="D10933" t="n">
        <v>5.09729149331441</v>
      </c>
    </row>
    <row r="10934">
      <c r="A10934" t="inlineStr">
        <is>
          <t>World</t>
        </is>
      </c>
      <c r="B10934" t="inlineStr">
        <is>
          <t>WLD</t>
        </is>
      </c>
      <c r="C10934" t="n">
        <v>1999</v>
      </c>
      <c r="D10934" t="n">
        <v>3.04194667094533</v>
      </c>
    </row>
    <row r="10935">
      <c r="A10935" t="inlineStr">
        <is>
          <t>World</t>
        </is>
      </c>
      <c r="B10935" t="inlineStr">
        <is>
          <t>WLD</t>
        </is>
      </c>
      <c r="C10935" t="n">
        <v>2000</v>
      </c>
      <c r="D10935" t="n">
        <v>3.43351563418767</v>
      </c>
    </row>
    <row r="10936">
      <c r="A10936" t="inlineStr">
        <is>
          <t>World</t>
        </is>
      </c>
      <c r="B10936" t="inlineStr">
        <is>
          <t>WLD</t>
        </is>
      </c>
      <c r="C10936" t="n">
        <v>2001</v>
      </c>
      <c r="D10936" t="n">
        <v>3.83657262052543</v>
      </c>
    </row>
    <row r="10937">
      <c r="A10937" t="inlineStr">
        <is>
          <t>World</t>
        </is>
      </c>
      <c r="B10937" t="inlineStr">
        <is>
          <t>WLD</t>
        </is>
      </c>
      <c r="C10937" t="n">
        <v>2002</v>
      </c>
      <c r="D10937" t="n">
        <v>2.90799857032207</v>
      </c>
    </row>
    <row r="10938">
      <c r="A10938" t="inlineStr">
        <is>
          <t>World</t>
        </is>
      </c>
      <c r="B10938" t="inlineStr">
        <is>
          <t>WLD</t>
        </is>
      </c>
      <c r="C10938" t="n">
        <v>2003</v>
      </c>
      <c r="D10938" t="n">
        <v>3.02504526252236</v>
      </c>
    </row>
    <row r="10939">
      <c r="A10939" t="inlineStr">
        <is>
          <t>World</t>
        </is>
      </c>
      <c r="B10939" t="inlineStr">
        <is>
          <t>WLD</t>
        </is>
      </c>
      <c r="C10939" t="n">
        <v>2004</v>
      </c>
      <c r="D10939" t="n">
        <v>3.51799903099596</v>
      </c>
    </row>
    <row r="10940">
      <c r="A10940" t="inlineStr">
        <is>
          <t>World</t>
        </is>
      </c>
      <c r="B10940" t="inlineStr">
        <is>
          <t>WLD</t>
        </is>
      </c>
      <c r="C10940" t="n">
        <v>2005</v>
      </c>
      <c r="D10940" t="n">
        <v>4.10725070715931</v>
      </c>
    </row>
    <row r="10941">
      <c r="A10941" t="inlineStr">
        <is>
          <t>World</t>
        </is>
      </c>
      <c r="B10941" t="inlineStr">
        <is>
          <t>WLD</t>
        </is>
      </c>
      <c r="C10941" t="n">
        <v>2006</v>
      </c>
      <c r="D10941" t="n">
        <v>4.26717463390264</v>
      </c>
    </row>
    <row r="10942">
      <c r="A10942" t="inlineStr">
        <is>
          <t>World</t>
        </is>
      </c>
      <c r="B10942" t="inlineStr">
        <is>
          <t>WLD</t>
        </is>
      </c>
      <c r="C10942" t="n">
        <v>2007</v>
      </c>
      <c r="D10942" t="n">
        <v>4.81023704342912</v>
      </c>
    </row>
    <row r="10943">
      <c r="A10943" t="inlineStr">
        <is>
          <t>World</t>
        </is>
      </c>
      <c r="B10943" t="inlineStr">
        <is>
          <t>WLD</t>
        </is>
      </c>
      <c r="C10943" t="n">
        <v>2008</v>
      </c>
      <c r="D10943" t="n">
        <v>8.94995335353387</v>
      </c>
    </row>
    <row r="10944">
      <c r="A10944" t="inlineStr">
        <is>
          <t>World</t>
        </is>
      </c>
      <c r="B10944" t="inlineStr">
        <is>
          <t>WLD</t>
        </is>
      </c>
      <c r="C10944" t="n">
        <v>2009</v>
      </c>
      <c r="D10944" t="n">
        <v>2.86044855902674</v>
      </c>
    </row>
    <row r="10945">
      <c r="A10945" t="inlineStr">
        <is>
          <t>World</t>
        </is>
      </c>
      <c r="B10945" t="inlineStr">
        <is>
          <t>WLD</t>
        </is>
      </c>
      <c r="C10945" t="n">
        <v>2010</v>
      </c>
      <c r="D10945" t="n">
        <v>3.32634463368643</v>
      </c>
    </row>
    <row r="10946">
      <c r="A10946" t="inlineStr">
        <is>
          <t>World</t>
        </is>
      </c>
      <c r="B10946" t="inlineStr">
        <is>
          <t>WLD</t>
        </is>
      </c>
      <c r="C10946" t="n">
        <v>2011</v>
      </c>
      <c r="D10946" t="n">
        <v>4.82239636013325</v>
      </c>
    </row>
    <row r="10947">
      <c r="A10947" t="inlineStr">
        <is>
          <t>World</t>
        </is>
      </c>
      <c r="B10947" t="inlineStr">
        <is>
          <t>WLD</t>
        </is>
      </c>
      <c r="C10947" t="n">
        <v>2012</v>
      </c>
      <c r="D10947" t="n">
        <v>3.72532666110646</v>
      </c>
    </row>
    <row r="10948">
      <c r="A10948" t="inlineStr">
        <is>
          <t>World</t>
        </is>
      </c>
      <c r="B10948" t="inlineStr">
        <is>
          <t>WLD</t>
        </is>
      </c>
      <c r="C10948" t="n">
        <v>2013</v>
      </c>
      <c r="D10948" t="n">
        <v>2.65167342916577</v>
      </c>
    </row>
    <row r="10949">
      <c r="A10949" t="inlineStr">
        <is>
          <t>World</t>
        </is>
      </c>
      <c r="B10949" t="inlineStr">
        <is>
          <t>WLD</t>
        </is>
      </c>
      <c r="C10949" t="n">
        <v>2014</v>
      </c>
      <c r="D10949" t="n">
        <v>2.35449052820358</v>
      </c>
    </row>
    <row r="10950">
      <c r="A10950" t="inlineStr">
        <is>
          <t>World</t>
        </is>
      </c>
      <c r="B10950" t="inlineStr">
        <is>
          <t>WLD</t>
        </is>
      </c>
      <c r="C10950" t="n">
        <v>2015</v>
      </c>
      <c r="D10950" t="n">
        <v>1.44385719270808</v>
      </c>
    </row>
    <row r="10951">
      <c r="A10951" t="inlineStr">
        <is>
          <t>World</t>
        </is>
      </c>
      <c r="B10951" t="inlineStr">
        <is>
          <t>WLD</t>
        </is>
      </c>
      <c r="C10951" t="n">
        <v>2016</v>
      </c>
      <c r="D10951" t="n">
        <v>1.60553917414213</v>
      </c>
    </row>
    <row r="10952">
      <c r="A10952" t="inlineStr">
        <is>
          <t>World</t>
        </is>
      </c>
      <c r="B10952" t="inlineStr">
        <is>
          <t>WLD</t>
        </is>
      </c>
      <c r="C10952" t="n">
        <v>2017</v>
      </c>
      <c r="D10952" t="n">
        <v>2.25427651934813</v>
      </c>
    </row>
    <row r="10953">
      <c r="A10953" t="inlineStr">
        <is>
          <t>World</t>
        </is>
      </c>
      <c r="B10953" t="inlineStr">
        <is>
          <t>WLD</t>
        </is>
      </c>
      <c r="C10953" t="n">
        <v>2018</v>
      </c>
      <c r="D10953" t="n">
        <v>2.44258329692817</v>
      </c>
    </row>
    <row r="10954">
      <c r="A10954" t="inlineStr">
        <is>
          <t>World</t>
        </is>
      </c>
      <c r="B10954" t="inlineStr">
        <is>
          <t>WLD</t>
        </is>
      </c>
      <c r="C10954" t="n">
        <v>2019</v>
      </c>
      <c r="D10954" t="n">
        <v>2.20607305781525</v>
      </c>
    </row>
    <row r="10955">
      <c r="A10955" t="inlineStr">
        <is>
          <t>World</t>
        </is>
      </c>
      <c r="B10955" t="inlineStr">
        <is>
          <t>WLD</t>
        </is>
      </c>
      <c r="C10955" t="n">
        <v>2020</v>
      </c>
      <c r="D10955" t="n">
        <v>1.9056635869553</v>
      </c>
    </row>
    <row r="10956">
      <c r="A10956" t="inlineStr">
        <is>
          <t>World</t>
        </is>
      </c>
      <c r="B10956" t="inlineStr">
        <is>
          <t>WLD</t>
        </is>
      </c>
      <c r="C10956" t="n">
        <v>2021</v>
      </c>
      <c r="D10956" t="n">
        <v>3.4754032028988</v>
      </c>
    </row>
    <row r="10957">
      <c r="A10957" t="inlineStr">
        <is>
          <t>World</t>
        </is>
      </c>
      <c r="B10957" t="inlineStr">
        <is>
          <t>WLD</t>
        </is>
      </c>
      <c r="C10957" t="n">
        <v>2022</v>
      </c>
      <c r="D10957" t="n">
        <v>7.93092925430087</v>
      </c>
    </row>
    <row r="10958">
      <c r="A10958" t="inlineStr">
        <is>
          <t>World</t>
        </is>
      </c>
      <c r="B10958" t="inlineStr">
        <is>
          <t>WLD</t>
        </is>
      </c>
      <c r="C10958" t="n">
        <v>2023</v>
      </c>
      <c r="D10958" t="n">
        <v>5.73316283034957</v>
      </c>
    </row>
    <row r="10959">
      <c r="A10959" t="inlineStr">
        <is>
          <t>Samoa</t>
        </is>
      </c>
      <c r="B10959" t="inlineStr">
        <is>
          <t>WSM</t>
        </is>
      </c>
      <c r="C10959" t="n">
        <v>1962</v>
      </c>
      <c r="D10959" t="n">
        <v>2.65486725663724</v>
      </c>
    </row>
    <row r="10960">
      <c r="A10960" t="inlineStr">
        <is>
          <t>Samoa</t>
        </is>
      </c>
      <c r="B10960" t="inlineStr">
        <is>
          <t>WSM</t>
        </is>
      </c>
      <c r="C10960" t="n">
        <v>1963</v>
      </c>
      <c r="D10960" t="n">
        <v>0.689655172413793</v>
      </c>
    </row>
    <row r="10961">
      <c r="A10961" t="inlineStr">
        <is>
          <t>Samoa</t>
        </is>
      </c>
      <c r="B10961" t="inlineStr">
        <is>
          <t>WSM</t>
        </is>
      </c>
      <c r="C10961" t="n">
        <v>1964</v>
      </c>
      <c r="D10961" t="n">
        <v>5.30821917808229</v>
      </c>
    </row>
    <row r="10962">
      <c r="A10962" t="inlineStr">
        <is>
          <t>Samoa</t>
        </is>
      </c>
      <c r="B10962" t="inlineStr">
        <is>
          <t>WSM</t>
        </is>
      </c>
      <c r="C10962" t="n">
        <v>1965</v>
      </c>
      <c r="D10962" t="n">
        <v>2.11382113821132</v>
      </c>
    </row>
    <row r="10963">
      <c r="A10963" t="inlineStr">
        <is>
          <t>Samoa</t>
        </is>
      </c>
      <c r="B10963" t="inlineStr">
        <is>
          <t>WSM</t>
        </is>
      </c>
      <c r="C10963" t="n">
        <v>1966</v>
      </c>
      <c r="D10963" t="n">
        <v>2.86624203821646</v>
      </c>
    </row>
    <row r="10964">
      <c r="A10964" t="inlineStr">
        <is>
          <t>Samoa</t>
        </is>
      </c>
      <c r="B10964" t="inlineStr">
        <is>
          <t>WSM</t>
        </is>
      </c>
      <c r="C10964" t="n">
        <v>1967</v>
      </c>
      <c r="D10964" t="n">
        <v>-0.515995872032687</v>
      </c>
    </row>
    <row r="10965">
      <c r="A10965" t="inlineStr">
        <is>
          <t>Samoa</t>
        </is>
      </c>
      <c r="B10965" t="inlineStr">
        <is>
          <t>WSM</t>
        </is>
      </c>
      <c r="C10965" t="n">
        <v>1968</v>
      </c>
      <c r="D10965" t="n">
        <v>1.71161825726125</v>
      </c>
    </row>
    <row r="10966">
      <c r="A10966" t="inlineStr">
        <is>
          <t>Samoa</t>
        </is>
      </c>
      <c r="B10966" t="inlineStr">
        <is>
          <t>WSM</t>
        </is>
      </c>
      <c r="C10966" t="n">
        <v>1969</v>
      </c>
      <c r="D10966" t="n">
        <v>4.13054563997966</v>
      </c>
    </row>
    <row r="10967">
      <c r="A10967" t="inlineStr">
        <is>
          <t>Samoa</t>
        </is>
      </c>
      <c r="B10967" t="inlineStr">
        <is>
          <t>WSM</t>
        </is>
      </c>
      <c r="C10967" t="n">
        <v>1970</v>
      </c>
      <c r="D10967" t="n">
        <v>2.74240940254606</v>
      </c>
    </row>
    <row r="10968">
      <c r="A10968" t="inlineStr">
        <is>
          <t>Samoa</t>
        </is>
      </c>
      <c r="B10968" t="inlineStr">
        <is>
          <t>WSM</t>
        </is>
      </c>
      <c r="C10968" t="n">
        <v>1971</v>
      </c>
      <c r="D10968" t="n">
        <v>4.76644423260296</v>
      </c>
    </row>
    <row r="10969">
      <c r="A10969" t="inlineStr">
        <is>
          <t>Samoa</t>
        </is>
      </c>
      <c r="B10969" t="inlineStr">
        <is>
          <t>WSM</t>
        </is>
      </c>
      <c r="C10969" t="n">
        <v>1972</v>
      </c>
      <c r="D10969" t="n">
        <v>7.50682438580534</v>
      </c>
    </row>
    <row r="10970">
      <c r="A10970" t="inlineStr">
        <is>
          <t>Samoa</t>
        </is>
      </c>
      <c r="B10970" t="inlineStr">
        <is>
          <t>WSM</t>
        </is>
      </c>
      <c r="C10970" t="n">
        <v>1973</v>
      </c>
      <c r="D10970" t="n">
        <v>11.7642429959867</v>
      </c>
    </row>
    <row r="10971">
      <c r="A10971" t="inlineStr">
        <is>
          <t>Samoa</t>
        </is>
      </c>
      <c r="B10971" t="inlineStr">
        <is>
          <t>WSM</t>
        </is>
      </c>
      <c r="C10971" t="n">
        <v>1974</v>
      </c>
      <c r="D10971" t="n">
        <v>24.9876786595613</v>
      </c>
    </row>
    <row r="10972">
      <c r="A10972" t="inlineStr">
        <is>
          <t>Samoa</t>
        </is>
      </c>
      <c r="B10972" t="inlineStr">
        <is>
          <t>WSM</t>
        </is>
      </c>
      <c r="C10972" t="n">
        <v>1975</v>
      </c>
      <c r="D10972" t="n">
        <v>8.78774222631875</v>
      </c>
    </row>
    <row r="10973">
      <c r="A10973" t="inlineStr">
        <is>
          <t>Samoa</t>
        </is>
      </c>
      <c r="B10973" t="inlineStr">
        <is>
          <t>WSM</t>
        </is>
      </c>
      <c r="C10973" t="n">
        <v>1976</v>
      </c>
      <c r="D10973" t="n">
        <v>4.90368682691046</v>
      </c>
    </row>
    <row r="10974">
      <c r="A10974" t="inlineStr">
        <is>
          <t>Samoa</t>
        </is>
      </c>
      <c r="B10974" t="inlineStr">
        <is>
          <t>WSM</t>
        </is>
      </c>
      <c r="C10974" t="n">
        <v>1977</v>
      </c>
      <c r="D10974" t="n">
        <v>14.6107902659428</v>
      </c>
    </row>
    <row r="10975">
      <c r="A10975" t="inlineStr">
        <is>
          <t>Samoa</t>
        </is>
      </c>
      <c r="B10975" t="inlineStr">
        <is>
          <t>WSM</t>
        </is>
      </c>
      <c r="C10975" t="n">
        <v>1978</v>
      </c>
      <c r="D10975" t="n">
        <v>2.05865885702086</v>
      </c>
    </row>
    <row r="10976">
      <c r="A10976" t="inlineStr">
        <is>
          <t>Samoa</t>
        </is>
      </c>
      <c r="B10976" t="inlineStr">
        <is>
          <t>WSM</t>
        </is>
      </c>
      <c r="C10976" t="n">
        <v>1979</v>
      </c>
      <c r="D10976" t="n">
        <v>11.1195509980497</v>
      </c>
    </row>
    <row r="10977">
      <c r="A10977" t="inlineStr">
        <is>
          <t>Samoa</t>
        </is>
      </c>
      <c r="B10977" t="inlineStr">
        <is>
          <t>WSM</t>
        </is>
      </c>
      <c r="C10977" t="n">
        <v>1980</v>
      </c>
      <c r="D10977" t="n">
        <v>33.0472428985001</v>
      </c>
    </row>
    <row r="10978">
      <c r="A10978" t="inlineStr">
        <is>
          <t>Samoa</t>
        </is>
      </c>
      <c r="B10978" t="inlineStr">
        <is>
          <t>WSM</t>
        </is>
      </c>
      <c r="C10978" t="n">
        <v>1981</v>
      </c>
      <c r="D10978" t="n">
        <v>20.5066244471294</v>
      </c>
    </row>
    <row r="10979">
      <c r="A10979" t="inlineStr">
        <is>
          <t>Samoa</t>
        </is>
      </c>
      <c r="B10979" t="inlineStr">
        <is>
          <t>WSM</t>
        </is>
      </c>
      <c r="C10979" t="n">
        <v>1982</v>
      </c>
      <c r="D10979" t="n">
        <v>18.2962245891187</v>
      </c>
    </row>
    <row r="10980">
      <c r="A10980" t="inlineStr">
        <is>
          <t>Samoa</t>
        </is>
      </c>
      <c r="B10980" t="inlineStr">
        <is>
          <t>WSM</t>
        </is>
      </c>
      <c r="C10980" t="n">
        <v>1983</v>
      </c>
      <c r="D10980" t="n">
        <v>16.4601356089933</v>
      </c>
    </row>
    <row r="10981">
      <c r="A10981" t="inlineStr">
        <is>
          <t>Samoa</t>
        </is>
      </c>
      <c r="B10981" t="inlineStr">
        <is>
          <t>WSM</t>
        </is>
      </c>
      <c r="C10981" t="n">
        <v>1984</v>
      </c>
      <c r="D10981" t="n">
        <v>11.8600682594715</v>
      </c>
    </row>
    <row r="10982">
      <c r="A10982" t="inlineStr">
        <is>
          <t>Samoa</t>
        </is>
      </c>
      <c r="B10982" t="inlineStr">
        <is>
          <t>WSM</t>
        </is>
      </c>
      <c r="C10982" t="n">
        <v>1985</v>
      </c>
      <c r="D10982" t="n">
        <v>9.09050118887493</v>
      </c>
    </row>
    <row r="10983">
      <c r="A10983" t="inlineStr">
        <is>
          <t>Samoa</t>
        </is>
      </c>
      <c r="B10983" t="inlineStr">
        <is>
          <t>WSM</t>
        </is>
      </c>
      <c r="C10983" t="n">
        <v>1986</v>
      </c>
      <c r="D10983" t="n">
        <v>5.73355817902005</v>
      </c>
    </row>
    <row r="10984">
      <c r="A10984" t="inlineStr">
        <is>
          <t>Samoa</t>
        </is>
      </c>
      <c r="B10984" t="inlineStr">
        <is>
          <t>WSM</t>
        </is>
      </c>
      <c r="C10984" t="n">
        <v>1987</v>
      </c>
      <c r="D10984" t="n">
        <v>4.56684949636828</v>
      </c>
    </row>
    <row r="10985">
      <c r="A10985" t="inlineStr">
        <is>
          <t>Samoa</t>
        </is>
      </c>
      <c r="B10985" t="inlineStr">
        <is>
          <t>WSM</t>
        </is>
      </c>
      <c r="C10985" t="n">
        <v>1988</v>
      </c>
      <c r="D10985" t="n">
        <v>8.50786801086301</v>
      </c>
    </row>
    <row r="10986">
      <c r="A10986" t="inlineStr">
        <is>
          <t>Samoa</t>
        </is>
      </c>
      <c r="B10986" t="inlineStr">
        <is>
          <t>WSM</t>
        </is>
      </c>
      <c r="C10986" t="n">
        <v>1989</v>
      </c>
      <c r="D10986" t="n">
        <v>6.46256171146444</v>
      </c>
    </row>
    <row r="10987">
      <c r="A10987" t="inlineStr">
        <is>
          <t>Samoa</t>
        </is>
      </c>
      <c r="B10987" t="inlineStr">
        <is>
          <t>WSM</t>
        </is>
      </c>
      <c r="C10987" t="n">
        <v>1990</v>
      </c>
      <c r="D10987" t="n">
        <v>15.2384632724695</v>
      </c>
    </row>
    <row r="10988">
      <c r="A10988" t="inlineStr">
        <is>
          <t>Samoa</t>
        </is>
      </c>
      <c r="B10988" t="inlineStr">
        <is>
          <t>WSM</t>
        </is>
      </c>
      <c r="C10988" t="n">
        <v>1991</v>
      </c>
      <c r="D10988" t="n">
        <v>-1.81919798798399</v>
      </c>
    </row>
    <row r="10989">
      <c r="A10989" t="inlineStr">
        <is>
          <t>Samoa</t>
        </is>
      </c>
      <c r="B10989" t="inlineStr">
        <is>
          <t>WSM</t>
        </is>
      </c>
      <c r="C10989" t="n">
        <v>1992</v>
      </c>
      <c r="D10989" t="n">
        <v>9.03113792907172</v>
      </c>
    </row>
    <row r="10990">
      <c r="A10990" t="inlineStr">
        <is>
          <t>Samoa</t>
        </is>
      </c>
      <c r="B10990" t="inlineStr">
        <is>
          <t>WSM</t>
        </is>
      </c>
      <c r="C10990" t="n">
        <v>1993</v>
      </c>
      <c r="D10990" t="n">
        <v>1.71509123658868</v>
      </c>
    </row>
    <row r="10991">
      <c r="A10991" t="inlineStr">
        <is>
          <t>Samoa</t>
        </is>
      </c>
      <c r="B10991" t="inlineStr">
        <is>
          <t>WSM</t>
        </is>
      </c>
      <c r="C10991" t="n">
        <v>1994</v>
      </c>
      <c r="D10991" t="n">
        <v>12.0803818909762</v>
      </c>
    </row>
    <row r="10992">
      <c r="A10992" t="inlineStr">
        <is>
          <t>Samoa</t>
        </is>
      </c>
      <c r="B10992" t="inlineStr">
        <is>
          <t>WSM</t>
        </is>
      </c>
      <c r="C10992" t="n">
        <v>1995</v>
      </c>
      <c r="D10992" t="n">
        <v>-2.90352865746142</v>
      </c>
    </row>
    <row r="10993">
      <c r="A10993" t="inlineStr">
        <is>
          <t>Samoa</t>
        </is>
      </c>
      <c r="B10993" t="inlineStr">
        <is>
          <t>WSM</t>
        </is>
      </c>
      <c r="C10993" t="n">
        <v>1996</v>
      </c>
      <c r="D10993" t="n">
        <v>5.37461972030278</v>
      </c>
    </row>
    <row r="10994">
      <c r="A10994" t="inlineStr">
        <is>
          <t>Samoa</t>
        </is>
      </c>
      <c r="B10994" t="inlineStr">
        <is>
          <t>WSM</t>
        </is>
      </c>
      <c r="C10994" t="n">
        <v>1997</v>
      </c>
      <c r="D10994" t="n">
        <v>6.86182355310877</v>
      </c>
    </row>
    <row r="10995">
      <c r="A10995" t="inlineStr">
        <is>
          <t>Samoa</t>
        </is>
      </c>
      <c r="B10995" t="inlineStr">
        <is>
          <t>WSM</t>
        </is>
      </c>
      <c r="C10995" t="n">
        <v>1998</v>
      </c>
      <c r="D10995" t="n">
        <v>2.21883468834654</v>
      </c>
    </row>
    <row r="10996">
      <c r="A10996" t="inlineStr">
        <is>
          <t>Samoa</t>
        </is>
      </c>
      <c r="B10996" t="inlineStr">
        <is>
          <t>WSM</t>
        </is>
      </c>
      <c r="C10996" t="n">
        <v>1999</v>
      </c>
      <c r="D10996" t="n">
        <v>0.265120132560355</v>
      </c>
    </row>
    <row r="10997">
      <c r="A10997" t="inlineStr">
        <is>
          <t>Samoa</t>
        </is>
      </c>
      <c r="B10997" t="inlineStr">
        <is>
          <t>WSM</t>
        </is>
      </c>
      <c r="C10997" t="n">
        <v>2000</v>
      </c>
      <c r="D10997" t="n">
        <v>0.966782350024729</v>
      </c>
    </row>
    <row r="10998">
      <c r="A10998" t="inlineStr">
        <is>
          <t>Samoa</t>
        </is>
      </c>
      <c r="B10998" t="inlineStr">
        <is>
          <t>WSM</t>
        </is>
      </c>
      <c r="C10998" t="n">
        <v>2001</v>
      </c>
      <c r="D10998" t="n">
        <v>3.83828463867725</v>
      </c>
    </row>
    <row r="10999">
      <c r="A10999" t="inlineStr">
        <is>
          <t>Samoa</t>
        </is>
      </c>
      <c r="B10999" t="inlineStr">
        <is>
          <t>WSM</t>
        </is>
      </c>
      <c r="C10999" t="n">
        <v>2002</v>
      </c>
      <c r="D10999" t="n">
        <v>8.0503144654087</v>
      </c>
    </row>
    <row r="11000">
      <c r="A11000" t="inlineStr">
        <is>
          <t>Samoa</t>
        </is>
      </c>
      <c r="B11000" t="inlineStr">
        <is>
          <t>WSM</t>
        </is>
      </c>
      <c r="C11000" t="n">
        <v>2003</v>
      </c>
      <c r="D11000" t="n">
        <v>0.115830115830107</v>
      </c>
    </row>
    <row r="11001">
      <c r="A11001" t="inlineStr">
        <is>
          <t>Samoa</t>
        </is>
      </c>
      <c r="B11001" t="inlineStr">
        <is>
          <t>WSM</t>
        </is>
      </c>
      <c r="C11001" t="n">
        <v>2004</v>
      </c>
      <c r="D11001" t="n">
        <v>16.3131507905901</v>
      </c>
    </row>
    <row r="11002">
      <c r="A11002" t="inlineStr">
        <is>
          <t>Samoa</t>
        </is>
      </c>
      <c r="B11002" t="inlineStr">
        <is>
          <t>WSM</t>
        </is>
      </c>
      <c r="C11002" t="n">
        <v>2005</v>
      </c>
      <c r="D11002" t="n">
        <v>1.85676392572949</v>
      </c>
    </row>
    <row r="11003">
      <c r="A11003" t="inlineStr">
        <is>
          <t>Samoa</t>
        </is>
      </c>
      <c r="B11003" t="inlineStr">
        <is>
          <t>WSM</t>
        </is>
      </c>
      <c r="C11003" t="n">
        <v>2006</v>
      </c>
      <c r="D11003" t="n">
        <v>3.70008680555553</v>
      </c>
    </row>
    <row r="11004">
      <c r="A11004" t="inlineStr">
        <is>
          <t>Samoa</t>
        </is>
      </c>
      <c r="B11004" t="inlineStr">
        <is>
          <t>WSM</t>
        </is>
      </c>
      <c r="C11004" t="n">
        <v>2007</v>
      </c>
      <c r="D11004" t="n">
        <v>5.57706393219629</v>
      </c>
    </row>
    <row r="11005">
      <c r="A11005" t="inlineStr">
        <is>
          <t>Samoa</t>
        </is>
      </c>
      <c r="B11005" t="inlineStr">
        <is>
          <t>WSM</t>
        </is>
      </c>
      <c r="C11005" t="n">
        <v>2008</v>
      </c>
      <c r="D11005" t="n">
        <v>11.565906838454</v>
      </c>
    </row>
    <row r="11006">
      <c r="A11006" t="inlineStr">
        <is>
          <t>Samoa</t>
        </is>
      </c>
      <c r="B11006" t="inlineStr">
        <is>
          <t>WSM</t>
        </is>
      </c>
      <c r="C11006" t="n">
        <v>2009</v>
      </c>
      <c r="D11006" t="n">
        <v>6.32495336235228</v>
      </c>
    </row>
    <row r="11007">
      <c r="A11007" t="inlineStr">
        <is>
          <t>Samoa</t>
        </is>
      </c>
      <c r="B11007" t="inlineStr">
        <is>
          <t>WSM</t>
        </is>
      </c>
      <c r="C11007" t="n">
        <v>2010</v>
      </c>
      <c r="D11007" t="n">
        <v>0.777007268777692</v>
      </c>
    </row>
    <row r="11008">
      <c r="A11008" t="inlineStr">
        <is>
          <t>Samoa</t>
        </is>
      </c>
      <c r="B11008" t="inlineStr">
        <is>
          <t>WSM</t>
        </is>
      </c>
      <c r="C11008" t="n">
        <v>2011</v>
      </c>
      <c r="D11008" t="n">
        <v>5.23541591478434</v>
      </c>
    </row>
    <row r="11009">
      <c r="A11009" t="inlineStr">
        <is>
          <t>Samoa</t>
        </is>
      </c>
      <c r="B11009" t="inlineStr">
        <is>
          <t>WSM</t>
        </is>
      </c>
      <c r="C11009" t="n">
        <v>2012</v>
      </c>
      <c r="D11009" t="n">
        <v>2.0490188352116</v>
      </c>
    </row>
    <row r="11010">
      <c r="A11010" t="inlineStr">
        <is>
          <t>Samoa</t>
        </is>
      </c>
      <c r="B11010" t="inlineStr">
        <is>
          <t>WSM</t>
        </is>
      </c>
      <c r="C11010" t="n">
        <v>2013</v>
      </c>
      <c r="D11010" t="n">
        <v>0.61008572090503</v>
      </c>
    </row>
    <row r="11011">
      <c r="A11011" t="inlineStr">
        <is>
          <t>Samoa</t>
        </is>
      </c>
      <c r="B11011" t="inlineStr">
        <is>
          <t>WSM</t>
        </is>
      </c>
      <c r="C11011" t="n">
        <v>2014</v>
      </c>
      <c r="D11011" t="n">
        <v>-0.40681608842489</v>
      </c>
    </row>
    <row r="11012">
      <c r="A11012" t="inlineStr">
        <is>
          <t>Samoa</t>
        </is>
      </c>
      <c r="B11012" t="inlineStr">
        <is>
          <t>WSM</t>
        </is>
      </c>
      <c r="C11012" t="n">
        <v>2015</v>
      </c>
      <c r="D11012" t="n">
        <v>0.724470134874729</v>
      </c>
    </row>
    <row r="11013">
      <c r="A11013" t="inlineStr">
        <is>
          <t>Samoa</t>
        </is>
      </c>
      <c r="B11013" t="inlineStr">
        <is>
          <t>WSM</t>
        </is>
      </c>
      <c r="C11013" t="n">
        <v>2016</v>
      </c>
      <c r="D11013" t="n">
        <v>1.30471869303179</v>
      </c>
    </row>
    <row r="11014">
      <c r="A11014" t="inlineStr">
        <is>
          <t>Samoa</t>
        </is>
      </c>
      <c r="B11014" t="inlineStr">
        <is>
          <t>WSM</t>
        </is>
      </c>
      <c r="C11014" t="n">
        <v>2017</v>
      </c>
      <c r="D11014" t="n">
        <v>1.74989677484705</v>
      </c>
    </row>
    <row r="11015">
      <c r="A11015" t="inlineStr">
        <is>
          <t>Samoa</t>
        </is>
      </c>
      <c r="B11015" t="inlineStr">
        <is>
          <t>WSM</t>
        </is>
      </c>
      <c r="C11015" t="n">
        <v>2018</v>
      </c>
      <c r="D11015" t="n">
        <v>4.19745888663752</v>
      </c>
    </row>
    <row r="11016">
      <c r="A11016" t="inlineStr">
        <is>
          <t>Samoa</t>
        </is>
      </c>
      <c r="B11016" t="inlineStr">
        <is>
          <t>WSM</t>
        </is>
      </c>
      <c r="C11016" t="n">
        <v>2019</v>
      </c>
      <c r="D11016" t="n">
        <v>0.982326569888117</v>
      </c>
    </row>
    <row r="11017">
      <c r="A11017" t="inlineStr">
        <is>
          <t>Samoa</t>
        </is>
      </c>
      <c r="B11017" t="inlineStr">
        <is>
          <t>WSM</t>
        </is>
      </c>
      <c r="C11017" t="n">
        <v>2020</v>
      </c>
      <c r="D11017" t="n">
        <v>-1.56891247740895</v>
      </c>
    </row>
    <row r="11018">
      <c r="A11018" t="inlineStr">
        <is>
          <t>Samoa</t>
        </is>
      </c>
      <c r="B11018" t="inlineStr">
        <is>
          <t>WSM</t>
        </is>
      </c>
      <c r="C11018" t="n">
        <v>2021</v>
      </c>
      <c r="D11018" t="n">
        <v>3.13320473174494</v>
      </c>
    </row>
    <row r="11019">
      <c r="A11019" t="inlineStr">
        <is>
          <t>Samoa</t>
        </is>
      </c>
      <c r="B11019" t="inlineStr">
        <is>
          <t>WSM</t>
        </is>
      </c>
      <c r="C11019" t="n">
        <v>2022</v>
      </c>
      <c r="D11019" t="n">
        <v>10.9618822286844</v>
      </c>
    </row>
    <row r="11020">
      <c r="A11020" t="inlineStr">
        <is>
          <t>Samoa</t>
        </is>
      </c>
      <c r="B11020" t="inlineStr">
        <is>
          <t>WSM</t>
        </is>
      </c>
      <c r="C11020" t="n">
        <v>2023</v>
      </c>
      <c r="D11020" t="n">
        <v>7.92164684826777</v>
      </c>
    </row>
    <row r="11021">
      <c r="A11021" t="inlineStr">
        <is>
          <t>Samoa</t>
        </is>
      </c>
      <c r="B11021" t="inlineStr">
        <is>
          <t>WSM</t>
        </is>
      </c>
      <c r="C11021" t="n">
        <v>2024</v>
      </c>
      <c r="D11021" t="n">
        <v>2.17245530514377</v>
      </c>
    </row>
    <row r="11022">
      <c r="A11022" t="inlineStr">
        <is>
          <t>Kosovo</t>
        </is>
      </c>
      <c r="B11022" t="inlineStr">
        <is>
          <t>XKX</t>
        </is>
      </c>
      <c r="C11022" t="n">
        <v>2003</v>
      </c>
      <c r="D11022" t="n">
        <v>-1.08481262327414</v>
      </c>
    </row>
    <row r="11023">
      <c r="A11023" t="inlineStr">
        <is>
          <t>Kosovo</t>
        </is>
      </c>
      <c r="B11023" t="inlineStr">
        <is>
          <t>XKX</t>
        </is>
      </c>
      <c r="C11023" t="n">
        <v>2004</v>
      </c>
      <c r="D11023" t="n">
        <v>-1.06472696605525</v>
      </c>
    </row>
    <row r="11024">
      <c r="A11024" t="inlineStr">
        <is>
          <t>Kosovo</t>
        </is>
      </c>
      <c r="B11024" t="inlineStr">
        <is>
          <t>XKX</t>
        </is>
      </c>
      <c r="C11024" t="n">
        <v>2005</v>
      </c>
      <c r="D11024" t="n">
        <v>-1.38518913159299</v>
      </c>
    </row>
    <row r="11025">
      <c r="A11025" t="inlineStr">
        <is>
          <t>Kosovo</t>
        </is>
      </c>
      <c r="B11025" t="inlineStr">
        <is>
          <t>XKX</t>
        </is>
      </c>
      <c r="C11025" t="n">
        <v>2006</v>
      </c>
      <c r="D11025" t="n">
        <v>0.621646938601728</v>
      </c>
    </row>
    <row r="11026">
      <c r="A11026" t="inlineStr">
        <is>
          <t>Kosovo</t>
        </is>
      </c>
      <c r="B11026" t="inlineStr">
        <is>
          <t>XKX</t>
        </is>
      </c>
      <c r="C11026" t="n">
        <v>2007</v>
      </c>
      <c r="D11026" t="n">
        <v>4.35849695328369</v>
      </c>
    </row>
    <row r="11027">
      <c r="A11027" t="inlineStr">
        <is>
          <t>Kosovo</t>
        </is>
      </c>
      <c r="B11027" t="inlineStr">
        <is>
          <t>XKX</t>
        </is>
      </c>
      <c r="C11027" t="n">
        <v>2008</v>
      </c>
      <c r="D11027" t="n">
        <v>9.35041764658178</v>
      </c>
    </row>
    <row r="11028">
      <c r="A11028" t="inlineStr">
        <is>
          <t>Kosovo</t>
        </is>
      </c>
      <c r="B11028" t="inlineStr">
        <is>
          <t>XKX</t>
        </is>
      </c>
      <c r="C11028" t="n">
        <v>2009</v>
      </c>
      <c r="D11028" t="n">
        <v>-2.41026401661229</v>
      </c>
    </row>
    <row r="11029">
      <c r="A11029" t="inlineStr">
        <is>
          <t>Kosovo</t>
        </is>
      </c>
      <c r="B11029" t="inlineStr">
        <is>
          <t>XKX</t>
        </is>
      </c>
      <c r="C11029" t="n">
        <v>2010</v>
      </c>
      <c r="D11029" t="n">
        <v>3.48050763735842</v>
      </c>
    </row>
    <row r="11030">
      <c r="A11030" t="inlineStr">
        <is>
          <t>Kosovo</t>
        </is>
      </c>
      <c r="B11030" t="inlineStr">
        <is>
          <t>XKX</t>
        </is>
      </c>
      <c r="C11030" t="n">
        <v>2011</v>
      </c>
      <c r="D11030" t="n">
        <v>7.3364177131527</v>
      </c>
    </row>
    <row r="11031">
      <c r="A11031" t="inlineStr">
        <is>
          <t>Kosovo</t>
        </is>
      </c>
      <c r="B11031" t="inlineStr">
        <is>
          <t>XKX</t>
        </is>
      </c>
      <c r="C11031" t="n">
        <v>2012</v>
      </c>
      <c r="D11031" t="n">
        <v>2.47673782156533</v>
      </c>
    </row>
    <row r="11032">
      <c r="A11032" t="inlineStr">
        <is>
          <t>Kosovo</t>
        </is>
      </c>
      <c r="B11032" t="inlineStr">
        <is>
          <t>XKX</t>
        </is>
      </c>
      <c r="C11032" t="n">
        <v>2013</v>
      </c>
      <c r="D11032" t="n">
        <v>1.76732428354892</v>
      </c>
    </row>
    <row r="11033">
      <c r="A11033" t="inlineStr">
        <is>
          <t>Kosovo</t>
        </is>
      </c>
      <c r="B11033" t="inlineStr">
        <is>
          <t>XKX</t>
        </is>
      </c>
      <c r="C11033" t="n">
        <v>2014</v>
      </c>
      <c r="D11033" t="n">
        <v>0.428957808324092</v>
      </c>
    </row>
    <row r="11034">
      <c r="A11034" t="inlineStr">
        <is>
          <t>Kosovo</t>
        </is>
      </c>
      <c r="B11034" t="inlineStr">
        <is>
          <t>XKX</t>
        </is>
      </c>
      <c r="C11034" t="n">
        <v>2015</v>
      </c>
      <c r="D11034" t="n">
        <v>-0.536929392740659</v>
      </c>
    </row>
    <row r="11035">
      <c r="A11035" t="inlineStr">
        <is>
          <t>Kosovo</t>
        </is>
      </c>
      <c r="B11035" t="inlineStr">
        <is>
          <t>XKX</t>
        </is>
      </c>
      <c r="C11035" t="n">
        <v>2016</v>
      </c>
      <c r="D11035" t="n">
        <v>0.273169431045468</v>
      </c>
    </row>
    <row r="11036">
      <c r="A11036" t="inlineStr">
        <is>
          <t>Kosovo</t>
        </is>
      </c>
      <c r="B11036" t="inlineStr">
        <is>
          <t>XKX</t>
        </is>
      </c>
      <c r="C11036" t="n">
        <v>2017</v>
      </c>
      <c r="D11036" t="n">
        <v>1.48823430592319</v>
      </c>
    </row>
    <row r="11037">
      <c r="A11037" t="inlineStr">
        <is>
          <t>Kosovo</t>
        </is>
      </c>
      <c r="B11037" t="inlineStr">
        <is>
          <t>XKX</t>
        </is>
      </c>
      <c r="C11037" t="n">
        <v>2018</v>
      </c>
      <c r="D11037" t="n">
        <v>1.05379773654991</v>
      </c>
    </row>
    <row r="11038">
      <c r="A11038" t="inlineStr">
        <is>
          <t>Kosovo</t>
        </is>
      </c>
      <c r="B11038" t="inlineStr">
        <is>
          <t>XKX</t>
        </is>
      </c>
      <c r="C11038" t="n">
        <v>2019</v>
      </c>
      <c r="D11038" t="n">
        <v>2.67599202639893</v>
      </c>
    </row>
    <row r="11039">
      <c r="A11039" t="inlineStr">
        <is>
          <t>Kosovo</t>
        </is>
      </c>
      <c r="B11039" t="inlineStr">
        <is>
          <t>XKX</t>
        </is>
      </c>
      <c r="C11039" t="n">
        <v>2020</v>
      </c>
      <c r="D11039" t="n">
        <v>0.198227922994854</v>
      </c>
    </row>
    <row r="11040">
      <c r="A11040" t="inlineStr">
        <is>
          <t>Kosovo</t>
        </is>
      </c>
      <c r="B11040" t="inlineStr">
        <is>
          <t>XKX</t>
        </is>
      </c>
      <c r="C11040" t="n">
        <v>2021</v>
      </c>
      <c r="D11040" t="n">
        <v>3.35369139207997</v>
      </c>
    </row>
    <row r="11041">
      <c r="A11041" t="inlineStr">
        <is>
          <t>Kosovo</t>
        </is>
      </c>
      <c r="B11041" t="inlineStr">
        <is>
          <t>XKX</t>
        </is>
      </c>
      <c r="C11041" t="n">
        <v>2022</v>
      </c>
      <c r="D11041" t="n">
        <v>11.5805104542012</v>
      </c>
    </row>
    <row r="11042">
      <c r="A11042" t="inlineStr">
        <is>
          <t>Kosovo</t>
        </is>
      </c>
      <c r="B11042" t="inlineStr">
        <is>
          <t>XKX</t>
        </is>
      </c>
      <c r="C11042" t="n">
        <v>2023</v>
      </c>
      <c r="D11042" t="n">
        <v>4.94432438791283</v>
      </c>
    </row>
    <row r="11043">
      <c r="A11043" t="inlineStr">
        <is>
          <t>Kosovo</t>
        </is>
      </c>
      <c r="B11043" t="inlineStr">
        <is>
          <t>XKX</t>
        </is>
      </c>
      <c r="C11043" t="n">
        <v>2024</v>
      </c>
      <c r="D11043" t="n">
        <v>1.61944994559476</v>
      </c>
    </row>
    <row r="11044">
      <c r="A11044" t="inlineStr">
        <is>
          <t>Yemen, Rep.</t>
        </is>
      </c>
      <c r="B11044" t="inlineStr">
        <is>
          <t>YEM</t>
        </is>
      </c>
      <c r="C11044" t="n">
        <v>1991</v>
      </c>
      <c r="D11044" t="n">
        <v>36</v>
      </c>
    </row>
    <row r="11045">
      <c r="A11045" t="inlineStr">
        <is>
          <t>Yemen, Rep.</t>
        </is>
      </c>
      <c r="B11045" t="inlineStr">
        <is>
          <t>YEM</t>
        </is>
      </c>
      <c r="C11045" t="n">
        <v>1992</v>
      </c>
      <c r="D11045" t="n">
        <v>29.4117647058824</v>
      </c>
    </row>
    <row r="11046">
      <c r="A11046" t="inlineStr">
        <is>
          <t>Yemen, Rep.</t>
        </is>
      </c>
      <c r="B11046" t="inlineStr">
        <is>
          <t>YEM</t>
        </is>
      </c>
      <c r="C11046" t="n">
        <v>1993</v>
      </c>
      <c r="D11046" t="n">
        <v>35.7522980164491</v>
      </c>
    </row>
    <row r="11047">
      <c r="A11047" t="inlineStr">
        <is>
          <t>Yemen, Rep.</t>
        </is>
      </c>
      <c r="B11047" t="inlineStr">
        <is>
          <t>YEM</t>
        </is>
      </c>
      <c r="C11047" t="n">
        <v>1994</v>
      </c>
      <c r="D11047" t="n">
        <v>49.3941553813254</v>
      </c>
    </row>
    <row r="11048">
      <c r="A11048" t="inlineStr">
        <is>
          <t>Yemen, Rep.</t>
        </is>
      </c>
      <c r="B11048" t="inlineStr">
        <is>
          <t>YEM</t>
        </is>
      </c>
      <c r="C11048" t="n">
        <v>1995</v>
      </c>
      <c r="D11048" t="n">
        <v>55.0811068702292</v>
      </c>
    </row>
    <row r="11049">
      <c r="A11049" t="inlineStr">
        <is>
          <t>Yemen, Rep.</t>
        </is>
      </c>
      <c r="B11049" t="inlineStr">
        <is>
          <t>YEM</t>
        </is>
      </c>
      <c r="C11049" t="n">
        <v>1996</v>
      </c>
      <c r="D11049" t="n">
        <v>30.7337332718043</v>
      </c>
    </row>
    <row r="11050">
      <c r="A11050" t="inlineStr">
        <is>
          <t>Yemen, Rep.</t>
        </is>
      </c>
      <c r="B11050" t="inlineStr">
        <is>
          <t>YEM</t>
        </is>
      </c>
      <c r="C11050" t="n">
        <v>1997</v>
      </c>
      <c r="D11050" t="n">
        <v>2.17672667372646</v>
      </c>
    </row>
    <row r="11051">
      <c r="A11051" t="inlineStr">
        <is>
          <t>Yemen, Rep.</t>
        </is>
      </c>
      <c r="B11051" t="inlineStr">
        <is>
          <t>YEM</t>
        </is>
      </c>
      <c r="C11051" t="n">
        <v>1998</v>
      </c>
      <c r="D11051" t="n">
        <v>5.9765085214186</v>
      </c>
    </row>
    <row r="11052">
      <c r="A11052" t="inlineStr">
        <is>
          <t>Yemen, Rep.</t>
        </is>
      </c>
      <c r="B11052" t="inlineStr">
        <is>
          <t>YEM</t>
        </is>
      </c>
      <c r="C11052" t="n">
        <v>1999</v>
      </c>
      <c r="D11052" t="n">
        <v>8.66021949364346</v>
      </c>
    </row>
    <row r="11053">
      <c r="A11053" t="inlineStr">
        <is>
          <t>Yemen, Rep.</t>
        </is>
      </c>
      <c r="B11053" t="inlineStr">
        <is>
          <t>YEM</t>
        </is>
      </c>
      <c r="C11053" t="n">
        <v>2000</v>
      </c>
      <c r="D11053" t="n">
        <v>4.58999999999981</v>
      </c>
    </row>
    <row r="11054">
      <c r="A11054" t="inlineStr">
        <is>
          <t>Yemen, Rep.</t>
        </is>
      </c>
      <c r="B11054" t="inlineStr">
        <is>
          <t>YEM</t>
        </is>
      </c>
      <c r="C11054" t="n">
        <v>2001</v>
      </c>
      <c r="D11054" t="n">
        <v>11.9115912929855</v>
      </c>
    </row>
    <row r="11055">
      <c r="A11055" t="inlineStr">
        <is>
          <t>Yemen, Rep.</t>
        </is>
      </c>
      <c r="B11055" t="inlineStr">
        <is>
          <t>YEM</t>
        </is>
      </c>
      <c r="C11055" t="n">
        <v>2002</v>
      </c>
      <c r="D11055" t="n">
        <v>12.2385339389711</v>
      </c>
    </row>
    <row r="11056">
      <c r="A11056" t="inlineStr">
        <is>
          <t>Yemen, Rep.</t>
        </is>
      </c>
      <c r="B11056" t="inlineStr">
        <is>
          <t>YEM</t>
        </is>
      </c>
      <c r="C11056" t="n">
        <v>2003</v>
      </c>
      <c r="D11056" t="n">
        <v>10.8323607023242</v>
      </c>
    </row>
    <row r="11057">
      <c r="A11057" t="inlineStr">
        <is>
          <t>Yemen, Rep.</t>
        </is>
      </c>
      <c r="B11057" t="inlineStr">
        <is>
          <t>YEM</t>
        </is>
      </c>
      <c r="C11057" t="n">
        <v>2004</v>
      </c>
      <c r="D11057" t="n">
        <v>12.5150951495207</v>
      </c>
    </row>
    <row r="11058">
      <c r="A11058" t="inlineStr">
        <is>
          <t>Yemen, Rep.</t>
        </is>
      </c>
      <c r="B11058" t="inlineStr">
        <is>
          <t>YEM</t>
        </is>
      </c>
      <c r="C11058" t="n">
        <v>2005</v>
      </c>
      <c r="D11058" t="n">
        <v>11.8112639374949</v>
      </c>
    </row>
    <row r="11059">
      <c r="A11059" t="inlineStr">
        <is>
          <t>Yemen, Rep.</t>
        </is>
      </c>
      <c r="B11059" t="inlineStr">
        <is>
          <t>YEM</t>
        </is>
      </c>
      <c r="C11059" t="n">
        <v>2006</v>
      </c>
      <c r="D11059" t="n">
        <v>10.8447986914257</v>
      </c>
    </row>
    <row r="11060">
      <c r="A11060" t="inlineStr">
        <is>
          <t>Yemen, Rep.</t>
        </is>
      </c>
      <c r="B11060" t="inlineStr">
        <is>
          <t>YEM</t>
        </is>
      </c>
      <c r="C11060" t="n">
        <v>2007</v>
      </c>
      <c r="D11060" t="n">
        <v>7.9051177898873</v>
      </c>
    </row>
    <row r="11061">
      <c r="A11061" t="inlineStr">
        <is>
          <t>Yemen, Rep.</t>
        </is>
      </c>
      <c r="B11061" t="inlineStr">
        <is>
          <t>YEM</t>
        </is>
      </c>
      <c r="C11061" t="n">
        <v>2008</v>
      </c>
      <c r="D11061" t="n">
        <v>18.9762574318076</v>
      </c>
    </row>
    <row r="11062">
      <c r="A11062" t="inlineStr">
        <is>
          <t>Yemen, Rep.</t>
        </is>
      </c>
      <c r="B11062" t="inlineStr">
        <is>
          <t>YEM</t>
        </is>
      </c>
      <c r="C11062" t="n">
        <v>2009</v>
      </c>
      <c r="D11062" t="n">
        <v>5.40776098077522</v>
      </c>
    </row>
    <row r="11063">
      <c r="A11063" t="inlineStr">
        <is>
          <t>Yemen, Rep.</t>
        </is>
      </c>
      <c r="B11063" t="inlineStr">
        <is>
          <t>YEM</t>
        </is>
      </c>
      <c r="C11063" t="n">
        <v>2010</v>
      </c>
      <c r="D11063" t="n">
        <v>11.1748338605044</v>
      </c>
    </row>
    <row r="11064">
      <c r="A11064" t="inlineStr">
        <is>
          <t>Yemen, Rep.</t>
        </is>
      </c>
      <c r="B11064" t="inlineStr">
        <is>
          <t>YEM</t>
        </is>
      </c>
      <c r="C11064" t="n">
        <v>2011</v>
      </c>
      <c r="D11064" t="n">
        <v>19.5435617131144</v>
      </c>
    </row>
    <row r="11065">
      <c r="A11065" t="inlineStr">
        <is>
          <t>Yemen, Rep.</t>
        </is>
      </c>
      <c r="B11065" t="inlineStr">
        <is>
          <t>YEM</t>
        </is>
      </c>
      <c r="C11065" t="n">
        <v>2012</v>
      </c>
      <c r="D11065" t="n">
        <v>9.885387144848711</v>
      </c>
    </row>
    <row r="11066">
      <c r="A11066" t="inlineStr">
        <is>
          <t>Yemen, Rep.</t>
        </is>
      </c>
      <c r="B11066" t="inlineStr">
        <is>
          <t>YEM</t>
        </is>
      </c>
      <c r="C11066" t="n">
        <v>2013</v>
      </c>
      <c r="D11066" t="n">
        <v>10.9684421500198</v>
      </c>
    </row>
    <row r="11067">
      <c r="A11067" t="inlineStr">
        <is>
          <t>Yemen, Rep.</t>
        </is>
      </c>
      <c r="B11067" t="inlineStr">
        <is>
          <t>YEM</t>
        </is>
      </c>
      <c r="C11067" t="n">
        <v>2014</v>
      </c>
      <c r="D11067" t="n">
        <v>8.104725836239149</v>
      </c>
    </row>
    <row r="11068">
      <c r="A11068" t="inlineStr">
        <is>
          <t>South Africa</t>
        </is>
      </c>
      <c r="B11068" t="inlineStr">
        <is>
          <t>ZAF</t>
        </is>
      </c>
      <c r="C11068" t="n">
        <v>1960</v>
      </c>
      <c r="D11068" t="n">
        <v>1.28887692687992</v>
      </c>
    </row>
    <row r="11069">
      <c r="A11069" t="inlineStr">
        <is>
          <t>South Africa</t>
        </is>
      </c>
      <c r="B11069" t="inlineStr">
        <is>
          <t>ZAF</t>
        </is>
      </c>
      <c r="C11069" t="n">
        <v>1961</v>
      </c>
      <c r="D11069" t="n">
        <v>2.10235059955978</v>
      </c>
    </row>
    <row r="11070">
      <c r="A11070" t="inlineStr">
        <is>
          <t>South Africa</t>
        </is>
      </c>
      <c r="B11070" t="inlineStr">
        <is>
          <t>ZAF</t>
        </is>
      </c>
      <c r="C11070" t="n">
        <v>1962</v>
      </c>
      <c r="D11070" t="n">
        <v>1.24627519965495</v>
      </c>
    </row>
    <row r="11071">
      <c r="A11071" t="inlineStr">
        <is>
          <t>South Africa</t>
        </is>
      </c>
      <c r="B11071" t="inlineStr">
        <is>
          <t>ZAF</t>
        </is>
      </c>
      <c r="C11071" t="n">
        <v>1963</v>
      </c>
      <c r="D11071" t="n">
        <v>1.33797064490693</v>
      </c>
    </row>
    <row r="11072">
      <c r="A11072" t="inlineStr">
        <is>
          <t>South Africa</t>
        </is>
      </c>
      <c r="B11072" t="inlineStr">
        <is>
          <t>ZAF</t>
        </is>
      </c>
      <c r="C11072" t="n">
        <v>1964</v>
      </c>
      <c r="D11072" t="n">
        <v>2.53498854234898</v>
      </c>
    </row>
    <row r="11073">
      <c r="A11073" t="inlineStr">
        <is>
          <t>South Africa</t>
        </is>
      </c>
      <c r="B11073" t="inlineStr">
        <is>
          <t>ZAF</t>
        </is>
      </c>
      <c r="C11073" t="n">
        <v>1965</v>
      </c>
      <c r="D11073" t="n">
        <v>4.06901853294584</v>
      </c>
    </row>
    <row r="11074">
      <c r="A11074" t="inlineStr">
        <is>
          <t>South Africa</t>
        </is>
      </c>
      <c r="B11074" t="inlineStr">
        <is>
          <t>ZAF</t>
        </is>
      </c>
      <c r="C11074" t="n">
        <v>1966</v>
      </c>
      <c r="D11074" t="n">
        <v>3.48923715385175</v>
      </c>
    </row>
    <row r="11075">
      <c r="A11075" t="inlineStr">
        <is>
          <t>South Africa</t>
        </is>
      </c>
      <c r="B11075" t="inlineStr">
        <is>
          <t>ZAF</t>
        </is>
      </c>
      <c r="C11075" t="n">
        <v>1967</v>
      </c>
      <c r="D11075" t="n">
        <v>3.53896580236233</v>
      </c>
    </row>
    <row r="11076">
      <c r="A11076" t="inlineStr">
        <is>
          <t>South Africa</t>
        </is>
      </c>
      <c r="B11076" t="inlineStr">
        <is>
          <t>ZAF</t>
        </is>
      </c>
      <c r="C11076" t="n">
        <v>1968</v>
      </c>
      <c r="D11076" t="n">
        <v>1.98613362103222</v>
      </c>
    </row>
    <row r="11077">
      <c r="A11077" t="inlineStr">
        <is>
          <t>South Africa</t>
        </is>
      </c>
      <c r="B11077" t="inlineStr">
        <is>
          <t>ZAF</t>
        </is>
      </c>
      <c r="C11077" t="n">
        <v>1969</v>
      </c>
      <c r="D11077" t="n">
        <v>3.23821721585667</v>
      </c>
    </row>
    <row r="11078">
      <c r="A11078" t="inlineStr">
        <is>
          <t>South Africa</t>
        </is>
      </c>
      <c r="B11078" t="inlineStr">
        <is>
          <t>ZAF</t>
        </is>
      </c>
      <c r="C11078" t="n">
        <v>1970</v>
      </c>
      <c r="D11078" t="n">
        <v>4.99192455435617</v>
      </c>
    </row>
    <row r="11079">
      <c r="A11079" t="inlineStr">
        <is>
          <t>South Africa</t>
        </is>
      </c>
      <c r="B11079" t="inlineStr">
        <is>
          <t>ZAF</t>
        </is>
      </c>
      <c r="C11079" t="n">
        <v>1971</v>
      </c>
      <c r="D11079" t="n">
        <v>5.95742085213486</v>
      </c>
    </row>
    <row r="11080">
      <c r="A11080" t="inlineStr">
        <is>
          <t>South Africa</t>
        </is>
      </c>
      <c r="B11080" t="inlineStr">
        <is>
          <t>ZAF</t>
        </is>
      </c>
      <c r="C11080" t="n">
        <v>1972</v>
      </c>
      <c r="D11080" t="n">
        <v>6.42567638879175</v>
      </c>
    </row>
    <row r="11081">
      <c r="A11081" t="inlineStr">
        <is>
          <t>South Africa</t>
        </is>
      </c>
      <c r="B11081" t="inlineStr">
        <is>
          <t>ZAF</t>
        </is>
      </c>
      <c r="C11081" t="n">
        <v>1973</v>
      </c>
      <c r="D11081" t="n">
        <v>9.433983769783939</v>
      </c>
    </row>
    <row r="11082">
      <c r="A11082" t="inlineStr">
        <is>
          <t>South Africa</t>
        </is>
      </c>
      <c r="B11082" t="inlineStr">
        <is>
          <t>ZAF</t>
        </is>
      </c>
      <c r="C11082" t="n">
        <v>1974</v>
      </c>
      <c r="D11082" t="n">
        <v>11.7241315190611</v>
      </c>
    </row>
    <row r="11083">
      <c r="A11083" t="inlineStr">
        <is>
          <t>South Africa</t>
        </is>
      </c>
      <c r="B11083" t="inlineStr">
        <is>
          <t>ZAF</t>
        </is>
      </c>
      <c r="C11083" t="n">
        <v>1975</v>
      </c>
      <c r="D11083" t="n">
        <v>13.4259248530376</v>
      </c>
    </row>
    <row r="11084">
      <c r="A11084" t="inlineStr">
        <is>
          <t>South Africa</t>
        </is>
      </c>
      <c r="B11084" t="inlineStr">
        <is>
          <t>ZAF</t>
        </is>
      </c>
      <c r="C11084" t="n">
        <v>1976</v>
      </c>
      <c r="D11084" t="n">
        <v>11.0204105892452</v>
      </c>
    </row>
    <row r="11085">
      <c r="A11085" t="inlineStr">
        <is>
          <t>South Africa</t>
        </is>
      </c>
      <c r="B11085" t="inlineStr">
        <is>
          <t>ZAF</t>
        </is>
      </c>
      <c r="C11085" t="n">
        <v>1977</v>
      </c>
      <c r="D11085" t="n">
        <v>11.15195783193</v>
      </c>
    </row>
    <row r="11086">
      <c r="A11086" t="inlineStr">
        <is>
          <t>South Africa</t>
        </is>
      </c>
      <c r="B11086" t="inlineStr">
        <is>
          <t>ZAF</t>
        </is>
      </c>
      <c r="C11086" t="n">
        <v>1978</v>
      </c>
      <c r="D11086" t="n">
        <v>11.1356088829565</v>
      </c>
    </row>
    <row r="11087">
      <c r="A11087" t="inlineStr">
        <is>
          <t>South Africa</t>
        </is>
      </c>
      <c r="B11087" t="inlineStr">
        <is>
          <t>ZAF</t>
        </is>
      </c>
      <c r="C11087" t="n">
        <v>1979</v>
      </c>
      <c r="D11087" t="n">
        <v>13.2936624628059</v>
      </c>
    </row>
    <row r="11088">
      <c r="A11088" t="inlineStr">
        <is>
          <t>South Africa</t>
        </is>
      </c>
      <c r="B11088" t="inlineStr">
        <is>
          <t>ZAF</t>
        </is>
      </c>
      <c r="C11088" t="n">
        <v>1980</v>
      </c>
      <c r="D11088" t="n">
        <v>13.6602404681115</v>
      </c>
    </row>
    <row r="11089">
      <c r="A11089" t="inlineStr">
        <is>
          <t>South Africa</t>
        </is>
      </c>
      <c r="B11089" t="inlineStr">
        <is>
          <t>ZAF</t>
        </is>
      </c>
      <c r="C11089" t="n">
        <v>1981</v>
      </c>
      <c r="D11089" t="n">
        <v>15.2542337674194</v>
      </c>
    </row>
    <row r="11090">
      <c r="A11090" t="inlineStr">
        <is>
          <t>South Africa</t>
        </is>
      </c>
      <c r="B11090" t="inlineStr">
        <is>
          <t>ZAF</t>
        </is>
      </c>
      <c r="C11090" t="n">
        <v>1982</v>
      </c>
      <c r="D11090" t="n">
        <v>14.6390405853128</v>
      </c>
    </row>
    <row r="11091">
      <c r="A11091" t="inlineStr">
        <is>
          <t>South Africa</t>
        </is>
      </c>
      <c r="B11091" t="inlineStr">
        <is>
          <t>ZAF</t>
        </is>
      </c>
      <c r="C11091" t="n">
        <v>1983</v>
      </c>
      <c r="D11091" t="n">
        <v>12.3032053006006</v>
      </c>
    </row>
    <row r="11092">
      <c r="A11092" t="inlineStr">
        <is>
          <t>South Africa</t>
        </is>
      </c>
      <c r="B11092" t="inlineStr">
        <is>
          <t>ZAF</t>
        </is>
      </c>
      <c r="C11092" t="n">
        <v>1984</v>
      </c>
      <c r="D11092" t="n">
        <v>11.526481434496</v>
      </c>
    </row>
    <row r="11093">
      <c r="A11093" t="inlineStr">
        <is>
          <t>South Africa</t>
        </is>
      </c>
      <c r="B11093" t="inlineStr">
        <is>
          <t>ZAF</t>
        </is>
      </c>
      <c r="C11093" t="n">
        <v>1985</v>
      </c>
      <c r="D11093" t="n">
        <v>16.2942252426421</v>
      </c>
    </row>
    <row r="11094">
      <c r="A11094" t="inlineStr">
        <is>
          <t>South Africa</t>
        </is>
      </c>
      <c r="B11094" t="inlineStr">
        <is>
          <t>ZAF</t>
        </is>
      </c>
      <c r="C11094" t="n">
        <v>1986</v>
      </c>
      <c r="D11094" t="n">
        <v>18.6549230388755</v>
      </c>
    </row>
    <row r="11095">
      <c r="A11095" t="inlineStr">
        <is>
          <t>South Africa</t>
        </is>
      </c>
      <c r="B11095" t="inlineStr">
        <is>
          <t>ZAF</t>
        </is>
      </c>
      <c r="C11095" t="n">
        <v>1987</v>
      </c>
      <c r="D11095" t="n">
        <v>16.1605948546791</v>
      </c>
    </row>
    <row r="11096">
      <c r="A11096" t="inlineStr">
        <is>
          <t>South Africa</t>
        </is>
      </c>
      <c r="B11096" t="inlineStr">
        <is>
          <t>ZAF</t>
        </is>
      </c>
      <c r="C11096" t="n">
        <v>1988</v>
      </c>
      <c r="D11096" t="n">
        <v>12.779553083028</v>
      </c>
    </row>
    <row r="11097">
      <c r="A11097" t="inlineStr">
        <is>
          <t>South Africa</t>
        </is>
      </c>
      <c r="B11097" t="inlineStr">
        <is>
          <t>ZAF</t>
        </is>
      </c>
      <c r="C11097" t="n">
        <v>1989</v>
      </c>
      <c r="D11097" t="n">
        <v>14.7308753982381</v>
      </c>
    </row>
    <row r="11098">
      <c r="A11098" t="inlineStr">
        <is>
          <t>South Africa</t>
        </is>
      </c>
      <c r="B11098" t="inlineStr">
        <is>
          <t>ZAF</t>
        </is>
      </c>
      <c r="C11098" t="n">
        <v>1990</v>
      </c>
      <c r="D11098" t="n">
        <v>14.3209918914915</v>
      </c>
    </row>
    <row r="11099">
      <c r="A11099" t="inlineStr">
        <is>
          <t>South Africa</t>
        </is>
      </c>
      <c r="B11099" t="inlineStr">
        <is>
          <t>ZAF</t>
        </is>
      </c>
      <c r="C11099" t="n">
        <v>1991</v>
      </c>
      <c r="D11099" t="n">
        <v>15.3347785733672</v>
      </c>
    </row>
    <row r="11100">
      <c r="A11100" t="inlineStr">
        <is>
          <t>South Africa</t>
        </is>
      </c>
      <c r="B11100" t="inlineStr">
        <is>
          <t>ZAF</t>
        </is>
      </c>
      <c r="C11100" t="n">
        <v>1992</v>
      </c>
      <c r="D11100" t="n">
        <v>13.874703748615</v>
      </c>
    </row>
    <row r="11101">
      <c r="A11101" t="inlineStr">
        <is>
          <t>South Africa</t>
        </is>
      </c>
      <c r="B11101" t="inlineStr">
        <is>
          <t>ZAF</t>
        </is>
      </c>
      <c r="C11101" t="n">
        <v>1993</v>
      </c>
      <c r="D11101" t="n">
        <v>9.71742729803028</v>
      </c>
    </row>
    <row r="11102">
      <c r="A11102" t="inlineStr">
        <is>
          <t>South Africa</t>
        </is>
      </c>
      <c r="B11102" t="inlineStr">
        <is>
          <t>ZAF</t>
        </is>
      </c>
      <c r="C11102" t="n">
        <v>1994</v>
      </c>
      <c r="D11102" t="n">
        <v>8.938563723593999</v>
      </c>
    </row>
    <row r="11103">
      <c r="A11103" t="inlineStr">
        <is>
          <t>South Africa</t>
        </is>
      </c>
      <c r="B11103" t="inlineStr">
        <is>
          <t>ZAF</t>
        </is>
      </c>
      <c r="C11103" t="n">
        <v>1995</v>
      </c>
      <c r="D11103" t="n">
        <v>8.68042421392631</v>
      </c>
    </row>
    <row r="11104">
      <c r="A11104" t="inlineStr">
        <is>
          <t>South Africa</t>
        </is>
      </c>
      <c r="B11104" t="inlineStr">
        <is>
          <t>ZAF</t>
        </is>
      </c>
      <c r="C11104" t="n">
        <v>1996</v>
      </c>
      <c r="D11104" t="n">
        <v>7.35411972085333</v>
      </c>
    </row>
    <row r="11105">
      <c r="A11105" t="inlineStr">
        <is>
          <t>South Africa</t>
        </is>
      </c>
      <c r="B11105" t="inlineStr">
        <is>
          <t>ZAF</t>
        </is>
      </c>
      <c r="C11105" t="n">
        <v>1997</v>
      </c>
      <c r="D11105" t="n">
        <v>8.597776112522739</v>
      </c>
    </row>
    <row r="11106">
      <c r="A11106" t="inlineStr">
        <is>
          <t>South Africa</t>
        </is>
      </c>
      <c r="B11106" t="inlineStr">
        <is>
          <t>ZAF</t>
        </is>
      </c>
      <c r="C11106" t="n">
        <v>1998</v>
      </c>
      <c r="D11106" t="n">
        <v>6.88054521037351</v>
      </c>
    </row>
    <row r="11107">
      <c r="A11107" t="inlineStr">
        <is>
          <t>South Africa</t>
        </is>
      </c>
      <c r="B11107" t="inlineStr">
        <is>
          <t>ZAF</t>
        </is>
      </c>
      <c r="C11107" t="n">
        <v>1999</v>
      </c>
      <c r="D11107" t="n">
        <v>5.18148905111697</v>
      </c>
    </row>
    <row r="11108">
      <c r="A11108" t="inlineStr">
        <is>
          <t>South Africa</t>
        </is>
      </c>
      <c r="B11108" t="inlineStr">
        <is>
          <t>ZAF</t>
        </is>
      </c>
      <c r="C11108" t="n">
        <v>2000</v>
      </c>
      <c r="D11108" t="n">
        <v>5.33895913599828</v>
      </c>
    </row>
    <row r="11109">
      <c r="A11109" t="inlineStr">
        <is>
          <t>South Africa</t>
        </is>
      </c>
      <c r="B11109" t="inlineStr">
        <is>
          <t>ZAF</t>
        </is>
      </c>
      <c r="C11109" t="n">
        <v>2001</v>
      </c>
      <c r="D11109" t="n">
        <v>5.70189483049608</v>
      </c>
    </row>
    <row r="11110">
      <c r="A11110" t="inlineStr">
        <is>
          <t>South Africa</t>
        </is>
      </c>
      <c r="B11110" t="inlineStr">
        <is>
          <t>ZAF</t>
        </is>
      </c>
      <c r="C11110" t="n">
        <v>2002</v>
      </c>
      <c r="D11110" t="n">
        <v>9.494713780995999</v>
      </c>
    </row>
    <row r="11111">
      <c r="A11111" t="inlineStr">
        <is>
          <t>South Africa</t>
        </is>
      </c>
      <c r="B11111" t="inlineStr">
        <is>
          <t>ZAF</t>
        </is>
      </c>
      <c r="C11111" t="n">
        <v>2003</v>
      </c>
      <c r="D11111" t="n">
        <v>5.67942414068799</v>
      </c>
    </row>
    <row r="11112">
      <c r="A11112" t="inlineStr">
        <is>
          <t>South Africa</t>
        </is>
      </c>
      <c r="B11112" t="inlineStr">
        <is>
          <t>ZAF</t>
        </is>
      </c>
      <c r="C11112" t="n">
        <v>2004</v>
      </c>
      <c r="D11112" t="n">
        <v>-0.692039437857687</v>
      </c>
    </row>
    <row r="11113">
      <c r="A11113" t="inlineStr">
        <is>
          <t>South Africa</t>
        </is>
      </c>
      <c r="B11113" t="inlineStr">
        <is>
          <t>ZAF</t>
        </is>
      </c>
      <c r="C11113" t="n">
        <v>2005</v>
      </c>
      <c r="D11113" t="n">
        <v>2.06285308223427</v>
      </c>
    </row>
    <row r="11114">
      <c r="A11114" t="inlineStr">
        <is>
          <t>South Africa</t>
        </is>
      </c>
      <c r="B11114" t="inlineStr">
        <is>
          <t>ZAF</t>
        </is>
      </c>
      <c r="C11114" t="n">
        <v>2006</v>
      </c>
      <c r="D11114" t="n">
        <v>3.2439076541923</v>
      </c>
    </row>
    <row r="11115">
      <c r="A11115" t="inlineStr">
        <is>
          <t>South Africa</t>
        </is>
      </c>
      <c r="B11115" t="inlineStr">
        <is>
          <t>ZAF</t>
        </is>
      </c>
      <c r="C11115" t="n">
        <v>2007</v>
      </c>
      <c r="D11115" t="n">
        <v>6.17781214809388</v>
      </c>
    </row>
    <row r="11116">
      <c r="A11116" t="inlineStr">
        <is>
          <t>South Africa</t>
        </is>
      </c>
      <c r="B11116" t="inlineStr">
        <is>
          <t>ZAF</t>
        </is>
      </c>
      <c r="C11116" t="n">
        <v>2008</v>
      </c>
      <c r="D11116" t="n">
        <v>9.909984560054671</v>
      </c>
    </row>
    <row r="11117">
      <c r="A11117" t="inlineStr">
        <is>
          <t>South Africa</t>
        </is>
      </c>
      <c r="B11117" t="inlineStr">
        <is>
          <t>ZAF</t>
        </is>
      </c>
      <c r="C11117" t="n">
        <v>2009</v>
      </c>
      <c r="D11117" t="n">
        <v>7.23809523809527</v>
      </c>
    </row>
    <row r="11118">
      <c r="A11118" t="inlineStr">
        <is>
          <t>South Africa</t>
        </is>
      </c>
      <c r="B11118" t="inlineStr">
        <is>
          <t>ZAF</t>
        </is>
      </c>
      <c r="C11118" t="n">
        <v>2010</v>
      </c>
      <c r="D11118" t="n">
        <v>4.06749555950263</v>
      </c>
    </row>
    <row r="11119">
      <c r="A11119" t="inlineStr">
        <is>
          <t>South Africa</t>
        </is>
      </c>
      <c r="B11119" t="inlineStr">
        <is>
          <t>ZAF</t>
        </is>
      </c>
      <c r="C11119" t="n">
        <v>2011</v>
      </c>
      <c r="D11119" t="n">
        <v>5.0008533879502</v>
      </c>
    </row>
    <row r="11120">
      <c r="A11120" t="inlineStr">
        <is>
          <t>South Africa</t>
        </is>
      </c>
      <c r="B11120" t="inlineStr">
        <is>
          <t>ZAF</t>
        </is>
      </c>
      <c r="C11120" t="n">
        <v>2012</v>
      </c>
      <c r="D11120" t="n">
        <v>5.73797139141739</v>
      </c>
    </row>
    <row r="11121">
      <c r="A11121" t="inlineStr">
        <is>
          <t>South Africa</t>
        </is>
      </c>
      <c r="B11121" t="inlineStr">
        <is>
          <t>ZAF</t>
        </is>
      </c>
      <c r="C11121" t="n">
        <v>2013</v>
      </c>
      <c r="D11121" t="n">
        <v>5.78016910069176</v>
      </c>
    </row>
    <row r="11122">
      <c r="A11122" t="inlineStr">
        <is>
          <t>South Africa</t>
        </is>
      </c>
      <c r="B11122" t="inlineStr">
        <is>
          <t>ZAF</t>
        </is>
      </c>
      <c r="C11122" t="n">
        <v>2014</v>
      </c>
      <c r="D11122" t="n">
        <v>6.13282953059149</v>
      </c>
    </row>
    <row r="11123">
      <c r="A11123" t="inlineStr">
        <is>
          <t>South Africa</t>
        </is>
      </c>
      <c r="B11123" t="inlineStr">
        <is>
          <t>ZAF</t>
        </is>
      </c>
      <c r="C11123" t="n">
        <v>2015</v>
      </c>
      <c r="D11123" t="n">
        <v>4.51869094892506</v>
      </c>
    </row>
    <row r="11124">
      <c r="A11124" t="inlineStr">
        <is>
          <t>South Africa</t>
        </is>
      </c>
      <c r="B11124" t="inlineStr">
        <is>
          <t>ZAF</t>
        </is>
      </c>
      <c r="C11124" t="n">
        <v>2016</v>
      </c>
      <c r="D11124" t="n">
        <v>6.60290842394872</v>
      </c>
    </row>
    <row r="11125">
      <c r="A11125" t="inlineStr">
        <is>
          <t>South Africa</t>
        </is>
      </c>
      <c r="B11125" t="inlineStr">
        <is>
          <t>ZAF</t>
        </is>
      </c>
      <c r="C11125" t="n">
        <v>2017</v>
      </c>
      <c r="D11125" t="n">
        <v>5.18618655524149</v>
      </c>
    </row>
    <row r="11126">
      <c r="A11126" t="inlineStr">
        <is>
          <t>South Africa</t>
        </is>
      </c>
      <c r="B11126" t="inlineStr">
        <is>
          <t>ZAF</t>
        </is>
      </c>
      <c r="C11126" t="n">
        <v>2018</v>
      </c>
      <c r="D11126" t="n">
        <v>4.50987264867388</v>
      </c>
    </row>
    <row r="11127">
      <c r="A11127" t="inlineStr">
        <is>
          <t>South Africa</t>
        </is>
      </c>
      <c r="B11127" t="inlineStr">
        <is>
          <t>ZAF</t>
        </is>
      </c>
      <c r="C11127" t="n">
        <v>2019</v>
      </c>
      <c r="D11127" t="n">
        <v>4.10285075461156</v>
      </c>
    </row>
    <row r="11128">
      <c r="A11128" t="inlineStr">
        <is>
          <t>South Africa</t>
        </is>
      </c>
      <c r="B11128" t="inlineStr">
        <is>
          <t>ZAF</t>
        </is>
      </c>
      <c r="C11128" t="n">
        <v>2020</v>
      </c>
      <c r="D11128" t="n">
        <v>3.23238831615113</v>
      </c>
    </row>
    <row r="11129">
      <c r="A11129" t="inlineStr">
        <is>
          <t>South Africa</t>
        </is>
      </c>
      <c r="B11129" t="inlineStr">
        <is>
          <t>ZAF</t>
        </is>
      </c>
      <c r="C11129" t="n">
        <v>2021</v>
      </c>
      <c r="D11129" t="n">
        <v>4.61874544887136</v>
      </c>
    </row>
    <row r="11130">
      <c r="A11130" t="inlineStr">
        <is>
          <t>South Africa</t>
        </is>
      </c>
      <c r="B11130" t="inlineStr">
        <is>
          <t>ZAF</t>
        </is>
      </c>
      <c r="C11130" t="n">
        <v>2022</v>
      </c>
      <c r="D11130" t="n">
        <v>7.03987272546482</v>
      </c>
    </row>
    <row r="11131">
      <c r="A11131" t="inlineStr">
        <is>
          <t>South Africa</t>
        </is>
      </c>
      <c r="B11131" t="inlineStr">
        <is>
          <t>ZAF</t>
        </is>
      </c>
      <c r="C11131" t="n">
        <v>2023</v>
      </c>
      <c r="D11131" t="n">
        <v>6.0752438457966</v>
      </c>
    </row>
    <row r="11132">
      <c r="A11132" t="inlineStr">
        <is>
          <t>South Africa</t>
        </is>
      </c>
      <c r="B11132" t="inlineStr">
        <is>
          <t>ZAF</t>
        </is>
      </c>
      <c r="C11132" t="n">
        <v>2024</v>
      </c>
      <c r="D11132" t="n">
        <v>4.36115246518962</v>
      </c>
    </row>
    <row r="11133">
      <c r="A11133" t="inlineStr">
        <is>
          <t>Zambia</t>
        </is>
      </c>
      <c r="B11133" t="inlineStr">
        <is>
          <t>ZMB</t>
        </is>
      </c>
      <c r="C11133" t="n">
        <v>1986</v>
      </c>
      <c r="D11133" t="n">
        <v>55.8282208588966</v>
      </c>
    </row>
    <row r="11134">
      <c r="A11134" t="inlineStr">
        <is>
          <t>Zambia</t>
        </is>
      </c>
      <c r="B11134" t="inlineStr">
        <is>
          <t>ZMB</t>
        </is>
      </c>
      <c r="C11134" t="n">
        <v>1987</v>
      </c>
      <c r="D11134" t="n">
        <v>47.0472440944876</v>
      </c>
    </row>
    <row r="11135">
      <c r="A11135" t="inlineStr">
        <is>
          <t>Zambia</t>
        </is>
      </c>
      <c r="B11135" t="inlineStr">
        <is>
          <t>ZMB</t>
        </is>
      </c>
      <c r="C11135" t="n">
        <v>1988</v>
      </c>
      <c r="D11135" t="n">
        <v>51.0040160642574</v>
      </c>
    </row>
    <row r="11136">
      <c r="A11136" t="inlineStr">
        <is>
          <t>Zambia</t>
        </is>
      </c>
      <c r="B11136" t="inlineStr">
        <is>
          <t>ZMB</t>
        </is>
      </c>
      <c r="C11136" t="n">
        <v>1989</v>
      </c>
      <c r="D11136" t="n">
        <v>123.40425531915</v>
      </c>
    </row>
    <row r="11137">
      <c r="A11137" t="inlineStr">
        <is>
          <t>Zambia</t>
        </is>
      </c>
      <c r="B11137" t="inlineStr">
        <is>
          <t>ZMB</t>
        </is>
      </c>
      <c r="C11137" t="n">
        <v>1990</v>
      </c>
      <c r="D11137" t="n">
        <v>107.023809523808</v>
      </c>
    </row>
    <row r="11138">
      <c r="A11138" t="inlineStr">
        <is>
          <t>Zambia</t>
        </is>
      </c>
      <c r="B11138" t="inlineStr">
        <is>
          <t>ZMB</t>
        </is>
      </c>
      <c r="C11138" t="n">
        <v>1991</v>
      </c>
      <c r="D11138" t="n">
        <v>97.6423231742383</v>
      </c>
    </row>
    <row r="11139">
      <c r="A11139" t="inlineStr">
        <is>
          <t>Zambia</t>
        </is>
      </c>
      <c r="B11139" t="inlineStr">
        <is>
          <t>ZMB</t>
        </is>
      </c>
      <c r="C11139" t="n">
        <v>1992</v>
      </c>
      <c r="D11139" t="n">
        <v>165.70652700999</v>
      </c>
    </row>
    <row r="11140">
      <c r="A11140" t="inlineStr">
        <is>
          <t>Zambia</t>
        </is>
      </c>
      <c r="B11140" t="inlineStr">
        <is>
          <t>ZMB</t>
        </is>
      </c>
      <c r="C11140" t="n">
        <v>1993</v>
      </c>
      <c r="D11140" t="n">
        <v>183.312041464393</v>
      </c>
    </row>
    <row r="11141">
      <c r="A11141" t="inlineStr">
        <is>
          <t>Zambia</t>
        </is>
      </c>
      <c r="B11141" t="inlineStr">
        <is>
          <t>ZMB</t>
        </is>
      </c>
      <c r="C11141" t="n">
        <v>1994</v>
      </c>
      <c r="D11141" t="n">
        <v>54.6013218413016</v>
      </c>
    </row>
    <row r="11142">
      <c r="A11142" t="inlineStr">
        <is>
          <t>Zambia</t>
        </is>
      </c>
      <c r="B11142" t="inlineStr">
        <is>
          <t>ZMB</t>
        </is>
      </c>
      <c r="C11142" t="n">
        <v>1995</v>
      </c>
      <c r="D11142" t="n">
        <v>34.9295874166667</v>
      </c>
    </row>
    <row r="11143">
      <c r="A11143" t="inlineStr">
        <is>
          <t>Zambia</t>
        </is>
      </c>
      <c r="B11143" t="inlineStr">
        <is>
          <t>ZMB</t>
        </is>
      </c>
      <c r="C11143" t="n">
        <v>1996</v>
      </c>
      <c r="D11143" t="n">
        <v>43.0730979982882</v>
      </c>
    </row>
    <row r="11144">
      <c r="A11144" t="inlineStr">
        <is>
          <t>Zambia</t>
        </is>
      </c>
      <c r="B11144" t="inlineStr">
        <is>
          <t>ZMB</t>
        </is>
      </c>
      <c r="C11144" t="n">
        <v>1997</v>
      </c>
      <c r="D11144" t="n">
        <v>24.4187215689412</v>
      </c>
    </row>
    <row r="11145">
      <c r="A11145" t="inlineStr">
        <is>
          <t>Zambia</t>
        </is>
      </c>
      <c r="B11145" t="inlineStr">
        <is>
          <t>ZMB</t>
        </is>
      </c>
      <c r="C11145" t="n">
        <v>1998</v>
      </c>
      <c r="D11145" t="n">
        <v>24.4584563516656</v>
      </c>
    </row>
    <row r="11146">
      <c r="A11146" t="inlineStr">
        <is>
          <t>Zambia</t>
        </is>
      </c>
      <c r="B11146" t="inlineStr">
        <is>
          <t>ZMB</t>
        </is>
      </c>
      <c r="C11146" t="n">
        <v>1999</v>
      </c>
      <c r="D11146" t="n">
        <v>26.7876966790029</v>
      </c>
    </row>
    <row r="11147">
      <c r="A11147" t="inlineStr">
        <is>
          <t>Zambia</t>
        </is>
      </c>
      <c r="B11147" t="inlineStr">
        <is>
          <t>ZMB</t>
        </is>
      </c>
      <c r="C11147" t="n">
        <v>2000</v>
      </c>
      <c r="D11147" t="n">
        <v>26.0304117888121</v>
      </c>
    </row>
    <row r="11148">
      <c r="A11148" t="inlineStr">
        <is>
          <t>Zambia</t>
        </is>
      </c>
      <c r="B11148" t="inlineStr">
        <is>
          <t>ZMB</t>
        </is>
      </c>
      <c r="C11148" t="n">
        <v>2001</v>
      </c>
      <c r="D11148" t="n">
        <v>21.3937821792546</v>
      </c>
    </row>
    <row r="11149">
      <c r="A11149" t="inlineStr">
        <is>
          <t>Zambia</t>
        </is>
      </c>
      <c r="B11149" t="inlineStr">
        <is>
          <t>ZMB</t>
        </is>
      </c>
      <c r="C11149" t="n">
        <v>2002</v>
      </c>
      <c r="D11149" t="n">
        <v>22.2333446430947</v>
      </c>
    </row>
    <row r="11150">
      <c r="A11150" t="inlineStr">
        <is>
          <t>Zambia</t>
        </is>
      </c>
      <c r="B11150" t="inlineStr">
        <is>
          <t>ZMB</t>
        </is>
      </c>
      <c r="C11150" t="n">
        <v>2003</v>
      </c>
      <c r="D11150" t="n">
        <v>21.4015783901995</v>
      </c>
    </row>
    <row r="11151">
      <c r="A11151" t="inlineStr">
        <is>
          <t>Zambia</t>
        </is>
      </c>
      <c r="B11151" t="inlineStr">
        <is>
          <t>ZMB</t>
        </is>
      </c>
      <c r="C11151" t="n">
        <v>2004</v>
      </c>
      <c r="D11151" t="n">
        <v>17.9677891087286</v>
      </c>
    </row>
    <row r="11152">
      <c r="A11152" t="inlineStr">
        <is>
          <t>Zambia</t>
        </is>
      </c>
      <c r="B11152" t="inlineStr">
        <is>
          <t>ZMB</t>
        </is>
      </c>
      <c r="C11152" t="n">
        <v>2005</v>
      </c>
      <c r="D11152" t="n">
        <v>18.324439701174</v>
      </c>
    </row>
    <row r="11153">
      <c r="A11153" t="inlineStr">
        <is>
          <t>Zambia</t>
        </is>
      </c>
      <c r="B11153" t="inlineStr">
        <is>
          <t>ZMB</t>
        </is>
      </c>
      <c r="C11153" t="n">
        <v>2006</v>
      </c>
      <c r="D11153" t="n">
        <v>9.01957247226486</v>
      </c>
    </row>
    <row r="11154">
      <c r="A11154" t="inlineStr">
        <is>
          <t>Zambia</t>
        </is>
      </c>
      <c r="B11154" t="inlineStr">
        <is>
          <t>ZMB</t>
        </is>
      </c>
      <c r="C11154" t="n">
        <v>2007</v>
      </c>
      <c r="D11154" t="n">
        <v>10.6573496000153</v>
      </c>
    </row>
    <row r="11155">
      <c r="A11155" t="inlineStr">
        <is>
          <t>Zambia</t>
        </is>
      </c>
      <c r="B11155" t="inlineStr">
        <is>
          <t>ZMB</t>
        </is>
      </c>
      <c r="C11155" t="n">
        <v>2008</v>
      </c>
      <c r="D11155" t="n">
        <v>12.4455793463192</v>
      </c>
    </row>
    <row r="11156">
      <c r="A11156" t="inlineStr">
        <is>
          <t>Zambia</t>
        </is>
      </c>
      <c r="B11156" t="inlineStr">
        <is>
          <t>ZMB</t>
        </is>
      </c>
      <c r="C11156" t="n">
        <v>2009</v>
      </c>
      <c r="D11156" t="n">
        <v>13.3952546325895</v>
      </c>
    </row>
    <row r="11157">
      <c r="A11157" t="inlineStr">
        <is>
          <t>Zambia</t>
        </is>
      </c>
      <c r="B11157" t="inlineStr">
        <is>
          <t>ZMB</t>
        </is>
      </c>
      <c r="C11157" t="n">
        <v>2010</v>
      </c>
      <c r="D11157" t="n">
        <v>8.501761333652651</v>
      </c>
    </row>
    <row r="11158">
      <c r="A11158" t="inlineStr">
        <is>
          <t>Zambia</t>
        </is>
      </c>
      <c r="B11158" t="inlineStr">
        <is>
          <t>ZMB</t>
        </is>
      </c>
      <c r="C11158" t="n">
        <v>2011</v>
      </c>
      <c r="D11158" t="n">
        <v>6.4293968107234</v>
      </c>
    </row>
    <row r="11159">
      <c r="A11159" t="inlineStr">
        <is>
          <t>Zambia</t>
        </is>
      </c>
      <c r="B11159" t="inlineStr">
        <is>
          <t>ZMB</t>
        </is>
      </c>
      <c r="C11159" t="n">
        <v>2012</v>
      </c>
      <c r="D11159" t="n">
        <v>6.57589970757698</v>
      </c>
    </row>
    <row r="11160">
      <c r="A11160" t="inlineStr">
        <is>
          <t>Zambia</t>
        </is>
      </c>
      <c r="B11160" t="inlineStr">
        <is>
          <t>ZMB</t>
        </is>
      </c>
      <c r="C11160" t="n">
        <v>2013</v>
      </c>
      <c r="D11160" t="n">
        <v>6.97767605490307</v>
      </c>
    </row>
    <row r="11161">
      <c r="A11161" t="inlineStr">
        <is>
          <t>Zambia</t>
        </is>
      </c>
      <c r="B11161" t="inlineStr">
        <is>
          <t>ZMB</t>
        </is>
      </c>
      <c r="C11161" t="n">
        <v>2014</v>
      </c>
      <c r="D11161" t="n">
        <v>7.80687553566333</v>
      </c>
    </row>
    <row r="11162">
      <c r="A11162" t="inlineStr">
        <is>
          <t>Zambia</t>
        </is>
      </c>
      <c r="B11162" t="inlineStr">
        <is>
          <t>ZMB</t>
        </is>
      </c>
      <c r="C11162" t="n">
        <v>2015</v>
      </c>
      <c r="D11162" t="n">
        <v>10.1105928909618</v>
      </c>
    </row>
    <row r="11163">
      <c r="A11163" t="inlineStr">
        <is>
          <t>Zambia</t>
        </is>
      </c>
      <c r="B11163" t="inlineStr">
        <is>
          <t>ZMB</t>
        </is>
      </c>
      <c r="C11163" t="n">
        <v>2016</v>
      </c>
      <c r="D11163" t="n">
        <v>17.8697300795268</v>
      </c>
    </row>
    <row r="11164">
      <c r="A11164" t="inlineStr">
        <is>
          <t>Zambia</t>
        </is>
      </c>
      <c r="B11164" t="inlineStr">
        <is>
          <t>ZMB</t>
        </is>
      </c>
      <c r="C11164" t="n">
        <v>2017</v>
      </c>
      <c r="D11164" t="n">
        <v>6.57731154205644</v>
      </c>
    </row>
    <row r="11165">
      <c r="A11165" t="inlineStr">
        <is>
          <t>Zambia</t>
        </is>
      </c>
      <c r="B11165" t="inlineStr">
        <is>
          <t>ZMB</t>
        </is>
      </c>
      <c r="C11165" t="n">
        <v>2018</v>
      </c>
      <c r="D11165" t="n">
        <v>7.4945719272852</v>
      </c>
    </row>
    <row r="11166">
      <c r="A11166" t="inlineStr">
        <is>
          <t>Zambia</t>
        </is>
      </c>
      <c r="B11166" t="inlineStr">
        <is>
          <t>ZMB</t>
        </is>
      </c>
      <c r="C11166" t="n">
        <v>2019</v>
      </c>
      <c r="D11166" t="n">
        <v>9.150316443162961</v>
      </c>
    </row>
    <row r="11167">
      <c r="A11167" t="inlineStr">
        <is>
          <t>Zambia</t>
        </is>
      </c>
      <c r="B11167" t="inlineStr">
        <is>
          <t>ZMB</t>
        </is>
      </c>
      <c r="C11167" t="n">
        <v>2020</v>
      </c>
      <c r="D11167" t="n">
        <v>15.7330604721369</v>
      </c>
    </row>
    <row r="11168">
      <c r="A11168" t="inlineStr">
        <is>
          <t>Zambia</t>
        </is>
      </c>
      <c r="B11168" t="inlineStr">
        <is>
          <t>ZMB</t>
        </is>
      </c>
      <c r="C11168" t="n">
        <v>2021</v>
      </c>
      <c r="D11168" t="n">
        <v>22.0207676245777</v>
      </c>
    </row>
    <row r="11169">
      <c r="A11169" t="inlineStr">
        <is>
          <t>Zambia</t>
        </is>
      </c>
      <c r="B11169" t="inlineStr">
        <is>
          <t>ZMB</t>
        </is>
      </c>
      <c r="C11169" t="n">
        <v>2022</v>
      </c>
      <c r="D11169" t="n">
        <v>10.9932039209136</v>
      </c>
    </row>
    <row r="11170">
      <c r="A11170" t="inlineStr">
        <is>
          <t>Zambia</t>
        </is>
      </c>
      <c r="B11170" t="inlineStr">
        <is>
          <t>ZMB</t>
        </is>
      </c>
      <c r="C11170" t="n">
        <v>2023</v>
      </c>
      <c r="D11170" t="n">
        <v>10.884531691282</v>
      </c>
    </row>
    <row r="11171">
      <c r="A11171" t="inlineStr">
        <is>
          <t>Zimbabwe</t>
        </is>
      </c>
      <c r="B11171" t="inlineStr">
        <is>
          <t>ZWE</t>
        </is>
      </c>
      <c r="C11171" t="n">
        <v>2010</v>
      </c>
      <c r="D11171" t="n">
        <v>3.02267002518892</v>
      </c>
    </row>
    <row r="11172">
      <c r="A11172" t="inlineStr">
        <is>
          <t>Zimbabwe</t>
        </is>
      </c>
      <c r="B11172" t="inlineStr">
        <is>
          <t>ZWE</t>
        </is>
      </c>
      <c r="C11172" t="n">
        <v>2011</v>
      </c>
      <c r="D11172" t="n">
        <v>3.4661297281749</v>
      </c>
    </row>
    <row r="11173">
      <c r="A11173" t="inlineStr">
        <is>
          <t>Zimbabwe</t>
        </is>
      </c>
      <c r="B11173" t="inlineStr">
        <is>
          <t>ZWE</t>
        </is>
      </c>
      <c r="C11173" t="n">
        <v>2012</v>
      </c>
      <c r="D11173" t="n">
        <v>3.72532666110646</v>
      </c>
    </row>
    <row r="11174">
      <c r="A11174" t="inlineStr">
        <is>
          <t>Zimbabwe</t>
        </is>
      </c>
      <c r="B11174" t="inlineStr">
        <is>
          <t>ZWE</t>
        </is>
      </c>
      <c r="C11174" t="n">
        <v>2013</v>
      </c>
      <c r="D11174" t="n">
        <v>1.63495041543822</v>
      </c>
    </row>
    <row r="11175">
      <c r="A11175" t="inlineStr">
        <is>
          <t>Zimbabwe</t>
        </is>
      </c>
      <c r="B11175" t="inlineStr">
        <is>
          <t>ZWE</t>
        </is>
      </c>
      <c r="C11175" t="n">
        <v>2014</v>
      </c>
      <c r="D11175" t="n">
        <v>-0.19778481012661</v>
      </c>
    </row>
    <row r="11176">
      <c r="A11176" t="inlineStr">
        <is>
          <t>Zimbabwe</t>
        </is>
      </c>
      <c r="B11176" t="inlineStr">
        <is>
          <t>ZWE</t>
        </is>
      </c>
      <c r="C11176" t="n">
        <v>2015</v>
      </c>
      <c r="D11176" t="n">
        <v>-2.43096842383404</v>
      </c>
    </row>
    <row r="11177">
      <c r="A11177" t="inlineStr">
        <is>
          <t>Zimbabwe</t>
        </is>
      </c>
      <c r="B11177" t="inlineStr">
        <is>
          <t>ZWE</t>
        </is>
      </c>
      <c r="C11177" t="n">
        <v>2016</v>
      </c>
      <c r="D11177" t="n">
        <v>-1.54366960054161</v>
      </c>
    </row>
    <row r="11178">
      <c r="A11178" t="inlineStr">
        <is>
          <t>Zimbabwe</t>
        </is>
      </c>
      <c r="B11178" t="inlineStr">
        <is>
          <t>ZWE</t>
        </is>
      </c>
      <c r="C11178" t="n">
        <v>2017</v>
      </c>
      <c r="D11178" t="n">
        <v>0.893962316050027</v>
      </c>
    </row>
    <row r="11179">
      <c r="A11179" t="inlineStr">
        <is>
          <t>Zimbabwe</t>
        </is>
      </c>
      <c r="B11179" t="inlineStr">
        <is>
          <t>ZWE</t>
        </is>
      </c>
      <c r="C11179" t="n">
        <v>2018</v>
      </c>
      <c r="D11179" t="n">
        <v>10.6188658669575</v>
      </c>
    </row>
    <row r="11180">
      <c r="A11180" t="inlineStr">
        <is>
          <t>Zimbabwe</t>
        </is>
      </c>
      <c r="B11180" t="inlineStr">
        <is>
          <t>ZWE</t>
        </is>
      </c>
      <c r="C11180" t="n">
        <v>2019</v>
      </c>
      <c r="D11180" t="n">
        <v>255.304990757856</v>
      </c>
    </row>
    <row r="11181">
      <c r="A11181" t="inlineStr">
        <is>
          <t>Zimbabwe</t>
        </is>
      </c>
      <c r="B11181" t="inlineStr">
        <is>
          <t>ZWE</t>
        </is>
      </c>
      <c r="C11181" t="n">
        <v>2020</v>
      </c>
      <c r="D11181" t="n">
        <v>557.201817362051</v>
      </c>
    </row>
    <row r="11182">
      <c r="A11182" t="inlineStr">
        <is>
          <t>Zimbabwe</t>
        </is>
      </c>
      <c r="B11182" t="inlineStr">
        <is>
          <t>ZWE</t>
        </is>
      </c>
      <c r="C11182" t="n">
        <v>2021</v>
      </c>
      <c r="D11182" t="n">
        <v>98.5461050920624</v>
      </c>
    </row>
    <row r="11183">
      <c r="A11183" t="inlineStr">
        <is>
          <t>Zimbabwe</t>
        </is>
      </c>
      <c r="B11183" t="inlineStr">
        <is>
          <t>ZWE</t>
        </is>
      </c>
      <c r="C11183" t="n">
        <v>2022</v>
      </c>
      <c r="D11183" t="n">
        <v>104.705170628667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2026-10-11T12:25:05Z</dcterms:created>
  <dcterms:modified xmlns:dcterms="http://purl.org/dc/terms/" xmlns:xsi="http://www.w3.org/2001/XMLSchema-instance" xsi:type="dcterms:W3CDTF">2026-10-11T12:25:06Z</dcterms:modified>
</cp:coreProperties>
</file>